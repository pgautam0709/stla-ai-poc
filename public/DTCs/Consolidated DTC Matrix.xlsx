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t0151yr\Downloads\DTCCM\"/>
    </mc:Choice>
  </mc:AlternateContent>
  <xr:revisionPtr revIDLastSave="0" documentId="13_ncr:1_{BFD6163A-32C8-418C-AE98-B3BD97E33557}" xr6:coauthVersionLast="47" xr6:coauthVersionMax="47" xr10:uidLastSave="{00000000-0000-0000-0000-000000000000}"/>
  <bookViews>
    <workbookView xWindow="-108" yWindow="-108" windowWidth="23256" windowHeight="12456" xr2:uid="{6064736D-950E-4B11-822F-5BFDFE6FE37C}"/>
  </bookViews>
  <sheets>
    <sheet name="BCM" sheetId="1" r:id="rId1"/>
    <sheet name="ADCAM" sheetId="4" r:id="rId2"/>
    <sheet name="MCPA" sheetId="3" r:id="rId3"/>
    <sheet name="Limp Home Actions" sheetId="5" r:id="rId4"/>
  </sheets>
  <externalReferences>
    <externalReference r:id="rId5"/>
  </externalReferences>
  <definedNames>
    <definedName name="_xlnm._FilterDatabase" localSheetId="1" hidden="1">ADCAM!$A$4:$BF$112</definedName>
    <definedName name="_xlnm._FilterDatabase" localSheetId="2" hidden="1">MCPA!$A$1:$W$1</definedName>
    <definedName name="DTC_Sub_Systems">[1]Definitions!$B$69:$B$82</definedName>
    <definedName name="_xlnm.Print_Area" localSheetId="1">ADCAM!$A$2:$AE$12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58" i="1" l="1"/>
  <c r="B357" i="1"/>
  <c r="B356" i="1"/>
  <c r="C355" i="1"/>
  <c r="B355" i="1"/>
  <c r="C354" i="1"/>
  <c r="B354" i="1"/>
  <c r="C353" i="1"/>
  <c r="B353" i="1"/>
  <c r="C352" i="1"/>
  <c r="B352" i="1"/>
  <c r="C351" i="1"/>
  <c r="B351" i="1"/>
  <c r="C350" i="1"/>
  <c r="B350" i="1"/>
  <c r="C349" i="1"/>
  <c r="B349" i="1"/>
  <c r="C348" i="1"/>
  <c r="B348" i="1"/>
  <c r="C347" i="1"/>
  <c r="B347" i="1"/>
  <c r="C346" i="1"/>
  <c r="B346" i="1"/>
  <c r="C345" i="1"/>
  <c r="B345" i="1"/>
  <c r="C344" i="1"/>
  <c r="B344" i="1"/>
  <c r="C343" i="1"/>
  <c r="B343" i="1"/>
  <c r="C342" i="1"/>
  <c r="B342" i="1"/>
  <c r="C341" i="1"/>
  <c r="B341" i="1"/>
  <c r="C340" i="1"/>
  <c r="B340" i="1"/>
  <c r="C339" i="1"/>
  <c r="B339" i="1"/>
  <c r="C338" i="1"/>
  <c r="B338" i="1"/>
  <c r="C337" i="1"/>
  <c r="B337" i="1"/>
  <c r="C336" i="1"/>
  <c r="B336" i="1"/>
  <c r="C335" i="1"/>
  <c r="B335" i="1"/>
  <c r="C334" i="1"/>
  <c r="B334" i="1"/>
  <c r="C333" i="1"/>
  <c r="B333" i="1"/>
  <c r="C332" i="1"/>
  <c r="B332" i="1"/>
  <c r="C331" i="1"/>
  <c r="B331" i="1"/>
  <c r="C330" i="1"/>
  <c r="B330" i="1"/>
  <c r="C329" i="1"/>
  <c r="B329" i="1"/>
  <c r="C328" i="1"/>
  <c r="B328" i="1"/>
  <c r="C327" i="1"/>
  <c r="B327" i="1"/>
  <c r="C326" i="1"/>
  <c r="B326" i="1"/>
  <c r="C325" i="1"/>
  <c r="B325" i="1"/>
  <c r="C324" i="1"/>
  <c r="B324" i="1"/>
  <c r="C323" i="1"/>
  <c r="B323" i="1"/>
  <c r="C322" i="1"/>
  <c r="B322" i="1"/>
  <c r="C321" i="1"/>
  <c r="B321" i="1"/>
  <c r="C320" i="1"/>
  <c r="B320" i="1"/>
  <c r="C319" i="1"/>
  <c r="B319" i="1"/>
  <c r="C318" i="1"/>
  <c r="B318" i="1"/>
  <c r="C317" i="1"/>
  <c r="B317" i="1"/>
  <c r="C316" i="1"/>
  <c r="B316" i="1"/>
  <c r="C315" i="1"/>
  <c r="B315" i="1"/>
  <c r="C314" i="1"/>
  <c r="B314" i="1"/>
  <c r="C313" i="1"/>
  <c r="B313" i="1"/>
  <c r="C312" i="1"/>
  <c r="B312" i="1"/>
  <c r="C311" i="1"/>
  <c r="B311" i="1"/>
  <c r="C310" i="1"/>
  <c r="B310" i="1"/>
  <c r="C309" i="1"/>
  <c r="B309" i="1"/>
  <c r="C308" i="1"/>
  <c r="B308" i="1"/>
  <c r="C307" i="1"/>
  <c r="B307" i="1"/>
  <c r="C306" i="1"/>
  <c r="B306" i="1"/>
  <c r="C305" i="1"/>
  <c r="B305" i="1"/>
  <c r="C304" i="1"/>
  <c r="B304" i="1"/>
  <c r="C303" i="1"/>
  <c r="B303" i="1"/>
  <c r="C302" i="1"/>
  <c r="B302" i="1"/>
  <c r="C301" i="1"/>
  <c r="B301" i="1"/>
  <c r="C300" i="1"/>
  <c r="B300" i="1"/>
  <c r="C299" i="1"/>
  <c r="B299" i="1"/>
  <c r="C298" i="1"/>
  <c r="B298" i="1"/>
  <c r="C297" i="1"/>
  <c r="B297" i="1"/>
  <c r="C296" i="1"/>
  <c r="B296" i="1"/>
  <c r="C295" i="1"/>
  <c r="B295" i="1"/>
  <c r="C294" i="1"/>
  <c r="B294" i="1"/>
  <c r="C293" i="1"/>
  <c r="B293" i="1"/>
  <c r="C292" i="1"/>
  <c r="B292" i="1"/>
  <c r="C291" i="1"/>
  <c r="B291" i="1"/>
  <c r="C290" i="1"/>
  <c r="B290" i="1"/>
  <c r="C289" i="1"/>
  <c r="B289" i="1"/>
  <c r="C288" i="1"/>
  <c r="B288" i="1"/>
  <c r="C287" i="1"/>
  <c r="B287" i="1"/>
  <c r="C286" i="1"/>
  <c r="B286" i="1"/>
  <c r="C285" i="1"/>
  <c r="B285" i="1"/>
  <c r="C284" i="1"/>
  <c r="B284" i="1"/>
  <c r="C283" i="1"/>
  <c r="B283" i="1"/>
  <c r="C282" i="1"/>
  <c r="B282" i="1"/>
  <c r="C281" i="1"/>
  <c r="B281" i="1"/>
  <c r="C280" i="1"/>
  <c r="B280" i="1"/>
  <c r="C279" i="1"/>
  <c r="B279" i="1"/>
  <c r="C278" i="1"/>
  <c r="B278" i="1"/>
  <c r="C277" i="1"/>
  <c r="B277" i="1"/>
  <c r="C276" i="1"/>
  <c r="B276" i="1"/>
  <c r="C275" i="1"/>
  <c r="B275" i="1"/>
  <c r="C274" i="1"/>
  <c r="B274" i="1"/>
  <c r="C273" i="1"/>
  <c r="B273" i="1"/>
  <c r="C272" i="1"/>
  <c r="B272" i="1"/>
  <c r="C271" i="1"/>
  <c r="B271" i="1"/>
  <c r="C270" i="1"/>
  <c r="B270" i="1"/>
  <c r="C269" i="1"/>
  <c r="B269" i="1"/>
  <c r="C268" i="1"/>
  <c r="B268" i="1"/>
  <c r="C267" i="1"/>
  <c r="B267" i="1"/>
  <c r="C266" i="1"/>
  <c r="B266" i="1"/>
  <c r="C265" i="1"/>
  <c r="B265" i="1"/>
  <c r="C264" i="1"/>
  <c r="B264" i="1"/>
  <c r="C263" i="1"/>
  <c r="B263" i="1"/>
  <c r="C262" i="1"/>
  <c r="B262" i="1"/>
  <c r="C261" i="1"/>
  <c r="B261" i="1"/>
  <c r="C260" i="1"/>
  <c r="B260" i="1"/>
  <c r="C259" i="1"/>
  <c r="B259" i="1"/>
  <c r="C258" i="1"/>
  <c r="B258" i="1"/>
  <c r="C257" i="1"/>
  <c r="B257" i="1"/>
  <c r="C256" i="1"/>
  <c r="B256" i="1"/>
  <c r="C255" i="1"/>
  <c r="B255" i="1"/>
  <c r="C254" i="1"/>
  <c r="B254" i="1"/>
  <c r="C253" i="1"/>
  <c r="B253" i="1"/>
  <c r="C252" i="1"/>
  <c r="B252" i="1"/>
  <c r="C251" i="1"/>
  <c r="B251" i="1"/>
  <c r="C250" i="1"/>
  <c r="B250" i="1"/>
  <c r="C249" i="1"/>
  <c r="B249" i="1"/>
  <c r="C248" i="1"/>
  <c r="B248" i="1"/>
  <c r="C247" i="1"/>
  <c r="B247" i="1"/>
  <c r="C246" i="1"/>
  <c r="B246" i="1"/>
  <c r="C245" i="1"/>
  <c r="B245" i="1"/>
  <c r="C244" i="1"/>
  <c r="B244" i="1"/>
  <c r="C243" i="1"/>
  <c r="B243" i="1"/>
  <c r="C242" i="1"/>
  <c r="B242" i="1"/>
  <c r="C241" i="1"/>
  <c r="B241" i="1"/>
  <c r="C240" i="1"/>
  <c r="B240" i="1"/>
  <c r="C239" i="1"/>
  <c r="B239" i="1"/>
  <c r="C238" i="1"/>
  <c r="B238" i="1"/>
  <c r="C237" i="1"/>
  <c r="B237" i="1"/>
  <c r="C236" i="1"/>
  <c r="B236" i="1"/>
  <c r="C235" i="1"/>
  <c r="B235" i="1"/>
  <c r="C234" i="1"/>
  <c r="B234" i="1"/>
  <c r="C233" i="1"/>
  <c r="B233" i="1"/>
  <c r="C232" i="1"/>
  <c r="B232" i="1"/>
  <c r="C231" i="1"/>
  <c r="B231" i="1"/>
  <c r="C230" i="1"/>
  <c r="B230" i="1"/>
  <c r="C229" i="1"/>
  <c r="B229" i="1"/>
  <c r="C228" i="1"/>
  <c r="B228" i="1"/>
  <c r="C227" i="1"/>
  <c r="B227" i="1"/>
  <c r="C226" i="1"/>
  <c r="B226" i="1"/>
  <c r="C225" i="1"/>
  <c r="B225" i="1"/>
  <c r="C224" i="1"/>
  <c r="B224" i="1"/>
  <c r="C223" i="1"/>
  <c r="B223" i="1"/>
  <c r="C222" i="1"/>
  <c r="B222" i="1"/>
  <c r="C221" i="1"/>
  <c r="B221" i="1"/>
  <c r="C220" i="1"/>
  <c r="B220" i="1"/>
  <c r="C219" i="1"/>
  <c r="B219" i="1"/>
  <c r="C218" i="1"/>
  <c r="B218" i="1"/>
  <c r="C217" i="1"/>
  <c r="B217" i="1"/>
  <c r="C216" i="1"/>
  <c r="B216" i="1"/>
  <c r="C215" i="1"/>
  <c r="B215" i="1"/>
  <c r="C214" i="1"/>
  <c r="B214" i="1"/>
  <c r="C213" i="1"/>
  <c r="B213" i="1"/>
  <c r="C212" i="1"/>
  <c r="B212" i="1"/>
  <c r="C211" i="1"/>
  <c r="B211" i="1"/>
  <c r="C210" i="1"/>
  <c r="B210" i="1"/>
  <c r="C209" i="1"/>
  <c r="B209" i="1"/>
  <c r="C208" i="1"/>
  <c r="B208" i="1"/>
  <c r="C207" i="1"/>
  <c r="B207" i="1"/>
  <c r="C206" i="1"/>
  <c r="B206" i="1"/>
  <c r="C205" i="1"/>
  <c r="B205" i="1"/>
  <c r="C204" i="1"/>
  <c r="B204" i="1"/>
  <c r="C203" i="1"/>
  <c r="B203" i="1"/>
  <c r="C202" i="1"/>
  <c r="B202" i="1"/>
  <c r="C201" i="1"/>
  <c r="B201" i="1"/>
  <c r="C200" i="1"/>
  <c r="B200" i="1"/>
  <c r="C199" i="1"/>
  <c r="B199" i="1"/>
  <c r="C198" i="1"/>
  <c r="B198" i="1"/>
  <c r="C197" i="1"/>
  <c r="B197" i="1"/>
  <c r="C196" i="1"/>
  <c r="B196" i="1"/>
  <c r="C195" i="1"/>
  <c r="B195" i="1"/>
  <c r="C194" i="1"/>
  <c r="B194" i="1"/>
  <c r="C193" i="1"/>
  <c r="B193" i="1"/>
  <c r="C192" i="1"/>
  <c r="B192" i="1"/>
  <c r="C191" i="1"/>
  <c r="B191" i="1"/>
  <c r="C190" i="1"/>
  <c r="B190" i="1"/>
  <c r="C189" i="1"/>
  <c r="B189" i="1"/>
  <c r="C188" i="1"/>
  <c r="B188" i="1"/>
  <c r="C187" i="1"/>
  <c r="B187" i="1"/>
  <c r="C186" i="1"/>
  <c r="B186" i="1"/>
  <c r="C185" i="1"/>
  <c r="B185" i="1"/>
  <c r="C184" i="1"/>
  <c r="B184" i="1"/>
  <c r="C183" i="1"/>
  <c r="B183" i="1"/>
  <c r="C182" i="1"/>
  <c r="B182" i="1"/>
  <c r="C181" i="1"/>
  <c r="B181" i="1"/>
  <c r="C180" i="1"/>
  <c r="B180" i="1"/>
  <c r="C179" i="1"/>
  <c r="B179" i="1"/>
  <c r="C178" i="1"/>
  <c r="B178" i="1"/>
  <c r="C177" i="1"/>
  <c r="B177" i="1"/>
  <c r="C176" i="1"/>
  <c r="B176" i="1"/>
  <c r="C175" i="1"/>
  <c r="B175" i="1"/>
  <c r="C174" i="1"/>
  <c r="B174" i="1"/>
  <c r="C173" i="1"/>
  <c r="B173" i="1"/>
  <c r="C172" i="1"/>
  <c r="B172" i="1"/>
  <c r="C171" i="1"/>
  <c r="B171" i="1"/>
  <c r="C170" i="1"/>
  <c r="B170" i="1"/>
  <c r="C169" i="1"/>
  <c r="B169" i="1"/>
  <c r="C168" i="1"/>
  <c r="B168" i="1"/>
  <c r="C167" i="1"/>
  <c r="B167" i="1"/>
  <c r="C166" i="1"/>
  <c r="B166" i="1"/>
  <c r="C165" i="1"/>
  <c r="B165" i="1"/>
  <c r="C164" i="1"/>
  <c r="B164" i="1"/>
  <c r="C163" i="1"/>
  <c r="B163" i="1"/>
  <c r="C162" i="1"/>
  <c r="B162" i="1"/>
  <c r="C161" i="1"/>
  <c r="B161" i="1"/>
  <c r="C160" i="1"/>
  <c r="B160" i="1"/>
  <c r="C159" i="1"/>
  <c r="B159" i="1"/>
  <c r="C158" i="1"/>
  <c r="B158" i="1"/>
  <c r="C157" i="1"/>
  <c r="B157" i="1"/>
  <c r="C156" i="1"/>
  <c r="B156" i="1"/>
  <c r="C155" i="1"/>
  <c r="B155" i="1"/>
  <c r="C154" i="1"/>
  <c r="B154" i="1"/>
  <c r="C153" i="1"/>
  <c r="B153" i="1"/>
  <c r="C152" i="1"/>
  <c r="B152" i="1"/>
  <c r="C151" i="1"/>
  <c r="B151" i="1"/>
  <c r="C150" i="1"/>
  <c r="B150" i="1"/>
  <c r="C149" i="1"/>
  <c r="B149" i="1"/>
  <c r="C148" i="1"/>
  <c r="B148" i="1"/>
  <c r="C147" i="1"/>
  <c r="B147" i="1"/>
  <c r="C146" i="1"/>
  <c r="B146" i="1"/>
  <c r="C145" i="1"/>
  <c r="B145" i="1"/>
  <c r="C144" i="1"/>
  <c r="B144" i="1"/>
  <c r="C143" i="1"/>
  <c r="B143" i="1"/>
  <c r="C142" i="1"/>
  <c r="B142" i="1"/>
  <c r="C141" i="1"/>
  <c r="B141" i="1"/>
  <c r="C140" i="1"/>
  <c r="B140" i="1"/>
  <c r="C139" i="1"/>
  <c r="B139" i="1"/>
  <c r="C138" i="1"/>
  <c r="B138" i="1"/>
  <c r="C137" i="1"/>
  <c r="B137" i="1"/>
  <c r="C136" i="1"/>
  <c r="B136" i="1"/>
  <c r="C135" i="1"/>
  <c r="B135" i="1"/>
  <c r="C134" i="1"/>
  <c r="B134" i="1"/>
  <c r="C133" i="1"/>
  <c r="B133" i="1"/>
  <c r="C132" i="1"/>
  <c r="B132" i="1"/>
  <c r="C131" i="1"/>
  <c r="B131" i="1"/>
  <c r="C130" i="1"/>
  <c r="B130" i="1"/>
  <c r="C129" i="1"/>
  <c r="B129" i="1"/>
  <c r="C128" i="1"/>
  <c r="B128" i="1"/>
  <c r="C127" i="1"/>
  <c r="B127" i="1"/>
  <c r="C126" i="1"/>
  <c r="B126" i="1"/>
  <c r="C125" i="1"/>
  <c r="B125" i="1"/>
  <c r="C124" i="1"/>
  <c r="B124" i="1"/>
  <c r="C123" i="1"/>
  <c r="B123" i="1"/>
  <c r="C122" i="1"/>
  <c r="B122" i="1"/>
  <c r="C121" i="1"/>
  <c r="B121" i="1"/>
  <c r="C120" i="1"/>
  <c r="B120" i="1"/>
  <c r="C119" i="1"/>
  <c r="B119" i="1"/>
  <c r="C118" i="1"/>
  <c r="B118" i="1"/>
  <c r="C117" i="1"/>
  <c r="B117" i="1"/>
  <c r="C116" i="1"/>
  <c r="B116" i="1"/>
  <c r="C115" i="1"/>
  <c r="B115" i="1"/>
  <c r="C114" i="1"/>
  <c r="B114" i="1"/>
  <c r="C113" i="1"/>
  <c r="B113" i="1"/>
  <c r="C112" i="1"/>
  <c r="B112" i="1"/>
  <c r="C111" i="1"/>
  <c r="B111" i="1"/>
  <c r="C110" i="1"/>
  <c r="B110" i="1"/>
  <c r="C109" i="1"/>
  <c r="B109" i="1"/>
  <c r="C108" i="1"/>
  <c r="B108" i="1"/>
  <c r="C107" i="1"/>
  <c r="B107" i="1"/>
  <c r="C106" i="1"/>
  <c r="B106" i="1"/>
  <c r="C105" i="1"/>
  <c r="B105" i="1"/>
  <c r="C104" i="1"/>
  <c r="B104" i="1"/>
  <c r="C103" i="1"/>
  <c r="B103" i="1"/>
  <c r="C102" i="1"/>
  <c r="B102" i="1"/>
  <c r="C101" i="1"/>
  <c r="B101" i="1"/>
  <c r="C100" i="1"/>
  <c r="B100" i="1"/>
  <c r="C99" i="1"/>
  <c r="B99" i="1"/>
  <c r="C98" i="1"/>
  <c r="B98" i="1"/>
  <c r="C97" i="1"/>
  <c r="B97" i="1"/>
  <c r="C96" i="1"/>
  <c r="B96" i="1"/>
  <c r="C95" i="1"/>
  <c r="B95" i="1"/>
  <c r="C94" i="1"/>
  <c r="B94" i="1"/>
  <c r="C93" i="1"/>
  <c r="B93" i="1"/>
  <c r="C92" i="1"/>
  <c r="B92" i="1"/>
  <c r="C91" i="1"/>
  <c r="B91" i="1"/>
  <c r="C90" i="1"/>
  <c r="B90" i="1"/>
  <c r="C89" i="1"/>
  <c r="B89" i="1"/>
  <c r="C88" i="1"/>
  <c r="B88" i="1"/>
  <c r="C87" i="1"/>
  <c r="B87" i="1"/>
  <c r="C86" i="1"/>
  <c r="B86" i="1"/>
  <c r="C85" i="1"/>
  <c r="B85" i="1"/>
  <c r="C84" i="1"/>
  <c r="B84" i="1"/>
  <c r="C83" i="1"/>
  <c r="B83" i="1"/>
  <c r="C82" i="1"/>
  <c r="B82" i="1"/>
  <c r="C81" i="1"/>
  <c r="B81" i="1"/>
  <c r="C80" i="1"/>
  <c r="B80" i="1"/>
  <c r="C79" i="1"/>
  <c r="B79" i="1"/>
  <c r="C78" i="1"/>
  <c r="B78" i="1"/>
  <c r="C77" i="1"/>
  <c r="B77" i="1"/>
  <c r="C76" i="1"/>
  <c r="B76" i="1"/>
  <c r="C75" i="1"/>
  <c r="B75" i="1"/>
  <c r="C74" i="1"/>
  <c r="B74" i="1"/>
  <c r="C73" i="1"/>
  <c r="B73" i="1"/>
  <c r="C72" i="1"/>
  <c r="B72" i="1"/>
  <c r="C71" i="1"/>
  <c r="B71" i="1"/>
  <c r="C70" i="1"/>
  <c r="B70" i="1"/>
  <c r="C69" i="1"/>
  <c r="B69" i="1"/>
  <c r="C68" i="1"/>
  <c r="B68" i="1"/>
  <c r="C67" i="1"/>
  <c r="B67" i="1"/>
  <c r="C66" i="1"/>
  <c r="B66" i="1"/>
  <c r="C65" i="1"/>
  <c r="B65" i="1"/>
  <c r="C64" i="1"/>
  <c r="B64" i="1"/>
  <c r="C63" i="1"/>
  <c r="B63" i="1"/>
  <c r="C62" i="1"/>
  <c r="B62" i="1"/>
  <c r="C61" i="1"/>
  <c r="B61" i="1"/>
  <c r="C60" i="1"/>
  <c r="B60" i="1"/>
  <c r="C59" i="1"/>
  <c r="B59" i="1"/>
  <c r="C58" i="1"/>
  <c r="B58" i="1"/>
  <c r="C57" i="1"/>
  <c r="B57" i="1"/>
  <c r="C56" i="1"/>
  <c r="B56" i="1"/>
  <c r="C55" i="1"/>
  <c r="B55" i="1"/>
  <c r="C54" i="1"/>
  <c r="B54" i="1"/>
  <c r="C53" i="1"/>
  <c r="B53" i="1"/>
  <c r="C52" i="1"/>
  <c r="B52" i="1"/>
  <c r="C51" i="1"/>
  <c r="B51" i="1"/>
  <c r="C50" i="1"/>
  <c r="B50" i="1"/>
  <c r="C49" i="1"/>
  <c r="B49" i="1"/>
  <c r="C48" i="1"/>
  <c r="B48" i="1"/>
  <c r="C47" i="1"/>
  <c r="B47" i="1"/>
  <c r="C46" i="1"/>
  <c r="B46" i="1"/>
  <c r="C45" i="1"/>
  <c r="B45" i="1"/>
  <c r="C44" i="1"/>
  <c r="B44" i="1"/>
  <c r="C43" i="1"/>
  <c r="B43" i="1"/>
  <c r="C42" i="1"/>
  <c r="B42" i="1"/>
  <c r="C41" i="1"/>
  <c r="B41" i="1"/>
  <c r="C40" i="1"/>
  <c r="B40" i="1"/>
  <c r="C39" i="1"/>
  <c r="B39" i="1"/>
  <c r="C38" i="1"/>
  <c r="B38" i="1"/>
  <c r="C37" i="1"/>
  <c r="B37" i="1"/>
  <c r="C36" i="1"/>
  <c r="B36" i="1"/>
  <c r="C35" i="1"/>
  <c r="B35" i="1"/>
  <c r="C34" i="1"/>
  <c r="B34" i="1"/>
  <c r="C33" i="1"/>
  <c r="B33" i="1"/>
  <c r="C32" i="1"/>
  <c r="B32" i="1"/>
  <c r="C31" i="1"/>
  <c r="B31" i="1"/>
  <c r="C30" i="1"/>
  <c r="B30" i="1"/>
  <c r="C29" i="1"/>
  <c r="B29" i="1"/>
  <c r="C28" i="1"/>
  <c r="B28" i="1"/>
  <c r="C27" i="1"/>
  <c r="B27" i="1"/>
  <c r="C26" i="1"/>
  <c r="B26" i="1"/>
  <c r="C25" i="1"/>
  <c r="B25" i="1"/>
  <c r="C24" i="1"/>
  <c r="B24" i="1"/>
  <c r="C23" i="1"/>
  <c r="B23" i="1"/>
  <c r="C22" i="1"/>
  <c r="B22" i="1"/>
  <c r="C21" i="1"/>
  <c r="B21" i="1"/>
  <c r="C20" i="1"/>
  <c r="B20" i="1"/>
  <c r="C19" i="1"/>
  <c r="B19" i="1"/>
  <c r="C18" i="1"/>
  <c r="B18" i="1"/>
  <c r="C17" i="1"/>
  <c r="B17" i="1"/>
  <c r="C16" i="1"/>
  <c r="B16" i="1"/>
  <c r="C15" i="1"/>
  <c r="B15" i="1"/>
  <c r="C14" i="1"/>
  <c r="B14" i="1"/>
  <c r="C13" i="1"/>
  <c r="B13" i="1"/>
  <c r="C12" i="1"/>
  <c r="B12" i="1"/>
  <c r="C11" i="1"/>
  <c r="B11" i="1"/>
  <c r="C10" i="1"/>
  <c r="B10" i="1"/>
  <c r="C9" i="1"/>
  <c r="B9" i="1"/>
  <c r="C8" i="1"/>
  <c r="B8" i="1"/>
  <c r="C7" i="1"/>
  <c r="B7" i="1"/>
  <c r="C6" i="1"/>
  <c r="B6" i="1"/>
  <c r="C5" i="1"/>
  <c r="B5" i="1"/>
  <c r="C4" i="1"/>
  <c r="B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tc={56D174E9-0064-4629-B406-D7C64EB6CDEA}</author>
    <author>tc={1FAFFBBC-2250-4030-AA25-AA8DA8C311D0}</author>
    <author>tc={94FC4FCC-EDA8-44DC-869E-5ADA7038BE65}</author>
    <author>tc={00BB29AF-C58B-4809-BEB8-6DD73A11BF35}</author>
    <author>tc={E638AC8C-A378-4A9F-A9A6-21E6EABABAC8}</author>
    <author>tc={8F0F8BA2-C2BD-4EA4-B611-2FEEE7FA1995}</author>
    <author>tc={E9D8036A-E119-4ACC-B1A9-D465A38828A9}</author>
    <author>tc={08F48910-F4AB-47AB-9669-C9FC59788896}</author>
    <author>tc={06D8A870-92FB-4004-88CC-F1702B0FD743}</author>
    <author>tc={74D57610-A8E3-4ED3-992E-A1652FBB3D85}</author>
    <author>tc={30A42169-CAD0-406F-B0B3-F302A6D1E16E}</author>
    <author>tc={A003E666-BB34-4161-9386-06B8DBFBDA5B}</author>
    <author>tc={9B5FE2A5-D6FF-4296-A769-63DC446D3969}</author>
    <author>tc={D1257429-7E85-4EC4-BAF2-61C970EA8669}</author>
    <author>tc={C5B13370-0846-4125-BD15-95EFD03A07EB}</author>
  </authors>
  <commentList>
    <comment ref="W4" authorId="0" shapeId="0" xr:uid="{56D174E9-0064-4629-B406-D7C64EB6CDEA}">
      <text>
        <t>[Threaded comment]
Your version of Excel allows you to read this threaded comment; however, any edits to it will get removed if the file is opened in a newer version of Excel. Learn more: https://go.microsoft.com/fwlink/?linkid=870924
Comment:
    KM74 removed per EOI-28559</t>
      </text>
    </comment>
    <comment ref="AG4" authorId="1" shapeId="0" xr:uid="{1FAFFBBC-2250-4030-AA25-AA8DA8C311D0}">
      <text>
        <t>[Threaded comment]
Your version of Excel allows you to read this threaded comment; however, any edits to it will get removed if the file is opened in a newer version of Excel. Learn more: https://go.microsoft.com/fwlink/?linkid=870924
Comment:
    KM74 removed per EOI-28559</t>
      </text>
    </comment>
    <comment ref="W5" authorId="2" shapeId="0" xr:uid="{94FC4FCC-EDA8-44DC-869E-5ADA7038BE65}">
      <text>
        <t>[Threaded comment]
Your version of Excel allows you to read this threaded comment; however, any edits to it will get removed if the file is opened in a newer version of Excel. Learn more: https://go.microsoft.com/fwlink/?linkid=870924
Comment:
    KM74 removed per EOI-28559</t>
      </text>
    </comment>
    <comment ref="AG5" authorId="3" shapeId="0" xr:uid="{00BB29AF-C58B-4809-BEB8-6DD73A11BF35}">
      <text>
        <t>[Threaded comment]
Your version of Excel allows you to read this threaded comment; however, any edits to it will get removed if the file is opened in a newer version of Excel. Learn more: https://go.microsoft.com/fwlink/?linkid=870924
Comment:
    KM74 removed per EOI-28559</t>
      </text>
    </comment>
    <comment ref="W6" authorId="4" shapeId="0" xr:uid="{E638AC8C-A378-4A9F-A9A6-21E6EABABAC8}">
      <text>
        <t>[Threaded comment]
Your version of Excel allows you to read this threaded comment; however, any edits to it will get removed if the file is opened in a newer version of Excel. Learn more: https://go.microsoft.com/fwlink/?linkid=870924
Comment:
    KM74 removed per EOI-28559</t>
      </text>
    </comment>
    <comment ref="AG6" authorId="5" shapeId="0" xr:uid="{8F0F8BA2-C2BD-4EA4-B611-2FEEE7FA1995}">
      <text>
        <t>[Threaded comment]
Your version of Excel allows you to read this threaded comment; however, any edits to it will get removed if the file is opened in a newer version of Excel. Learn more: https://go.microsoft.com/fwlink/?linkid=870924
Comment:
    KM74 removed per EOI-28559</t>
      </text>
    </comment>
    <comment ref="W7" authorId="6" shapeId="0" xr:uid="{E9D8036A-E119-4ACC-B1A9-D465A38828A9}">
      <text>
        <t>[Threaded comment]
Your version of Excel allows you to read this threaded comment; however, any edits to it will get removed if the file is opened in a newer version of Excel. Learn more: https://go.microsoft.com/fwlink/?linkid=870924
Comment:
    KM74 removed per EOI-28559</t>
      </text>
    </comment>
    <comment ref="AG7" authorId="7" shapeId="0" xr:uid="{08F48910-F4AB-47AB-9669-C9FC59788896}">
      <text>
        <t>[Threaded comment]
Your version of Excel allows you to read this threaded comment; however, any edits to it will get removed if the file is opened in a newer version of Excel. Learn more: https://go.microsoft.com/fwlink/?linkid=870924
Comment:
    KM74 removed per EOI-28559</t>
      </text>
    </comment>
    <comment ref="AG96" authorId="8" shapeId="0" xr:uid="{06D8A870-92FB-4004-88CC-F1702B0FD743}">
      <text>
        <t>[Threaded comment]
Your version of Excel allows you to read this threaded comment; however, any edits to it will get removed if the file is opened in a newer version of Excel. Learn more: https://go.microsoft.com/fwlink/?linkid=870924
Comment:
    26LB and 26EJ removed per EOI-28560</t>
      </text>
    </comment>
    <comment ref="X103" authorId="9" shapeId="0" xr:uid="{74D57610-A8E3-4ED3-992E-A1652FBB3D85}">
      <text>
        <t>[Threaded comment]
Your version of Excel allows you to read this threaded comment; however, any edits to it will get removed if the file is opened in a newer version of Excel. Learn more: https://go.microsoft.com/fwlink/?linkid=870924
Comment:
    Change Mature and De-mature threshold per EOI-28614</t>
      </text>
    </comment>
    <comment ref="AC103" authorId="10" shapeId="0" xr:uid="{30A42169-CAD0-406F-B0B3-F302A6D1E16E}">
      <text>
        <t>[Threaded comment]
Your version of Excel allows you to read this threaded comment; however, any edits to it will get removed if the file is opened in a newer version of Excel. Learn more: https://go.microsoft.com/fwlink/?linkid=870924
Comment:
    Change Mature and De-mature threshold per EOI-28614</t>
      </text>
    </comment>
    <comment ref="W216" authorId="11" shapeId="0" xr:uid="{A003E666-BB34-4161-9386-06B8DBFBDA5B}">
      <text>
        <t>[Threaded comment]
Your version of Excel allows you to read this threaded comment; however, any edits to it will get removed if the file is opened in a newer version of Excel. Learn more: https://go.microsoft.com/fwlink/?linkid=870924
Comment:
    EC1 updated per EOI-32618</t>
      </text>
    </comment>
    <comment ref="AG254" authorId="12" shapeId="0" xr:uid="{9B5FE2A5-D6FF-4296-A769-63DC446D3969}">
      <text>
        <t>[Threaded comment]
Your version of Excel allows you to read this threaded comment; however, any edits to it will get removed if the file is opened in a newer version of Excel. Learn more: https://go.microsoft.com/fwlink/?linkid=870924
Comment:
    26LB removed per EOI-28560</t>
      </text>
    </comment>
    <comment ref="E303" authorId="13" shapeId="0" xr:uid="{D1257429-7E85-4EC4-BAF2-61C970EA8669}">
      <text>
        <t>[Threaded comment]
Your version of Excel allows you to read this threaded comment; however, any edits to it will get removed if the file is opened in a newer version of Excel. Learn more: https://go.microsoft.com/fwlink/?linkid=870924
Comment:
    Cancelled per EOI-32380</t>
      </text>
    </comment>
    <comment ref="E313" authorId="14" shapeId="0" xr:uid="{C5B13370-0846-4125-BD15-95EFD03A07EB}">
      <text>
        <t>[Threaded comment]
Your version of Excel allows you to read this threaded comment; however, any edits to it will get removed if the file is opened in a newer version of Excel. Learn more: https://go.microsoft.com/fwlink/?linkid=870924
Comment:
    Cancelled per EOI-32380</t>
      </text>
    </comment>
  </commentList>
</comments>
</file>

<file path=xl/sharedStrings.xml><?xml version="1.0" encoding="utf-8"?>
<sst xmlns="http://schemas.openxmlformats.org/spreadsheetml/2006/main" count="34555" uniqueCount="8293">
  <si>
    <t>Cnt</t>
  </si>
  <si>
    <t>DTC</t>
  </si>
  <si>
    <t>DTC DESCRIPTION</t>
  </si>
  <si>
    <t>SYSTEM</t>
  </si>
  <si>
    <t>OCCURRENCE/FAULT</t>
  </si>
  <si>
    <t>WARNING INDICATOR</t>
  </si>
  <si>
    <t>PRIORITY</t>
  </si>
  <si>
    <t>STORED DTC SELF HEALING CRITERIA</t>
  </si>
  <si>
    <t>SPEC REFERENCE</t>
  </si>
  <si>
    <t>ENGINEERING NOTES</t>
  </si>
  <si>
    <t xml:space="preserve">CUSTOMER PERCEPTION </t>
  </si>
  <si>
    <t>POSSIBLE CAUSES</t>
  </si>
  <si>
    <t>REPAIR ACTION</t>
  </si>
  <si>
    <t>LEVEL-SPECIFIC ENABLE CONDITIONS</t>
  </si>
  <si>
    <t>I/O Signal</t>
  </si>
  <si>
    <t>MATURE CRITERIA</t>
  </si>
  <si>
    <t>DE MATUE CRITERIA</t>
  </si>
  <si>
    <t>LIMP IN ACTION  (Recovery)</t>
  </si>
  <si>
    <t>SEVERITY</t>
  </si>
  <si>
    <t>Vehicle 
Variant</t>
  </si>
  <si>
    <t>HEX VALUE</t>
  </si>
  <si>
    <t>J2012 FORMAT</t>
  </si>
  <si>
    <t>Y/N</t>
  </si>
  <si>
    <t>TYPE</t>
  </si>
  <si>
    <t>Hardwired I/O Signal</t>
  </si>
  <si>
    <t>I/O Type</t>
  </si>
  <si>
    <t>Deveice</t>
  </si>
  <si>
    <t>ECU Pin No.</t>
  </si>
  <si>
    <t>STLA Circuit No.</t>
  </si>
  <si>
    <t>ENABLE CONDITION</t>
  </si>
  <si>
    <t>MATURE THERSHOLD</t>
  </si>
  <si>
    <t>MATURE TIME (ms)</t>
  </si>
  <si>
    <t>MONITOR TYPE</t>
  </si>
  <si>
    <t>MONITOR RATE  (ms)</t>
  </si>
  <si>
    <t>NUMBER OF TRIPS - ACTIVE</t>
  </si>
  <si>
    <t>DE-MATURE THERSHOLD</t>
  </si>
  <si>
    <t>DE-MATURE TIME (ms)</t>
  </si>
  <si>
    <t>Chane impact SW factory</t>
  </si>
  <si>
    <t>Column1</t>
  </si>
  <si>
    <t>Column110</t>
  </si>
  <si>
    <t>Column2</t>
  </si>
  <si>
    <t>Column3</t>
  </si>
  <si>
    <t>Column4</t>
  </si>
  <si>
    <t>Column5</t>
  </si>
  <si>
    <t>Column6</t>
  </si>
  <si>
    <t>Column7</t>
  </si>
  <si>
    <t>Column8</t>
  </si>
  <si>
    <t>Column9</t>
  </si>
  <si>
    <t>Column92</t>
  </si>
  <si>
    <t>Column10</t>
  </si>
  <si>
    <t>Column11</t>
  </si>
  <si>
    <t>Column12</t>
  </si>
  <si>
    <t>Column13</t>
  </si>
  <si>
    <t>Column14</t>
  </si>
  <si>
    <t>Column142</t>
  </si>
  <si>
    <t>Column1422</t>
  </si>
  <si>
    <t>Column1423</t>
  </si>
  <si>
    <t>Column25</t>
  </si>
  <si>
    <t>Column143</t>
  </si>
  <si>
    <t>Column15</t>
  </si>
  <si>
    <t>Column16</t>
  </si>
  <si>
    <t>Column17</t>
  </si>
  <si>
    <t>Column18</t>
  </si>
  <si>
    <t>Column19</t>
  </si>
  <si>
    <t>Column20</t>
  </si>
  <si>
    <t>Column21</t>
  </si>
  <si>
    <t>Column22</t>
  </si>
  <si>
    <t>Column23</t>
  </si>
  <si>
    <t>Column24</t>
  </si>
  <si>
    <t>Column111</t>
  </si>
  <si>
    <t>Column26</t>
  </si>
  <si>
    <t>B0006-11</t>
  </si>
  <si>
    <t>Left Side Stowage Compartment Lid Latch Control-Circuit Short to Ground</t>
  </si>
  <si>
    <t>Misc.</t>
  </si>
  <si>
    <t>Fault</t>
  </si>
  <si>
    <t>No</t>
  </si>
  <si>
    <t>N/A</t>
  </si>
  <si>
    <t>40 Key Cycles</t>
  </si>
  <si>
    <t>VF092_V20
VF092_V21</t>
  </si>
  <si>
    <t>Left Side Stowage Compartment Lid inoperative or operating incorrectly</t>
  </si>
  <si>
    <t>1. Wiring Shorted
2. Harness pinout Shorted
3. Ajar Switch Defective
4. Internal Open</t>
  </si>
  <si>
    <t>Repair Short Circuit or replace Lid Latch</t>
  </si>
  <si>
    <t>ECU Level</t>
  </si>
  <si>
    <t>ChargeAndFuelDoorLockUnlockMechanism.cmd (Locking)</t>
  </si>
  <si>
    <t>HSD</t>
  </si>
  <si>
    <t>HB01A</t>
  </si>
  <si>
    <t>A12</t>
  </si>
  <si>
    <t>P338</t>
  </si>
  <si>
    <t>EC1: Ignition Status - IGN_RUN
EC2:  Local Voltage – 9V to 16V
EC6: I/O Device Configuration Status –[Vehicle_Line_Configuration=(125 = KM49 (7D Hex) ) OR 128 EJ (80 Hex)</t>
  </si>
  <si>
    <t>Fault Detection Condition: 
BCM Should Detects the Bridge Driver Shorted Load Condition 
a) BCM not in Sleep, Output Active 
b) In-Rush Time Expired 
c) After 1 Retry Counter; Output is InActive (Latched)</t>
  </si>
  <si>
    <t>Latching</t>
  </si>
  <si>
    <t>Healing Condition: 
Fault Condition is Removed a) After KeyOff -&gt; KeyOn Transition, When Output Active, BCM Detect No Short Load Condition</t>
  </si>
  <si>
    <t>Not defined in the VF.</t>
  </si>
  <si>
    <t>NO_SEVERITY_AVAILABLE($00)</t>
  </si>
  <si>
    <t>KM49
EJ
26KM49
26EJ</t>
  </si>
  <si>
    <t>NO</t>
  </si>
  <si>
    <t>B0006-15</t>
  </si>
  <si>
    <t>Left Side Stowage Compartment Lid Latch Control-Circuit Short to Battery or Open</t>
  </si>
  <si>
    <t>EC1: Ignition Status - IGN_RUN
EC2:  Local Voltage – 9V to 16V
EC6: I/O Device Configuration Status –[Vehicle_Line_Configuration=(125 = KM49 (7D Hex) ) OR 128 EJ (80 Hex)</t>
  </si>
  <si>
    <r>
      <rPr>
        <b/>
        <sz val="8"/>
        <color rgb="FF000000"/>
        <rFont val="Arial"/>
        <family val="2"/>
      </rPr>
      <t xml:space="preserve">Fault Detection Condition (Output OFF) :
</t>
    </r>
    <r>
      <rPr>
        <sz val="8"/>
        <color rgb="FF000000"/>
        <rFont val="Arial"/>
        <family val="2"/>
      </rPr>
      <t xml:space="preserve">Detects the Output Voltage of the Bridge Driver is not Ground Level
</t>
    </r>
    <r>
      <rPr>
        <b/>
        <sz val="8"/>
        <color rgb="FF000000"/>
        <rFont val="Arial"/>
        <family val="2"/>
      </rPr>
      <t xml:space="preserve">Fault Detection Condition (Output OFF) :
</t>
    </r>
    <r>
      <rPr>
        <sz val="8"/>
        <color rgb="FF000000"/>
        <rFont val="Arial"/>
        <family val="2"/>
      </rPr>
      <t>BCM Should Detect Open Load</t>
    </r>
  </si>
  <si>
    <t>Continuous</t>
  </si>
  <si>
    <r>
      <rPr>
        <b/>
        <sz val="8"/>
        <color rgb="FF000000"/>
        <rFont val="Arial"/>
        <family val="2"/>
      </rPr>
      <t xml:space="preserve">Healing Condition: 
</t>
    </r>
    <r>
      <rPr>
        <sz val="8"/>
        <color rgb="FF000000"/>
        <rFont val="Arial"/>
        <family val="2"/>
      </rPr>
      <t>BCM Detects the Output Voltage of the Bridge Driver is at Ground Voltage Level When the Output is OFF</t>
    </r>
  </si>
  <si>
    <t>25KM49
25EJ
26KM49
26EJ</t>
  </si>
  <si>
    <t>B0007-11</t>
  </si>
  <si>
    <t>Right Side Stowage Compartment Lid Latch Control-Circuit Short to Ground</t>
  </si>
  <si>
    <t>Right Side Stowage Compartment Lid inoperative or operating incorrectly</t>
  </si>
  <si>
    <t>ChargeAndFuelDoorLockUnlockMechanism.cmd (Unlocking)</t>
  </si>
  <si>
    <t>HB01B</t>
  </si>
  <si>
    <t>A13</t>
  </si>
  <si>
    <t>P332</t>
  </si>
  <si>
    <t xml:space="preserve">EC1: Ignition Status - IGN_RUN
EC2:  Local Voltage – 9V to 16V
EC6: I/O Device Configuration Status –[Vehicle_Line_Configuration=(125 = KM49 (7D Hex) ) OR 128 EJ (80 Hex)
</t>
  </si>
  <si>
    <t>KM49
EJ
26KM49
26EJ</t>
  </si>
  <si>
    <t>B0007-15</t>
  </si>
  <si>
    <t>Right Side Stowage Compartment Lid Latch Control-Circuit Short to Battery or Open</t>
  </si>
  <si>
    <t>Fault Detection Condition (Output OFF) :
Detects the Output Voltage of the Bridge Driver is not Ground Level
Fault Detection Condition (Output OFF) :
BCM Should Detect Open Load</t>
  </si>
  <si>
    <t>Healing Condition: 
BCM Detects the Output Voltage of the Bridge Driver is at Ground Voltage Level When the Output is OFF</t>
  </si>
  <si>
    <t>25KM49
25EJ
26KM49
26EJ
26KM74</t>
  </si>
  <si>
    <t>B0008-11</t>
  </si>
  <si>
    <t xml:space="preserve">Front Trunk Stowage Compartment Lid Latch Motor Control-Circuit Short to Ground </t>
  </si>
  <si>
    <t>VF537</t>
  </si>
  <si>
    <t>No VF reference</t>
  </si>
  <si>
    <t>1. Wiring Shorted
2. Harness pinout shorted
3. Defective Washer Motor
4. Internal Short</t>
  </si>
  <si>
    <t>Repair harness or replace Motor</t>
  </si>
  <si>
    <t>HoodRelease.Cmd</t>
  </si>
  <si>
    <t>H-BRIDGE</t>
  </si>
  <si>
    <t>HB11,HB12</t>
  </si>
  <si>
    <t>A09, A10</t>
  </si>
  <si>
    <t>Q83, Q113</t>
  </si>
  <si>
    <t>EC1: Ignition Status - IGN_RUN
EC2:  Local Voltage – 9V to 16V
EC6: I/O Device Configuration Status – Always True</t>
  </si>
  <si>
    <t xml:space="preserve">25KM49
LB
EJ
26KM49
26LB
26EJ
</t>
  </si>
  <si>
    <r>
      <rPr>
        <sz val="8"/>
        <color rgb="FF000000"/>
        <rFont val="Arial"/>
        <family val="2"/>
      </rPr>
      <t>B0008-</t>
    </r>
    <r>
      <rPr>
        <b/>
        <sz val="8"/>
        <color rgb="FF000000"/>
        <rFont val="Arial"/>
        <family val="2"/>
      </rPr>
      <t>15</t>
    </r>
  </si>
  <si>
    <t>Front Trunk Stowage Compartment Lid Latch Motor Control-Circuit Short to Battery or Open</t>
  </si>
  <si>
    <r>
      <rPr>
        <sz val="8"/>
        <color rgb="FF000000"/>
        <rFont val="Arial"/>
        <family val="2"/>
      </rPr>
      <t>EC1: Ignition Status - IGN_RUN
EC2:  Local Voltage – 9V to 16V
EC6: I/O Device Configuration Status – Always True
EC7: Enable Condition Timer - 5 sec</t>
    </r>
  </si>
  <si>
    <t>Fault Detection Condition (Output OFF) : Detects the Output Voltage of the Bridge Driver is not Ground Level 
Fault Detection Condition (Offline) : BCM Should Detect Open Load when the output is disabled.</t>
  </si>
  <si>
    <t>BCM Detects the Output Voltage of the Bridge Driver is at Ground Voltage Level When the Output is OFF and BCM Should no longer Detect Open Load when the output is disabled.</t>
  </si>
  <si>
    <t xml:space="preserve">
26KM49
26LB
26EJ
</t>
  </si>
  <si>
    <t>B0016-11</t>
  </si>
  <si>
    <t xml:space="preserve">Front Trunk Stowage Compartment Emergency/Escape Release Switch-Circuit Short to Ground
</t>
  </si>
  <si>
    <t>Vehicle Access</t>
  </si>
  <si>
    <t>VF537_V10</t>
  </si>
  <si>
    <t>No ID VF Reference</t>
  </si>
  <si>
    <t>Front Trunk switch inoperative</t>
  </si>
  <si>
    <t xml:space="preserve">1. Wiring Open
2. Harness spread terminal/ pulled Out
3. Front Truntk Switch Defective
4. Internal Open </t>
  </si>
  <si>
    <t>Repair Short Circuit else replace defective switch</t>
  </si>
  <si>
    <t>FrontTrunkCompartmentRegulatoryReleaseSwitch.Req</t>
  </si>
  <si>
    <t>AIN</t>
  </si>
  <si>
    <t>IAS_37</t>
  </si>
  <si>
    <t>E57</t>
  </si>
  <si>
    <t>Q65</t>
  </si>
  <si>
    <r>
      <rPr>
        <sz val="8"/>
        <color rgb="FF000000"/>
        <rFont val="Arial"/>
        <family val="2"/>
      </rPr>
      <t xml:space="preserve">EC1: Ignition Status - IGN_RUN
EC2:  Local Voltage – 9V to 16V
EC6: I/O Device Configuration Status – </t>
    </r>
    <r>
      <rPr>
        <b/>
        <sz val="8"/>
        <color rgb="FF000000"/>
        <rFont val="Arial"/>
        <family val="2"/>
      </rPr>
      <t>HYBRID_TYPE = Battery Electric Vehicle</t>
    </r>
  </si>
  <si>
    <t>BCM detects the logical state of the input to be Short to Ground.</t>
  </si>
  <si>
    <t>BCM detects the logical state of the input no longer as Short to Ground.</t>
  </si>
  <si>
    <t xml:space="preserve">KM
LB
EJ
26KM
26LB
26EJ
</t>
  </si>
  <si>
    <t>B0106-11</t>
  </si>
  <si>
    <t>LIDAR Washer Actuator "A"
- Circuit Short to Ground</t>
  </si>
  <si>
    <t>Wipe &amp; Wash</t>
  </si>
  <si>
    <t>VF150_V2</t>
  </si>
  <si>
    <t xml:space="preserve">Repair or replace harness </t>
  </si>
  <si>
    <t>ADAS_FD_INFO_C2.LIDAR_Washer_req</t>
  </si>
  <si>
    <t>HS38</t>
  </si>
  <si>
    <t xml:space="preserve">E54 </t>
  </si>
  <si>
    <t>W25</t>
  </si>
  <si>
    <t>EC1: Ignition Status - IGN_RUN
EC2:  Local Voltage – 9V to 16V
EC4: Network Configuration Status - Can configuration.CAN node 61 CAN node 38 (MPAD2) = Present(0x01)
EC6: I/O Device Configuration Status –  Always True</t>
  </si>
  <si>
    <t>Fault Detection Condition:
a) BCM not in Sleep, Output OFF to ON Transition
b) In-Rush Time Expired
c) After 3 Retry Counter; Output = OFF (Latched); BCM Should Detect Over-Current</t>
  </si>
  <si>
    <t>Healing Condition: 
Fault Condition is Removed 
a) After KeyOff -&gt; KeyOn Transition, When Output On State, BCM Detect No OverCurrent</t>
  </si>
  <si>
    <t>BCM Shall Disable the Output till Next Key Cycle</t>
  </si>
  <si>
    <t xml:space="preserve">
26KM49
</t>
  </si>
  <si>
    <t>B0106-15</t>
  </si>
  <si>
    <t>LIDAR Washer Actuator "A"
-
Circuit Short to Battery or Open</t>
  </si>
  <si>
    <t>Fault Detection Condition (Output ON):
1) BCM should detect Short to Battery
2) BCM should detected Open Load</t>
  </si>
  <si>
    <t>BCM no longer detects Open Load or STB when the output is ON.</t>
  </si>
  <si>
    <t>B010A-11</t>
  </si>
  <si>
    <t>Camera Washer Relay "A" Control Circuit-Circuit Short to Ground</t>
  </si>
  <si>
    <t>VF150_V2 No ID VF Reference</t>
  </si>
  <si>
    <t>Camera Washer inoperable</t>
  </si>
  <si>
    <t>1. Wiring Shorted
2. Harness pinout shorted
3. Defective Horn
4. Internal Short</t>
  </si>
  <si>
    <t>Repair Short Circuit to Ground, else replace BCM</t>
  </si>
  <si>
    <t>NightVision_FrontCamerasWasherOut</t>
  </si>
  <si>
    <t>PROFET2+QUAD HSD</t>
  </si>
  <si>
    <t>HS32</t>
  </si>
  <si>
    <t>B48</t>
  </si>
  <si>
    <t>W201</t>
  </si>
  <si>
    <t>EC1: Ignition Status - IGN_RUN
EC2:  Local Voltage – 9V to 16V
EC6: I/O Device Configuration Status – True</t>
  </si>
  <si>
    <t>BCM detected overcurrent when the output is ON
Note:
* Retry counter: 4;
* DTC is matured after 4 retries.</t>
  </si>
  <si>
    <t>After a new key cycle, BCM detected no overcurrent when the output is ON</t>
  </si>
  <si>
    <t>KM
EJ
26KM
26EJ</t>
  </si>
  <si>
    <t>B010A-15</t>
  </si>
  <si>
    <t>Camera Washer Relay "A" Control Circuit-Circuit Short to Battery or Open</t>
  </si>
  <si>
    <t>Camera Washer operating incorrectly</t>
  </si>
  <si>
    <t>1. Wiring Shorted
2. Harness pinout shorted
3. Defective Wiper Heater
4. Internal Short</t>
  </si>
  <si>
    <t>Repair Short Circuit to Battery or Open Load, else replace BCM</t>
  </si>
  <si>
    <t>EC1: Ignition Status - IGN_RUN
EC2:  Local Voltage – 9V to 16V
EC6: I/O Device Configuration Status – True
EC7: Enable Condition Timer - 5 seconds</t>
  </si>
  <si>
    <r>
      <rPr>
        <sz val="8"/>
        <color rgb="FF000000"/>
        <rFont val="Arial"/>
        <family val="2"/>
      </rPr>
      <t>Fault Detection Condition (</t>
    </r>
    <r>
      <rPr>
        <b/>
        <sz val="8"/>
        <color rgb="FF000000"/>
        <rFont val="Arial"/>
        <family val="2"/>
      </rPr>
      <t>Output ON</t>
    </r>
    <r>
      <rPr>
        <sz val="8"/>
        <color rgb="FF000000"/>
        <rFont val="Arial"/>
        <family val="2"/>
      </rPr>
      <t>):
1) BCM should detect Short to Battery
Fault Detection Condition (Output ON):
1) BCM should detected Open Load</t>
    </r>
  </si>
  <si>
    <t>B0122-00</t>
  </si>
  <si>
    <t xml:space="preserve">Pedestrian Alert Speaker "A"- </t>
  </si>
  <si>
    <t>VF371</t>
  </si>
  <si>
    <t>*VF371_V1  ID1.0</t>
  </si>
  <si>
    <t xml:space="preserve">1. Wiring Open
2. Harness spread terminal/ pulled Out
3. Defective Relay
4. Internal Open </t>
  </si>
  <si>
    <t>Repair Short Circuit or
Replace Front Speaker</t>
  </si>
  <si>
    <t>Network Communication</t>
  </si>
  <si>
    <t>N.A</t>
  </si>
  <si>
    <t>BUS</t>
  </si>
  <si>
    <t>N.A.</t>
  </si>
  <si>
    <r>
      <rPr>
        <sz val="8"/>
        <color rgb="FF000000"/>
        <rFont val="Arial"/>
        <family val="2"/>
      </rPr>
      <t xml:space="preserve">EC1: Ignition Status - IGN_RUN
</t>
    </r>
    <r>
      <rPr>
        <b/>
        <sz val="8"/>
        <color rgb="FF000000"/>
        <rFont val="Arial"/>
        <family val="2"/>
      </rPr>
      <t xml:space="preserve">EC3: System Voltage - 10V to 16V
</t>
    </r>
    <r>
      <rPr>
        <sz val="8"/>
        <color rgb="FF000000"/>
        <rFont val="Arial"/>
        <family val="2"/>
      </rPr>
      <t>EC4: Proxi QVPM_Configuration = [Present Front or Present Rear or Present Front And Rear]
EC5: Bus Physical Status - No Bus physical/ Bus Off DTC LIN3 Active
EC7: Enable Condition Timer - 5 seconds</t>
    </r>
  </si>
  <si>
    <t>For NON_NAFTA:
(PROXI Country_Code != United States of America or Canada or Mexico) AND Gear_Pos != P AND QVPM2_Veh_Speed between 0 to 20 km/h AND QVPM2_STAT_GLOBAL.Speaker_Sts = 1 (Front speaker failure) or 3 (Both speakers failure)
For NAFTA:
(PROXI Country_Code == United States of America or Canada or Mexico) AND Gear_Pos != P AND QVPM2_Veh_Speed between 0 to 30 km/h AND QVPM2_STAT_GLOBAL.Speaker_Sts = 1 (Front speaker failure) or 3 (Both speakers failure)</t>
  </si>
  <si>
    <t>For NON_NAFTA:
(PROXI Country_Code = United States of America or Canada or Mexico) OR
Gear_Pos = P OR QVPM2_Veh_Speed is not in between 0 to 20 km/h OR QVPM2_STAT_GLOBAL.Speaker_Sts != 1 (Front speaker failure) or 3 (Both speakers failure)
For NAFTA:
(PROXI Country_Code != United States of America or Canada or Mexico) OR Gear_Pos = P OR QVPM2_Veh_Speed is not in between 0 to 30 km/h  OR QVPM2_STAT_GLOBAL.Speaker_Sts != 1 (Front speaker failure) or 3 (Both speakers failure)</t>
  </si>
  <si>
    <r>
      <rPr>
        <b/>
        <sz val="8"/>
        <color rgb="FF4F81BD"/>
        <rFont val="Arial"/>
        <family val="2"/>
      </rPr>
      <t>VF371 ID 1.0</t>
    </r>
    <r>
      <rPr>
        <sz val="8"/>
        <color rgb="FF000000"/>
        <rFont val="Arial"/>
        <family val="2"/>
      </rPr>
      <t xml:space="preserve"> 27KM
{
set the BCM_FD_11.AVASFail = Fail_Present
}</t>
    </r>
  </si>
  <si>
    <t xml:space="preserve">KM
EJ
26KM
26EJ
</t>
  </si>
  <si>
    <t>YES</t>
  </si>
  <si>
    <t>B0123-00</t>
  </si>
  <si>
    <t xml:space="preserve">Pedestrian Alert Speaker "B"- </t>
  </si>
  <si>
    <t>For NON_NAFTA:
(PROXI Country_Code != United States of America or Canada or Mexico) AND Gear_Pos != P AND QVPM2_Veh_Speed between 0 to 20 km/h AND QVPM2_STAT_GLOBAL.Speaker_Sts = 2 (Rear speaker failure) or 3 (Both speakers failure)
For NAFTA:
(PROXI Country_Code == United States of America and Canada and Mexico) AND Gear_Pos != P AND QVPM2_Veh_Speed between 0 to 30 km/h AND QVPM2_STAT_GLOBAL.Speaker_Sts = 2 (Rear speaker failure) or 3 (Both speakers failure)</t>
  </si>
  <si>
    <t>For NON_NAFTA:
(PROXI Country_Code = United States of America or Canada or Mexico) OR
Gear_Pos = P OR QVPM2_Veh_Speed is not in between 0 to 20 km/h OR QVPM2_STAT_GLOBAL.Speaker_Sts != 2 (Rear speaker failure) or 3 (Both speakers failure)
For NAFTA:
(PROXI Country_Code != United States of America and Canada and Mexico) OR Gear_Pos = P OR QVPM2_Veh_Speed is not in between 0 to 30 km/h  OR QVPM2_STAT_GLOBAL.Speaker_Sts != 2 (Rear speaker failure) or 3 (Both speakers failure)</t>
  </si>
  <si>
    <t>B01C5-08</t>
  </si>
  <si>
    <t>Headlamp Switch Module - Bus Signal / Message Failures</t>
  </si>
  <si>
    <t xml:space="preserve">
VF247</t>
  </si>
  <si>
    <t xml:space="preserve">
VF247 ID 26.0</t>
  </si>
  <si>
    <t>.
The main light selector behavoir as Low Beam</t>
  </si>
  <si>
    <t>1. Module Offline (No Power - Blown Fuse)
2. Wiring
3. Module Internal Failure</t>
  </si>
  <si>
    <t>Check for Blown Fuse. 
Repair Module Communication or Replace Module</t>
  </si>
  <si>
    <t>EC1: Ignition Status - IGN_RUN
EC3: System Voltage - 10V to 16V
EC4: Network Configuration Status - Always True
EC5: Bus Physical Status - No Bus physical/ Bus Off DTC LIN2 Active
EC7: Enable Condition Timer - 5 seconds</t>
  </si>
  <si>
    <t xml:space="preserve">
HLSM_A1 message missing and  PT_SYSTEM_FD_1.PowertrainPrplsnActv_PT == ACTIVE</t>
  </si>
  <si>
    <t>HLSM_A1 Message Received</t>
  </si>
  <si>
    <r>
      <rPr>
        <b/>
        <sz val="8"/>
        <color rgb="FF4F81BD"/>
        <rFont val="Arial"/>
        <family val="2"/>
      </rPr>
      <t xml:space="preserve">
</t>
    </r>
    <r>
      <rPr>
        <sz val="8"/>
        <color rgb="FF000000"/>
        <rFont val="Arial"/>
        <family val="2"/>
      </rPr>
      <t xml:space="preserve">
</t>
    </r>
    <r>
      <rPr>
        <b/>
        <sz val="8"/>
        <color rgb="FF4F81BD"/>
        <rFont val="Arial"/>
        <family val="2"/>
      </rPr>
      <t xml:space="preserve">VF247 ID 26.0
{
</t>
    </r>
    <r>
      <rPr>
        <sz val="8"/>
        <color rgb="FF000000"/>
        <rFont val="Arial"/>
        <family val="2"/>
      </rPr>
      <t xml:space="preserve">
BCM shall set the signals and outputs as described in "Lights Management" as the internal variable MainLightSelector == Low Beams.
</t>
    </r>
    <r>
      <rPr>
        <b/>
        <sz val="8"/>
        <color rgb="FF4F81BD"/>
        <rFont val="Arial"/>
        <family val="2"/>
      </rPr>
      <t>}</t>
    </r>
  </si>
  <si>
    <t xml:space="preserve">KM
LB
EJ
26KM
26LB
26EJ
</t>
  </si>
  <si>
    <t>B01C5-64</t>
  </si>
  <si>
    <t>Headlamp Switch Module-Signal Plausibility Failure</t>
  </si>
  <si>
    <t>ECU Malfunctions</t>
  </si>
  <si>
    <t>VF247</t>
  </si>
  <si>
    <t>VF247_V1 ID 27.0</t>
  </si>
  <si>
    <t>Defective Switch</t>
  </si>
  <si>
    <t>Replace Defective Switch</t>
  </si>
  <si>
    <t xml:space="preserve">EC1: Ignition Status - IGN_RUN or START 
EC3: System Voltage - 10V to 16V
EC4: Network Configuration Status - Always True 
EC5: Bus Physical Status - No Bus physical/ Bus Off DTC LIN2 Active
EC7: Enable Condition Timer - 5 seconds
</t>
  </si>
  <si>
    <r>
      <rPr>
        <b/>
        <sz val="8"/>
        <color rgb="FF000000"/>
        <rFont val="Arial"/>
        <family val="2"/>
      </rPr>
      <t xml:space="preserve">
The BCM detects an invalid value of  HLSM_A1.MC_HLSM_1 OR  HLSM_A1.CRC_HLSM_1 </t>
    </r>
    <r>
      <rPr>
        <sz val="8"/>
        <color rgb="FF000000"/>
        <rFont val="Arial"/>
        <family val="2"/>
      </rPr>
      <t xml:space="preserve"> </t>
    </r>
  </si>
  <si>
    <t xml:space="preserve">
The BCM detects an invalid value of  HLSM_A1.MC_HLSM_1 AND  HLSM_A1.CRC_HLSM_1  </t>
  </si>
  <si>
    <r>
      <rPr>
        <sz val="8"/>
        <color theme="4"/>
        <rFont val="Arial"/>
        <family val="2"/>
      </rPr>
      <t xml:space="preserve">VF247_V1 ID 27.0
{
</t>
    </r>
    <r>
      <rPr>
        <sz val="8"/>
        <color rgb="FF000000"/>
        <rFont val="Arial"/>
        <family val="2"/>
      </rPr>
      <t xml:space="preserve">IF PROXI Hybrid_Type == (BEV or HEV) AND PT_SYSTEM_FD_1.PowertrainPrplsnActv_PT = Active and CmdIgnSts.Info = IGN_RUN
BCM Shall Set all Signals and Outputs as described in ""Lights Management"" when the internal variable MainLightSelector = Low Beams
IF PROXI Hybrid_Type == Not Applicable AND ENGINE_FD_2.PowertrainPrplsnActv == ACTIVE and CmdIgnSts.Info = IGN_RUN
BCM Shall Set all Signals and Outputs as described in ""Lights Management"" when the internal variable MainLightSelector = Low Beams
</t>
    </r>
    <r>
      <rPr>
        <sz val="8"/>
        <color theme="4"/>
        <rFont val="Arial"/>
        <family val="2"/>
      </rPr>
      <t>}</t>
    </r>
    <r>
      <rPr>
        <sz val="8"/>
        <color rgb="FF1F497D"/>
        <rFont val="Arial"/>
        <family val="2"/>
      </rPr>
      <t xml:space="preserve">
</t>
    </r>
  </si>
  <si>
    <t xml:space="preserve">
26KM
26LB
26EJ
</t>
  </si>
  <si>
    <t>B01C5-87</t>
  </si>
  <si>
    <t>Headlamp Switch Module - Missing Message</t>
  </si>
  <si>
    <t xml:space="preserve">VF041
</t>
  </si>
  <si>
    <t xml:space="preserve">VF041 ID 1.1
</t>
  </si>
  <si>
    <t xml:space="preserve">a) Dimming not responding to Headlam Module.
</t>
  </si>
  <si>
    <t xml:space="preserve">HLSM_A1 message missing 
</t>
  </si>
  <si>
    <r>
      <rPr>
        <b/>
        <sz val="8"/>
        <color rgb="FF4F81BD"/>
        <rFont val="Arial"/>
        <family val="2"/>
      </rPr>
      <t xml:space="preserve">VF041 ID 1.1
{
</t>
    </r>
    <r>
      <rPr>
        <sz val="8"/>
        <color rgb="FF000000"/>
        <rFont val="Arial"/>
        <family val="2"/>
      </rPr>
      <t xml:space="preserve">
BCM shall set HLSM_A1.Dim_Level == "Dim6"
</t>
    </r>
    <r>
      <rPr>
        <b/>
        <sz val="8"/>
        <color rgb="FF4F81BD"/>
        <rFont val="Arial"/>
        <family val="2"/>
      </rPr>
      <t xml:space="preserve">}
</t>
    </r>
    <r>
      <rPr>
        <sz val="8"/>
        <color rgb="FF000000"/>
        <rFont val="Arial"/>
        <family val="2"/>
      </rPr>
      <t xml:space="preserve">
</t>
    </r>
  </si>
  <si>
    <t>B021A-87</t>
  </si>
  <si>
    <t>LIDAR Sensor Module "A" - Missing Message</t>
  </si>
  <si>
    <t>N</t>
  </si>
  <si>
    <t>VF603</t>
  </si>
  <si>
    <t>VF603_V1
NO VF ID Reference</t>
  </si>
  <si>
    <t>EC1: Ignition Status - IGN_RUN and BCM_FD_2.RemStActvSts = 00
EC3: System Voltage - 10V to 16V
EC4: Network Configuration - CAN node 5 (LIDAR) =  present (0x01)
EC5: Bus Physical Status - No Bus physical/ Bus Off DTC  FD1 Active
EC7: Enable Condition Timer - 5 seconds</t>
  </si>
  <si>
    <t>FD_CAN1.PDC_INFO_FD_LIDAR missing message</t>
  </si>
  <si>
    <t>Message received</t>
  </si>
  <si>
    <t>26KM</t>
  </si>
  <si>
    <t>B021A-8B</t>
  </si>
  <si>
    <t>LIDAR Sensor Module "A" - Invalid Message Structure / Length</t>
  </si>
  <si>
    <t>CS0099</t>
  </si>
  <si>
    <t>Malfunctioning LIDAR</t>
  </si>
  <si>
    <t>Repair or replace  LIDAR</t>
  </si>
  <si>
    <t>EC1: Ignition Status - IGN_RUN and BCM_FD_2.RemStActvSts = 00
EC3: System Voltage - 10V to 16V
EC4: Network Configuration Status - Can configuration.CAN node 5 (LIDAR) = Present(0x01)
EC5: Bus Physical Status - No Bus physical/ Bus Off DTC FD1 Active
EC7: Enable Condition Timer - 5 seconds</t>
  </si>
  <si>
    <t>* FD_CAN1.PDC_INFO_FD_LIDAR
has DLC less than specified in DBC file:</t>
  </si>
  <si>
    <t>Message received with correct DLC</t>
  </si>
  <si>
    <t>B106A-11</t>
  </si>
  <si>
    <t>Rear Defrost (EBL) Control Circuit-Circuit Short to Ground</t>
  </si>
  <si>
    <t>Climate Control</t>
  </si>
  <si>
    <t>VF126</t>
  </si>
  <si>
    <t>*VF126 ID1.0</t>
  </si>
  <si>
    <t>No rear defrost</t>
  </si>
  <si>
    <t xml:space="preserve">1. Wiring Shorted
2. Harness pinout shorted
3. Defective Relay
4. Internal Open </t>
  </si>
  <si>
    <t>Repair Short Circuit else replace defective Relay</t>
  </si>
  <si>
    <t>R_Defrost.Cmd</t>
  </si>
  <si>
    <t>SPIDER HSD</t>
  </si>
  <si>
    <t>G6-HS65</t>
  </si>
  <si>
    <t>B07</t>
  </si>
  <si>
    <t>C115</t>
  </si>
  <si>
    <t>EC1: Ignition Status - IGN_RUN
EC2:  Local Voltage – 9V to 16V
EC6: I/O Device Configuration Status – Rear_Heated_Window = Present.</t>
  </si>
  <si>
    <t>Fault Detection Condition:                              BCM Should Detect OverCurrent When,
a) BCM not in Sleep, Output OFF to ON Transition
b) In-Rush Time Expired
c) After 3 Retry Counter; Output = OFF (Latched); BCM Should Detect Over-Current</t>
  </si>
  <si>
    <r>
      <rPr>
        <sz val="8"/>
        <color rgb="FF000000"/>
        <rFont val="Arial"/>
        <family val="2"/>
      </rPr>
      <t>Healing Condition: 
Fault Condition is Removed a) After KeyOff -&gt; KeyOn Transition, When Output On State, BCM Detect No OverCurrent</t>
    </r>
  </si>
  <si>
    <r>
      <rPr>
        <b/>
        <sz val="8"/>
        <color theme="4"/>
        <rFont val="Arial"/>
        <family val="2"/>
      </rPr>
      <t>*VF126 ID1.0</t>
    </r>
    <r>
      <rPr>
        <b/>
        <sz val="8"/>
        <color rgb="FF1F497D"/>
        <rFont val="Arial"/>
        <family val="2"/>
      </rPr>
      <t xml:space="preserve">
{
</t>
    </r>
    <r>
      <rPr>
        <sz val="8"/>
        <color rgb="FF000000"/>
        <rFont val="Arial"/>
        <family val="2"/>
      </rPr>
      <t xml:space="preserve">BCM Shall,
a) NOT Turn ON the Rear Defrost when the Fault Exists
b) Set BODY_CNTRL3.EBL_Stat and BCM_FD_27.EBL_Stat and BCM_ASBM4_A1.HVACRearDef_Sts to "SNA"
</t>
    </r>
    <r>
      <rPr>
        <b/>
        <sz val="8"/>
        <color rgb="FF1F497D"/>
        <rFont val="Arial"/>
        <family val="2"/>
      </rPr>
      <t>}</t>
    </r>
  </si>
  <si>
    <t>B106A-15</t>
  </si>
  <si>
    <t>Rear Defrost (EBL) Control Circuit-Circuit Short to Battery or Open</t>
  </si>
  <si>
    <t>Repair Open Circuit else replace Relay</t>
  </si>
  <si>
    <t>EC1: Ignition Status - IGN_RUN
EC2:  Local Voltage – 9V to 16V
EC6: I/O Device Configuration Status – Rear_Heated_Window = Present.
EC7: Enable Condition Timer - 5 sec</t>
  </si>
  <si>
    <t>Healing Condition:                                          BCM no longer detects Short to Battery or Open Load in Output OFF State</t>
  </si>
  <si>
    <t>Healing Condition:
BCM no longer detects Short to Battery or Open Load in Output OFF State</t>
  </si>
  <si>
    <r>
      <rPr>
        <b/>
        <sz val="8"/>
        <color theme="4"/>
        <rFont val="Arial"/>
        <family val="2"/>
      </rPr>
      <t>VF126 ID1.0</t>
    </r>
    <r>
      <rPr>
        <b/>
        <sz val="8"/>
        <color rgb="FF1F497D"/>
        <rFont val="Arial"/>
        <family val="2"/>
      </rPr>
      <t xml:space="preserve">
{
</t>
    </r>
    <r>
      <rPr>
        <sz val="8"/>
        <color rgb="FF000000"/>
        <rFont val="Arial"/>
        <family val="2"/>
      </rPr>
      <t xml:space="preserve">BCM Shall,
a) NOT Turn ON the Rear Defrost when the Fault Exists
b) Set BODY_CNTRL3.EBL_Stat and BCM_FD_27.EBL_Stat and BCM_ASBM4_A1.HVACRearDef_Sts to "SNA"
</t>
    </r>
    <r>
      <rPr>
        <b/>
        <sz val="8"/>
        <color rgb="FF1F497D"/>
        <rFont val="Arial"/>
        <family val="2"/>
      </rPr>
      <t>}</t>
    </r>
  </si>
  <si>
    <t>B11FA-00</t>
  </si>
  <si>
    <t>Humidity Sensor Internal-</t>
  </si>
  <si>
    <t>VF123</t>
  </si>
  <si>
    <t xml:space="preserve">
*VF123_V2, ID 1
*VF123_V2, ID 2</t>
  </si>
  <si>
    <t xml:space="preserve">
Malfunction of Humidity Sensor</t>
  </si>
  <si>
    <t xml:space="preserve">
Reapir of Humidity Sensor</t>
  </si>
  <si>
    <t>EC1: Ignition Status - IGN_RUN
EC2:  Local Voltage – 9V to 16V
EC5: Bus Physical Status - No Bus physical/ Bus Off DTC LIN6 Active
EC7: Enable Condition Timer - 5 Seconds</t>
  </si>
  <si>
    <t>Fault Detection Condition: 
FAULT1: 
LIN6.HUM_SENSE_L_A1 =SNA
 (HUM_SENSE_L_A1.RelativeHumidityL= SNA) &amp; (HUM_SENSE_L_A1.GlassTemperatureL= SNA) &amp; (HUM_SENSE_L_A1.DewpointTemperatureL = SNA) 
FAULT2: 
LIN6.HRLS_Solar = SNA (HRLS_Solar.SolarSensorLeft = SNA) &amp; (HRLS_Solar.SolarSensorRight = SNA)</t>
  </si>
  <si>
    <t>*FAULT1: LIN6.HUM_SENSE_L != SNA
 or
*FAULT2: LIN6.HRLS_Solar != SNA</t>
  </si>
  <si>
    <r>
      <rPr>
        <sz val="8"/>
        <color rgb="FF000000"/>
        <rFont val="Arial"/>
        <family val="2"/>
      </rPr>
      <t xml:space="preserve">
</t>
    </r>
    <r>
      <rPr>
        <b/>
        <sz val="8"/>
        <color theme="4"/>
        <rFont val="Arial"/>
        <family val="2"/>
      </rPr>
      <t xml:space="preserve">VF123_V2 ID 1
{  </t>
    </r>
    <r>
      <rPr>
        <sz val="8"/>
        <color theme="4"/>
        <rFont val="Arial"/>
        <family val="2"/>
      </rPr>
      <t xml:space="preserve"> 
</t>
    </r>
    <r>
      <rPr>
        <sz val="8"/>
        <color rgb="FF000000"/>
        <rFont val="Arial"/>
        <family val="2"/>
      </rPr>
      <t xml:space="preserve">BCM Shall Set the Following Signal to SNA
Fault1: BHCAN: HUM_SENSOR_L.RelativeHumidityL
                BHCAN: HUM_SENSOR_L.GlassTemperatureL
                BHCAN: HUM_SENSOR_L.DewpointTemperatureL
</t>
    </r>
    <r>
      <rPr>
        <b/>
        <sz val="8"/>
        <color theme="4"/>
        <rFont val="Arial"/>
        <family val="2"/>
      </rPr>
      <t>}</t>
    </r>
    <r>
      <rPr>
        <b/>
        <sz val="8"/>
        <color rgb="FF1F497D"/>
        <rFont val="Arial"/>
        <family val="2"/>
      </rPr>
      <t xml:space="preserve">
</t>
    </r>
    <r>
      <rPr>
        <sz val="8"/>
        <color rgb="FF000000"/>
        <rFont val="Arial"/>
        <family val="2"/>
      </rPr>
      <t xml:space="preserve">
</t>
    </r>
    <r>
      <rPr>
        <b/>
        <sz val="8"/>
        <color theme="4"/>
        <rFont val="Arial"/>
        <family val="2"/>
      </rPr>
      <t xml:space="preserve">VF123_V2 ID 2
{
</t>
    </r>
    <r>
      <rPr>
        <sz val="8"/>
        <color rgb="FF000000"/>
        <rFont val="Arial"/>
        <family val="2"/>
      </rPr>
      <t xml:space="preserve">BCM Shall Set the Following Signal to SNA
Fault2: BHCAN: GW_B_6.SolarSensorLeft
            BHCAN: GW_B_6.SolarSensorRight
</t>
    </r>
    <r>
      <rPr>
        <b/>
        <sz val="8"/>
        <color theme="4"/>
        <rFont val="Arial"/>
        <family val="2"/>
      </rPr>
      <t>}</t>
    </r>
  </si>
  <si>
    <t>B161D-64</t>
  </si>
  <si>
    <t>Courtesy/Dome Lamp Switch-Signal Plausibility Failure</t>
  </si>
  <si>
    <t>Lighting</t>
  </si>
  <si>
    <t>VF078</t>
  </si>
  <si>
    <t>VF078_V1 ID 1.18</t>
  </si>
  <si>
    <t>Illuminated Entry/Exit</t>
  </si>
  <si>
    <t>N A</t>
  </si>
  <si>
    <t>EC1: Ignition Status - IGN_RUN
EC3: System Voltage - 10V to 16V
EC4: Network Configuration Status - Always Ture
EC5: Bus Physical Status - No Bus physical/ Bus Off DTC LIN6 Active
EC7: Enable Condition Timer - 5 seconds</t>
  </si>
  <si>
    <t>LIN6.OHC_1.OHC_DOME_STAT = SNA</t>
  </si>
  <si>
    <t>LIN6.OHC_1.OHC_DOME_STAT != SNA</t>
  </si>
  <si>
    <r>
      <rPr>
        <b/>
        <sz val="8"/>
        <color theme="4"/>
        <rFont val="Arial"/>
        <family val="2"/>
      </rPr>
      <t>*VF078_V1 ID1.18</t>
    </r>
    <r>
      <rPr>
        <sz val="8"/>
        <color theme="1"/>
        <rFont val="Arial"/>
        <family val="2"/>
      </rPr>
      <t xml:space="preserve">: BCM shall behave as if OHC_1.OHC_DOME_STAT == "Door" </t>
    </r>
  </si>
  <si>
    <t>B162A-11</t>
  </si>
  <si>
    <t xml:space="preserve">Left Low Beam Control-Circuit Short to Ground
</t>
  </si>
  <si>
    <t>VF247_V1 ID 31.0</t>
  </si>
  <si>
    <t>Left Low Beam Inoperative</t>
  </si>
  <si>
    <t>1. Wiring Shorted
2. Harness Pinout shorted
3. Defective light
4. Internal Short</t>
  </si>
  <si>
    <t>Repair Short Circuit else replace defective light</t>
  </si>
  <si>
    <t>L_LowBeamLight.Cmd</t>
  </si>
  <si>
    <t>HS48</t>
  </si>
  <si>
    <t>A21</t>
  </si>
  <si>
    <t>L43</t>
  </si>
  <si>
    <t>EC1: Ignition Status - IGN_RUN
EC2:  Local Voltage – 9V to 16V
EC4: Network Configuration Status – EC4: Network Configuration Status – CAN node 29 (AFLM/SLML)  = Absent
EC6: I/O Device Configuration Status - Vehicle_Line_Configuration=  127 LB (7F Hex)</t>
  </si>
  <si>
    <r>
      <rPr>
        <sz val="8"/>
        <color rgb="FF000000"/>
        <rFont val="Arial"/>
        <family val="2"/>
      </rPr>
      <t>Fault Detection Condition: 
a) BCM not in Sleep, Output OFF to ON Transition 
b) In-Rush Time Expired 
c) After 3 Retry Counter; Output = OFF (Latched); BCM Should Detect Over-Current</t>
    </r>
  </si>
  <si>
    <r>
      <t xml:space="preserve">* BCM shall disable the output till next key cycle;
</t>
    </r>
    <r>
      <rPr>
        <b/>
        <sz val="8"/>
        <color theme="4"/>
        <rFont val="Arial"/>
        <family val="2"/>
      </rPr>
      <t xml:space="preserve">* VF247_V1 ID31.0: 
{
</t>
    </r>
    <r>
      <rPr>
        <sz val="8"/>
        <color rgb="FF000000"/>
        <rFont val="Arial"/>
        <family val="2"/>
      </rPr>
      <t xml:space="preserve">BCM shall set the signal SLML_STATUS_FD.LowBeamSts_L = Fault when LowBeamSts.Info = SET SET
</t>
    </r>
    <r>
      <rPr>
        <b/>
        <sz val="8"/>
        <color theme="4"/>
        <rFont val="Arial"/>
        <family val="2"/>
      </rPr>
      <t>}</t>
    </r>
  </si>
  <si>
    <t>LB
26LB</t>
  </si>
  <si>
    <t>B162A-15</t>
  </si>
  <si>
    <t>Left Low Beam Control-Circuit Short to Battery or Open</t>
  </si>
  <si>
    <t xml:space="preserve">1. Wiring Open
2. Harness spread terminal/ pulled Out
3. Defective Light
4. Internal Open </t>
  </si>
  <si>
    <t>Repair Open Circuit else replace defective light</t>
  </si>
  <si>
    <t>EC1: Ignition Status - IGN_RUN
EC2:  Local Voltage – 9V to 16V
EC4: Network Configuration Status –(CAN node 126 (SLMR) = Absent)
EC6: I/O Device Configuration Status - Vehicle_Line_Configuration=  127 LB (7F Hex)
EC7: Enable Condition Timer - 5 seconds</t>
  </si>
  <si>
    <t>Fault Detection Condition (Output OFF) :
BCM Should Detect Short to Battery
Fault Detection Condition (Output ON) :
BCM Should Detect Open Load</t>
  </si>
  <si>
    <t>BCM no longer detects Open Load in Output ON State or Short to Battery in Output OFF State</t>
  </si>
  <si>
    <r>
      <rPr>
        <b/>
        <sz val="8"/>
        <color theme="4"/>
        <rFont val="Arial"/>
        <family val="2"/>
      </rPr>
      <t xml:space="preserve">* VF247_V1 ID31.0: 
{
</t>
    </r>
    <r>
      <rPr>
        <sz val="8"/>
        <color rgb="FF000000"/>
        <rFont val="Arial"/>
        <family val="2"/>
      </rPr>
      <t xml:space="preserve">WHILE CAN node 126 (SLMR) = Absent AND L_LowBeamLight.Cmd is not faulted the BCM shall set the signal SLML_STATUS_FD.LowBeamSts_L = Off.
WHILE CAN node 126 (SLMR) = Absent AND LowBeamSts.Info = ON AND L_LowBeamLight.Cmd is faulted the BCM shall set the signal SLML_STATUS_FD.LowBeamSts_L = Fault.
</t>
    </r>
    <r>
      <rPr>
        <b/>
        <sz val="8"/>
        <color theme="4"/>
        <rFont val="Arial"/>
        <family val="2"/>
      </rPr>
      <t>}</t>
    </r>
  </si>
  <si>
    <t xml:space="preserve">LB                        26LB
</t>
  </si>
  <si>
    <t>B162E-11</t>
  </si>
  <si>
    <t>Right Low Beam Control-Circuit Short to Ground</t>
  </si>
  <si>
    <t>VF247_V1 ID 35.0</t>
  </si>
  <si>
    <t>Right Low Beam Inoperative</t>
  </si>
  <si>
    <t>Right_LowBeamLight.Cmd</t>
  </si>
  <si>
    <t>HS40</t>
  </si>
  <si>
    <t>A01</t>
  </si>
  <si>
    <t>L44</t>
  </si>
  <si>
    <t>EC1: Ignition Status - IGN_RUN
EC2:  Local Voltage – 9V to 16V
EC4: Network Configuration Status – CAN node 126 (SLMR) = Absent
EC6: I/O Device Configuration Status  -Vehicle_Line_Configuration =  127 LB (7F Hex)</t>
  </si>
  <si>
    <t>Healing Condition: 
Fault Condition is Removed a) After KeyOff -&gt; KeyOn Transition, When Output On State, BCM Detect No OverCurrent</t>
  </si>
  <si>
    <r>
      <rPr>
        <sz val="8"/>
        <color rgb="FF000000"/>
        <rFont val="Arial"/>
        <family val="2"/>
      </rPr>
      <t xml:space="preserve">a) BCM Shall Disable the Output till Next Key Cycle
</t>
    </r>
    <r>
      <rPr>
        <b/>
        <sz val="8"/>
        <color theme="4"/>
        <rFont val="Arial"/>
        <family val="2"/>
      </rPr>
      <t xml:space="preserve">VF247_V1 ID 35.0
{
</t>
    </r>
    <r>
      <rPr>
        <sz val="8"/>
        <color rgb="FF000000"/>
        <rFont val="Arial"/>
        <family val="2"/>
      </rPr>
      <t xml:space="preserve">b) BCM Shall Set the Signal SLMR_STATUS_FD.LowBeamSts_R = Fault when LowBeamSts.Info = SET
</t>
    </r>
    <r>
      <rPr>
        <b/>
        <sz val="8"/>
        <color theme="4"/>
        <rFont val="Arial"/>
        <family val="2"/>
      </rPr>
      <t>}</t>
    </r>
  </si>
  <si>
    <t>B162E-15</t>
  </si>
  <si>
    <t>Right Low Beam Control-Circuit Short to Battery or Open</t>
  </si>
  <si>
    <t xml:space="preserve">1. Wiring Open
2. Harness spread terminal/ pulled Out
3. Defective light
4. Internal Open </t>
  </si>
  <si>
    <t>EC1: Ignition Status - IGN_RUN
EC2:  Local Voltage – 9V to 16V
EC4: Network Configuration Statuss – CAN node 126 (SLMR) = Absent
EC6: I/O Device Configuration Status  - Vehicle_Line_Configuration=  127 LB (7F Hex)
EC7: Enable Condition Timer - 5 seconds</t>
  </si>
  <si>
    <r>
      <rPr>
        <b/>
        <sz val="8"/>
        <color rgb="FF4F81BD"/>
        <rFont val="Arial"/>
        <family val="2"/>
      </rPr>
      <t xml:space="preserve">* VF247_V1 ID 35.0: 
{
</t>
    </r>
    <r>
      <rPr>
        <sz val="8"/>
        <color rgb="FF000000"/>
        <rFont val="Arial"/>
        <family val="2"/>
      </rPr>
      <t>BCM shall set the signal SLM</t>
    </r>
    <r>
      <rPr>
        <b/>
        <sz val="8"/>
        <color rgb="FF000000"/>
        <rFont val="Arial"/>
        <family val="2"/>
      </rPr>
      <t>R</t>
    </r>
    <r>
      <rPr>
        <sz val="8"/>
        <color rgb="FF000000"/>
        <rFont val="Arial"/>
        <family val="2"/>
      </rPr>
      <t xml:space="preserve">_STATUS_FD.LowBeamSts_R = Fault when LowBeamSts.Info = SET
</t>
    </r>
    <r>
      <rPr>
        <b/>
        <sz val="8"/>
        <color rgb="FF4F81BD"/>
        <rFont val="Arial"/>
        <family val="2"/>
      </rPr>
      <t>}</t>
    </r>
  </si>
  <si>
    <t>B1632-11</t>
  </si>
  <si>
    <t>Left High Beam Control-Circuit Short to Ground</t>
  </si>
  <si>
    <t>VF247_V1 ID 32.0</t>
  </si>
  <si>
    <t>L_HighBeamLight.Cmd</t>
  </si>
  <si>
    <t>HS41</t>
  </si>
  <si>
    <t>A20</t>
  </si>
  <si>
    <t>L33</t>
  </si>
  <si>
    <t>EC1: Ignition Status - IGN_RUN
EC2:  Local Voltage – 9V to 16V
EC4: Network Configuration Status – CAN node 29 (AFLM/SLML) = Absent
EC6: I/O Device Configuration Status - Vehicle_Line_Configuration=  127 LB (7F Hex)</t>
  </si>
  <si>
    <r>
      <rPr>
        <sz val="8"/>
        <color rgb="FF000000"/>
        <rFont val="Arial"/>
        <family val="2"/>
      </rPr>
      <t xml:space="preserve">a) BCM Shall Disable the Output till Next Key Cycle
</t>
    </r>
    <r>
      <rPr>
        <sz val="8"/>
        <color theme="4"/>
        <rFont val="Arial"/>
        <family val="2"/>
      </rPr>
      <t xml:space="preserve">
</t>
    </r>
    <r>
      <rPr>
        <b/>
        <sz val="8"/>
        <color theme="4"/>
        <rFont val="Arial"/>
        <family val="2"/>
      </rPr>
      <t xml:space="preserve">VF247_V1 ID 32.0
</t>
    </r>
    <r>
      <rPr>
        <b/>
        <sz val="8"/>
        <color rgb="FF0070C0"/>
        <rFont val="Arial"/>
        <family val="2"/>
      </rPr>
      <t xml:space="preserve">{
</t>
    </r>
    <r>
      <rPr>
        <sz val="8"/>
        <color rgb="FF000000"/>
        <rFont val="Arial"/>
        <family val="2"/>
      </rPr>
      <t>b) BCM Shall Set the Signal SLML_STATUS_FD.HighBeamSts_L = Fault when HighBeamSts.Info = SET
}</t>
    </r>
  </si>
  <si>
    <t xml:space="preserve">LB                       26LB
</t>
  </si>
  <si>
    <t>B1632-12</t>
  </si>
  <si>
    <t xml:space="preserve">Left High Beam Control-Circuit Short to Battery </t>
  </si>
  <si>
    <t xml:space="preserve">
Repair Short Circuit else replace defective light</t>
  </si>
  <si>
    <t>EC1: Ignition Status - IGN_RUN                             
EC2:  Local Voltage – 9V to 16V                          
EC4: Network Configuration Status – CAN node 29 (AFLM/SLML) = Absent                                        
EC6: I/O Device Configuration Status - Vehicle_Line_Configuration=  127 LB (7F Hex)                                                      EC7: Enable Condition Timer - 5 Seconds</t>
  </si>
  <si>
    <t>Fault Detection Condition (Output OFF) :
BCM Should Detect Short to Battery</t>
  </si>
  <si>
    <t>BCM no longer detects Short to Battery in Output OFF State</t>
  </si>
  <si>
    <r>
      <rPr>
        <b/>
        <sz val="8"/>
        <color theme="4"/>
        <rFont val="Arial"/>
        <family val="2"/>
      </rPr>
      <t xml:space="preserve">* VF247_V1 ID32.0: </t>
    </r>
    <r>
      <rPr>
        <b/>
        <sz val="8"/>
        <color rgb="FF1F497D"/>
        <rFont val="Arial"/>
        <family val="2"/>
      </rPr>
      <t xml:space="preserve">
{
</t>
    </r>
    <r>
      <rPr>
        <sz val="8"/>
        <color rgb="FF000000"/>
        <rFont val="Arial"/>
        <family val="2"/>
      </rPr>
      <t xml:space="preserve">BCM shall set the signal SLML_STATUS_FD.HighBeamSts_L = Fault when HighBeamSts.Info = SET
</t>
    </r>
    <r>
      <rPr>
        <b/>
        <sz val="8"/>
        <color rgb="FF1F497D"/>
        <rFont val="Arial"/>
        <family val="2"/>
      </rPr>
      <t>}</t>
    </r>
  </si>
  <si>
    <t>B1636-11</t>
  </si>
  <si>
    <t>Right High Beam Control-Circuit Short to Ground</t>
  </si>
  <si>
    <t>VF247_V1 ID 36.0</t>
  </si>
  <si>
    <t>R_HighBeamLight.Cmd</t>
  </si>
  <si>
    <t>HS49</t>
  </si>
  <si>
    <t>A24</t>
  </si>
  <si>
    <t>L34</t>
  </si>
  <si>
    <t>EC1: Ignition Status - IGN_RUN
EC2:  Local Voltage – 9V to 16V
EC4: Network Configuration Status – CAN node 126 (SLMR) = Absent
EC6: I/O Device Configuration Status - Vehicle_Line_Configuration = 127 LB (7F Hex)</t>
  </si>
  <si>
    <r>
      <rPr>
        <sz val="8"/>
        <color rgb="FF000000"/>
        <rFont val="Arial"/>
        <family val="2"/>
      </rPr>
      <t xml:space="preserve">a) BCM Shall Disable the Output till Next Key Cycle
</t>
    </r>
    <r>
      <rPr>
        <b/>
        <sz val="8"/>
        <color theme="4"/>
        <rFont val="Arial"/>
        <family val="2"/>
      </rPr>
      <t>VF247_V1 ID 36.0</t>
    </r>
    <r>
      <rPr>
        <b/>
        <sz val="8"/>
        <color rgb="FF1F497D"/>
        <rFont val="Arial"/>
        <family val="2"/>
      </rPr>
      <t xml:space="preserve">
{
</t>
    </r>
    <r>
      <rPr>
        <sz val="8"/>
        <color rgb="FF000000"/>
        <rFont val="Arial"/>
        <family val="2"/>
      </rPr>
      <t xml:space="preserve">b) BCM Shall Set the Signal SLMR_STATUS_FD.HighBeamSts_R = Fault when HighBeamSts.Info = SET
</t>
    </r>
    <r>
      <rPr>
        <b/>
        <sz val="8"/>
        <color theme="3"/>
        <rFont val="Arial"/>
        <family val="2"/>
      </rPr>
      <t>}</t>
    </r>
  </si>
  <si>
    <t>B1636-12</t>
  </si>
  <si>
    <t>Right High Beam Control-Circuit Short to Battery</t>
  </si>
  <si>
    <r>
      <rPr>
        <sz val="8"/>
        <color rgb="FF000000"/>
        <rFont val="Arial"/>
        <family val="2"/>
      </rPr>
      <t xml:space="preserve">EC1: Ignition Status - IGN_RUN
EC2:  Local Voltage – 9V to 16V
EC4: Network Configuration Status – </t>
    </r>
    <r>
      <rPr>
        <b/>
        <sz val="8"/>
        <color rgb="FF000000"/>
        <rFont val="Arial"/>
        <family val="2"/>
      </rPr>
      <t>CAN node 126 (SLMR) = Absent
EC7: Enable Condition Timer - 5 sec</t>
    </r>
  </si>
  <si>
    <r>
      <rPr>
        <b/>
        <sz val="8"/>
        <color rgb="FF000000"/>
        <rFont val="Arial"/>
        <family val="2"/>
      </rPr>
      <t xml:space="preserve">Fault Detection Condition (Output OFF) :
</t>
    </r>
    <r>
      <rPr>
        <sz val="8"/>
        <color rgb="FF000000"/>
        <rFont val="Arial"/>
        <family val="2"/>
      </rPr>
      <t>BCM Should Detect Short to Battery</t>
    </r>
  </si>
  <si>
    <r>
      <rPr>
        <sz val="8"/>
        <color theme="4"/>
        <rFont val="Arial"/>
        <family val="2"/>
      </rPr>
      <t xml:space="preserve">* </t>
    </r>
    <r>
      <rPr>
        <b/>
        <sz val="8"/>
        <color theme="4"/>
        <rFont val="Arial"/>
        <family val="2"/>
      </rPr>
      <t>VF247_V1 ID26.0</t>
    </r>
    <r>
      <rPr>
        <sz val="8"/>
        <color theme="4"/>
        <rFont val="Arial"/>
        <family val="2"/>
      </rPr>
      <t>:</t>
    </r>
    <r>
      <rPr>
        <sz val="8"/>
        <color theme="1"/>
        <rFont val="Arial"/>
        <family val="2"/>
      </rPr>
      <t xml:space="preserve"> BCM shall set the signal SLML_STATUS_FD.HighBeamSts_R = Fault when HighBeamSts.Info = SET SET AND Snow_Plow_Presence.Info = Absent</t>
    </r>
  </si>
  <si>
    <t xml:space="preserve">LB
26LB
</t>
  </si>
  <si>
    <t>B163A-00</t>
  </si>
  <si>
    <t>Front Left Turn Lamp 1 Control-</t>
  </si>
  <si>
    <t>VF051</t>
  </si>
  <si>
    <t>*VF051 ID 5.0</t>
  </si>
  <si>
    <t>Turn Signals blinks at doubled normal frequency</t>
  </si>
  <si>
    <t>1. Front Smart Lighting Moudle Left Mulfunction</t>
  </si>
  <si>
    <t>Repair or replace SLML</t>
  </si>
  <si>
    <t>EC1: Ignition Status - IGN_RUN 
EC3: System Voltage – 10V to 16V
EC4: Network Configuration Status - Can Configuration.CAN_node 29 (AFLM_SLML) = Present
EC5: Bus Physical Status - No Bus physical/ Bus Off DTC FD4 Active
EC7: Enable Condition Timer - 5 Seconds</t>
  </si>
  <si>
    <t>Fault Detection Condition: 
When BCM_FD_2.TurnSignalCmd = (LEFT or BOTH) after 200ms SLML_STATUS_FD.TurnSignalSts_L != ON</t>
  </si>
  <si>
    <t>Healing Condition: BCM_FD_2.TurnEvent_Indication != BOTH OR BCM_FD_2.TurnSignalCmd != LEFT</t>
  </si>
  <si>
    <r>
      <rPr>
        <b/>
        <sz val="8"/>
        <color theme="4"/>
        <rFont val="Arial"/>
        <family val="2"/>
      </rPr>
      <t xml:space="preserve">*VF051 ID 5.0
{
</t>
    </r>
    <r>
      <rPr>
        <sz val="8"/>
        <color rgb="FF000000"/>
        <rFont val="Arial"/>
        <family val="2"/>
      </rPr>
      <t xml:space="preserve">When BCM_FD_2.TurnSignalCmd = (LEFT or BOTH)
  - BCM Shall Double the Normal Frequency of Signal BCM_FD_26.L_TurnCluster
  - BCM Shall Set BCM_FD_26.FLTurnLampFault = SET
</t>
    </r>
    <r>
      <rPr>
        <b/>
        <sz val="8"/>
        <color theme="4"/>
        <rFont val="Arial"/>
        <family val="2"/>
      </rPr>
      <t>}</t>
    </r>
    <r>
      <rPr>
        <b/>
        <sz val="8"/>
        <color rgb="FF1F497D"/>
        <rFont val="Arial"/>
        <family val="2"/>
      </rPr>
      <t xml:space="preserve">
</t>
    </r>
  </si>
  <si>
    <t>B163A-01</t>
  </si>
  <si>
    <t>Front Left Turn Lamp 1 Control - General Electrical Failure</t>
  </si>
  <si>
    <t>VF051 ID 10.0</t>
  </si>
  <si>
    <t>HW Info not available</t>
  </si>
  <si>
    <t>IAS_45</t>
  </si>
  <si>
    <t>B36</t>
  </si>
  <si>
    <t>L551</t>
  </si>
  <si>
    <t>EC1: Ignition Status - IGN_RUN 
EC3: System Voltage - 10V to 16V
EC4: Network Configuration Status - Can Configuration.CAN_node 29 (AFLM_SLML) = Absent
EC7: Enable Condition Timer - 5 Seconds</t>
  </si>
  <si>
    <t>Fault Dectection Condition: 
When Analog Input Threshold Between 0.527 to 1.125 will Consider as Fault Note: Refer RCC Doument for more Details</t>
  </si>
  <si>
    <t>Healing Detection Condition: 
When Analog Input Threshold Between 0.0 to 0.527 will Consider as Okay Note: Refer RCC Doument for more Details</t>
  </si>
  <si>
    <r>
      <rPr>
        <b/>
        <sz val="8"/>
        <color theme="4"/>
        <rFont val="Arial"/>
        <family val="2"/>
      </rPr>
      <t xml:space="preserve">VF051 ID 10.0
{
</t>
    </r>
    <r>
      <rPr>
        <sz val="8"/>
        <color rgb="FF000000"/>
        <rFont val="Arial"/>
        <family val="2"/>
      </rPr>
      <t xml:space="preserve">a) When BCM_FD_2.TurnSignalCmd = LEFT,
      - Until BCM_FD_2.TurnSignalCmd != LEFT
         1a) BCM Shall Double the Frequency of BCM_FD_26.L_TurnCluster.
         2a) BCM_FD_26.FLTurnLampFault = SET.
</t>
    </r>
    <r>
      <rPr>
        <b/>
        <sz val="8"/>
        <color theme="4"/>
        <rFont val="Arial"/>
        <family val="2"/>
      </rPr>
      <t>}</t>
    </r>
  </si>
  <si>
    <t>25LB                            26LB</t>
  </si>
  <si>
    <t>B163A-11</t>
  </si>
  <si>
    <t>Front Left Turn Lamp 1 Control-Circuit Short to Ground</t>
  </si>
  <si>
    <t>VF051 ID 10.0 (Left)</t>
  </si>
  <si>
    <t>LeftTurnSignalCmd.Info</t>
  </si>
  <si>
    <t>HS26</t>
  </si>
  <si>
    <t>B01</t>
  </si>
  <si>
    <t>L61</t>
  </si>
  <si>
    <t>EC1: Ignition Status - IGN_RUN
EC2:  Local Voltage – 9V to 16V
EC4: Network Configuration Status - Can Configuration.CAN_node 29 (AFLM_SLML) = Absent</t>
  </si>
  <si>
    <r>
      <rPr>
        <sz val="8"/>
        <color rgb="FF000000"/>
        <rFont val="Arial"/>
        <family val="2"/>
      </rPr>
      <t>Healing Condition: 
Fault Condition is Removed
a) After KeyOff -&gt; KeyOn Transition, When Output On State, BCM Detect No OverCurrent</t>
    </r>
  </si>
  <si>
    <r>
      <rPr>
        <sz val="8"/>
        <color rgb="FF000000"/>
        <rFont val="Arial"/>
        <family val="2"/>
      </rPr>
      <t xml:space="preserve">a) BCM Shall Disable the Output till Next Key Cycle
</t>
    </r>
    <r>
      <rPr>
        <b/>
        <sz val="8"/>
        <color rgb="FF4F81BD"/>
        <rFont val="Arial"/>
        <family val="2"/>
      </rPr>
      <t xml:space="preserve">
VF051 ID 10.0 (Left)
{
</t>
    </r>
    <r>
      <rPr>
        <sz val="8"/>
        <color rgb="FF000000"/>
        <rFont val="Arial"/>
        <family val="2"/>
      </rPr>
      <t xml:space="preserve">b) When BCM_FD_2.TurnSignalCmd = LEFT,
      - Until BCM_FD_2.TurnSignalCmd != LEFT
         1b) BCM_FD_26.FLTurnLampFault = SET.
          </t>
    </r>
    <r>
      <rPr>
        <b/>
        <sz val="8"/>
        <color rgb="FF000000"/>
        <rFont val="Arial"/>
        <family val="2"/>
      </rPr>
      <t xml:space="preserve">2b)Double the frequency of the BH-CAN signal BCM_FD_26.L_TurnCluster
</t>
    </r>
    <r>
      <rPr>
        <b/>
        <sz val="8"/>
        <color rgb="FF4F81BD"/>
        <rFont val="Arial"/>
        <family val="2"/>
      </rPr>
      <t>}</t>
    </r>
  </si>
  <si>
    <t>B163E-00</t>
  </si>
  <si>
    <t>Front Right Turn Lamp 1 Control-</t>
  </si>
  <si>
    <t>1. Front Smart Lighting Moudle Right Mulfunction</t>
  </si>
  <si>
    <t>Repair or replace SLMR</t>
  </si>
  <si>
    <t>EC1: Ignition Status - IGN_RUN
EC3: System Voltage – 10V to 16V
EC5: Bus Physical Status - No Bus physical/ Bus Off DTC FD4 Active
EC4: Network Configuration Status – CAN node 126 (SLMR) = Present
EC7: Enable Condition Timer - 5 Seconds</t>
  </si>
  <si>
    <t>Fault Detection Condition: 
When BCM_FD_2.TurnSignalCmd = (RIGHT or BOTH) after 200ms SLML_STATUS_FD.TurnSignalSts_R != ON</t>
  </si>
  <si>
    <t>Healing Condition: BCM_FD_2.TurnEvent_Indication != BOTH OR BCM_FD_2.TurnSignalCmd != RIGHT</t>
  </si>
  <si>
    <r>
      <rPr>
        <sz val="8"/>
        <color theme="4"/>
        <rFont val="Arial"/>
        <family val="2"/>
      </rPr>
      <t>*</t>
    </r>
    <r>
      <rPr>
        <b/>
        <sz val="8"/>
        <color theme="4"/>
        <rFont val="Arial"/>
        <family val="2"/>
      </rPr>
      <t xml:space="preserve">VF051 ID 5.0
{
</t>
    </r>
    <r>
      <rPr>
        <sz val="8"/>
        <color rgb="FF000000"/>
        <rFont val="Arial"/>
        <family val="2"/>
      </rPr>
      <t xml:space="preserve">When BCM_FD_2.TurnSignalCmd = (RIGHT or BOTH)
  - BCM Shall Double the Normal Frequency of Signal BCM_FD_26.R_TurnCluster
  - BCM Shall Set BCM_FD_26.FRTurnLampFault = SET
</t>
    </r>
    <r>
      <rPr>
        <b/>
        <sz val="8"/>
        <color theme="4"/>
        <rFont val="Arial"/>
        <family val="2"/>
      </rPr>
      <t>}</t>
    </r>
  </si>
  <si>
    <t>B163E-01</t>
  </si>
  <si>
    <t>Front Right Turn Lamp 1 Control - General Electrical Failure</t>
  </si>
  <si>
    <t>IAS_44</t>
  </si>
  <si>
    <t>B35</t>
  </si>
  <si>
    <t>L552</t>
  </si>
  <si>
    <t>EC1: Ignition Status - IGN_RUN
EC2: Local Voltage - 9V to 16V
EC4: Network Configuration Status - CAN node 126 (SLMR) = Absent
EC7: Enable Condition Timer - 5 Sec</t>
  </si>
  <si>
    <r>
      <rPr>
        <b/>
        <sz val="8"/>
        <color theme="4"/>
        <rFont val="Arial"/>
        <family val="2"/>
      </rPr>
      <t xml:space="preserve">VF051 ID 10.0 Right 
{
</t>
    </r>
    <r>
      <rPr>
        <sz val="8"/>
        <color rgb="FF000000"/>
        <rFont val="Arial"/>
        <family val="2"/>
      </rPr>
      <t xml:space="preserve">a) When BCM_FD_2.TurnSignalCmd = RIGHT,
      - Until BCM_FD_2.TurnSignalCmd != RIGHT
         1a) BCM Shall Double the Frequency of BCM_FD_26.R_TurnCluster.
         2a) BCM_FD_26.FRTurnLampFault = SET.
</t>
    </r>
    <r>
      <rPr>
        <b/>
        <sz val="8"/>
        <color theme="4"/>
        <rFont val="Arial"/>
        <family val="2"/>
      </rPr>
      <t>}</t>
    </r>
  </si>
  <si>
    <t xml:space="preserve">25LB                            26LB
</t>
  </si>
  <si>
    <t>B163E-11</t>
  </si>
  <si>
    <t>Front Right Turn Lamp 1 Control-Circuit Short to Ground</t>
  </si>
  <si>
    <t>VF051 ID 5.0
VF051 ID 10.0 (Right)</t>
  </si>
  <si>
    <t>RightTurnSignalCmd.Info</t>
  </si>
  <si>
    <t>G4-HS4A</t>
  </si>
  <si>
    <t>A23</t>
  </si>
  <si>
    <t>L60</t>
  </si>
  <si>
    <t>EC1: Ignition Status - IGN_RUN
EC2:  Local Voltage – 9V to 16V
EC4: Network Configuration Status – Can Configuration.CAN node 126 (SLMR) = Absent</t>
  </si>
  <si>
    <t>Fault Detection Condition: 
a) BCM not in Sleep, Output OFF to ON Transition 
b) In-Rush Time Expired 
c) After 3 Retry Counter; Output = OFF (Latched); BCM Should Detect Over-Current</t>
  </si>
  <si>
    <t>Healing Condition: 
Fault Condition is Removed
a) After KeyOff -&gt; KeyOn Transition, When Output On State, BCM Detect No OverCurrent</t>
  </si>
  <si>
    <r>
      <rPr>
        <sz val="8"/>
        <color rgb="FF000000"/>
        <rFont val="Arial"/>
        <family val="2"/>
      </rPr>
      <t xml:space="preserve">a) BCM Shall Disable the Output till Next Key Cycle
</t>
    </r>
    <r>
      <rPr>
        <b/>
        <sz val="8"/>
        <color rgb="FF4F81BD"/>
        <rFont val="Arial"/>
        <family val="2"/>
      </rPr>
      <t xml:space="preserve">
VF051 ID 5/ ID 10.0 Right
{
</t>
    </r>
    <r>
      <rPr>
        <sz val="8"/>
        <color rgb="FF000000"/>
        <rFont val="Arial"/>
        <family val="2"/>
      </rPr>
      <t xml:space="preserve">
b) When BCM_FD_2.TurnSignalCmd = RIGHT,
     - Until BCM_FD_2.TurnSignalCmd != RIGHT
        1b) BCM_FD_26.FRTurnLampFault = SET.
        </t>
    </r>
    <r>
      <rPr>
        <b/>
        <sz val="8"/>
        <color rgb="FF000000"/>
        <rFont val="Arial"/>
        <family val="2"/>
      </rPr>
      <t xml:space="preserve">2b) Double the frequency of the BH-CAN signal BCM_FD_26.R_TurnCluster
</t>
    </r>
    <r>
      <rPr>
        <b/>
        <sz val="8"/>
        <color rgb="FF4F81BD"/>
        <rFont val="Arial"/>
        <family val="2"/>
      </rPr>
      <t>}</t>
    </r>
  </si>
  <si>
    <t>B1642-00</t>
  </si>
  <si>
    <t>Rear Left Turn Lamp Control-</t>
  </si>
  <si>
    <t>*VF051 ID 12.0
*VF051 ID 8.0</t>
  </si>
  <si>
    <t>Check for Blown Fuse.
Repair Module Communication or Replace Module</t>
  </si>
  <si>
    <t>EC1: Ignition Status - IGN_RUN
EC2: Local Voltage – 9V to 16V
EC5: Bus Physical Status - No Bus physical/ Bus Off DTC LIN 8 Active
EC6: I/O Device Configuration Status  – Additional_Tail_Light = Present
EC7: Enable Condition Timer - 5 seconds</t>
  </si>
  <si>
    <t xml:space="preserve">Fault Detection Condition:
When BCM_FD_2.TurnSignalCmd = (LEFT or BOTH), after 200ms SLMRL_A1.RL_Turn_Light_Faulted = FAULTED  </t>
  </si>
  <si>
    <t>Healing Condition: 
When BCM_FD_2.TurnSignalCmd = (LEFT or BOTH), after 200ms SLMRL_A1.RL_Turn_Light_Faulted != FAULTED</t>
  </si>
  <si>
    <r>
      <rPr>
        <b/>
        <sz val="8"/>
        <color theme="4"/>
        <rFont val="Arial"/>
        <family val="2"/>
      </rPr>
      <t>VF051 ID8.0 -
{</t>
    </r>
    <r>
      <rPr>
        <sz val="8"/>
        <color theme="4"/>
        <rFont val="Arial"/>
        <family val="2"/>
      </rPr>
      <t xml:space="preserve">
</t>
    </r>
    <r>
      <rPr>
        <sz val="8"/>
        <color theme="1"/>
        <rFont val="Arial"/>
        <family val="2"/>
      </rPr>
      <t xml:space="preserve">  When BCM_FD_2.TurnSignalCmd = LEFT,
       - Until BCM_FD_2.TurnEvent_Indication != LEFT
          a) BCM shall double the frequency of BCM_FD_26.L_TurnCluster. 
          b) BCM shall Set BCM_FD_26.RLTurnLampFault = SET.
  When BCM_FD_2.TurnSignalCmd = LEFT or BOTH,
      - Until BCM_FD_2.TurnEvent_Indication = RIGHT or OFF 
         a) BCM shall double the frequency of BCM_FD_26.L_TurnCluster.
         b) BCM shall Set BCM_FD_26.RLTurnLampFault = SET.
</t>
    </r>
    <r>
      <rPr>
        <b/>
        <sz val="8"/>
        <color theme="4"/>
        <rFont val="Arial"/>
        <family val="2"/>
      </rPr>
      <t>}</t>
    </r>
  </si>
  <si>
    <t>B1642-11</t>
  </si>
  <si>
    <t>Rear Left Turn Lamp Control-Circuit Short to Ground</t>
  </si>
  <si>
    <t>*VF051 ID 3.0</t>
  </si>
  <si>
    <t>Turn Signals inoperative or operating incorrectly</t>
  </si>
  <si>
    <t>RL_Turn_Cmd_HW</t>
  </si>
  <si>
    <t>HS4E</t>
  </si>
  <si>
    <t>F16</t>
  </si>
  <si>
    <t>L9</t>
  </si>
  <si>
    <t>EC1: Ignition Status - IGN_RUN
EC2:  Local Voltage – 9V to 16V
EC6: I/O Device Configuration Status – Additional_Tail_Light = PRESENT</t>
  </si>
  <si>
    <t>Healing Condition: 
Fault Condition is Removed  a) After KeyOff -&gt; KeyOn Transition, When Output On State, BCM Detect No OverCurrent</t>
  </si>
  <si>
    <t>B1642-12</t>
  </si>
  <si>
    <t>Rear Left Turn Lamp Control-Circuit Short to Battery</t>
  </si>
  <si>
    <t>L6</t>
  </si>
  <si>
    <t>EC1: Ignition Status - IGN_RUN
EC2: Local Voltage – 9V to 16V
EC6: I/O Device Configuration Status – Additional_Tail_Light = PRESENT
EC7: Enable Condition Timer - 5 sec</t>
  </si>
  <si>
    <t>Fault Detection Condition:
BCM Should Detect Short to Battery When the Output is OFF</t>
  </si>
  <si>
    <t>Healing Condition:
BCM no Longer Detects Short to Battery When the Output is OFF</t>
  </si>
  <si>
    <t xml:space="preserve">KM
LB
EJ 
26KM
26LB
26EJ
</t>
  </si>
  <si>
    <t>B1643-11</t>
  </si>
  <si>
    <t>Rear Left Turn Lamp 2 Control-Circuit Short to Ground</t>
  </si>
  <si>
    <t>VF051_V1
VF057_V1</t>
  </si>
  <si>
    <t>*VF051_V1 ID 6.0
*VF057_V1 ID 2.0</t>
  </si>
  <si>
    <t>Turn Signals Blinks at Doubled Normal Frequency</t>
  </si>
  <si>
    <t>L_StopTurnLight.Cmd</t>
  </si>
  <si>
    <t>G4-HS4D</t>
  </si>
  <si>
    <t>F01</t>
  </si>
  <si>
    <t>L52</t>
  </si>
  <si>
    <t>EC1: Ignition Status - IGN_RUN 
EC2: Local Voltage – 9V to 16V 
EC6: I/O Device Configuration Status - Additional_Tail_Light = Absent AND Combined_Rear_Lighting = Present</t>
  </si>
  <si>
    <r>
      <rPr>
        <sz val="8"/>
        <color rgb="FF000000"/>
        <rFont val="Arial"/>
        <family val="2"/>
      </rPr>
      <t xml:space="preserve">a) BCM Shall Disable the Output till Next Key Cycle
</t>
    </r>
    <r>
      <rPr>
        <b/>
        <sz val="8"/>
        <color rgb="FF4F81BD"/>
        <rFont val="Arial"/>
        <family val="2"/>
      </rPr>
      <t xml:space="preserve">VF051 ID3.0 - 
</t>
    </r>
    <r>
      <rPr>
        <sz val="8"/>
        <color rgb="FF1F497D"/>
        <rFont val="Arial"/>
        <family val="2"/>
      </rPr>
      <t xml:space="preserve">{
</t>
    </r>
    <r>
      <rPr>
        <sz val="8"/>
        <color rgb="FF000000"/>
        <rFont val="Arial"/>
        <family val="2"/>
      </rPr>
      <t xml:space="preserve"> b) When BCM_FD_2.TurnSignalCmd = LEFT,
      - Until BCM_FD_2.TurnEvent_Indication != LEFT, BCM Shall,
         b1) Double the Frequency of BCM_FD_26.L_TurnCluster
         b2) Set BCM_FD_26.RLTurnLampFault = SET
 c) When BCM_FD_2.TurnSignalCmd = BOTH,
      - Until BCM_FD_2.TurnEvent_Indication = RIGHT or OFF, BCM Shall,
         c1)Set BCM_FD_26.RLTurnLampFault = SET
</t>
    </r>
    <r>
      <rPr>
        <b/>
        <sz val="8"/>
        <color rgb="FF4F81BD"/>
        <rFont val="Arial"/>
        <family val="2"/>
      </rPr>
      <t xml:space="preserve">VF057 ID 2.0 -
</t>
    </r>
    <r>
      <rPr>
        <b/>
        <sz val="8"/>
        <color rgb="FF000000"/>
        <rFont val="Arial"/>
        <family val="2"/>
      </rPr>
      <t xml:space="preserve">       </t>
    </r>
    <r>
      <rPr>
        <sz val="8"/>
        <color rgb="FF000000"/>
        <rFont val="Arial"/>
        <family val="2"/>
      </rPr>
      <t xml:space="preserve">d1) Set BCM_FD_9.StopLightFault = True (FD-CAN2 &amp; FD-CAN3)
       d2) Internal signal LStopTurnLightFLT = SET
</t>
    </r>
    <r>
      <rPr>
        <sz val="8"/>
        <color rgb="FF1F497D"/>
        <rFont val="Arial"/>
        <family val="2"/>
      </rPr>
      <t>}</t>
    </r>
  </si>
  <si>
    <t xml:space="preserve">25KM
26KM
</t>
  </si>
  <si>
    <t>B1643-12</t>
  </si>
  <si>
    <t>Rear Left Turn Lamp 2 Control-Circuit Short to Battery</t>
  </si>
  <si>
    <t>EC1: Ignition Status - IGN_RUN 
EC2: Local Voltage – 9V to 16V 
EC6: I/O Device Configuration Status - Additional_Tail_Light = Absent AND Combined_Rear_Lighting = Present
EC7: Enable Condition Timer - 5 Seconds</t>
  </si>
  <si>
    <t>Fault Detection Condition: 
BCM Should Detected Short to Battery when the Output is OFF</t>
  </si>
  <si>
    <t>Healing Condition: 
BCM No Longer Detect Short to Battery when the Output is OFF</t>
  </si>
  <si>
    <r>
      <rPr>
        <sz val="8"/>
        <color rgb="FF000000"/>
        <rFont val="Arial"/>
        <family val="2"/>
      </rPr>
      <t xml:space="preserve">a) BCM Shall Disable the Output till Next Key Cycle 
</t>
    </r>
    <r>
      <rPr>
        <b/>
        <sz val="8"/>
        <color rgb="FF4F81BD"/>
        <rFont val="Arial"/>
        <family val="2"/>
      </rPr>
      <t>VF051 ID6.0 -</t>
    </r>
    <r>
      <rPr>
        <sz val="8"/>
        <color rgb="FF000000"/>
        <rFont val="Arial"/>
        <family val="2"/>
      </rPr>
      <t xml:space="preserve"> 
 b) When BCM_FD_2.TurnSignalCmd = LEFT,
      - Until BCM_FD_2.TurnEvent_Indication != LEFT, BCM Shall,
         b1) Double the Frequency of BCM_FD_26.L_TurnCluster
         b2) Set BCM_FD_26.RLTurnLampFault = SET
 c) When BCM_FD_2.TurnSignalCmd = BOTH,
      - Until BCM_FD_2.TurnEvent_Indication = RIGHT or OFF, BCM Shall,
         c1)Set BCM_FD_26.RLTurnLampFault = SET
</t>
    </r>
    <r>
      <rPr>
        <b/>
        <sz val="8"/>
        <color rgb="FF4F81BD"/>
        <rFont val="Arial"/>
        <family val="2"/>
      </rPr>
      <t xml:space="preserve">VF057 ID 2.0 -
</t>
    </r>
    <r>
      <rPr>
        <b/>
        <sz val="8"/>
        <color rgb="FF000000"/>
        <rFont val="Arial"/>
        <family val="2"/>
      </rPr>
      <t xml:space="preserve">       </t>
    </r>
    <r>
      <rPr>
        <sz val="8"/>
        <color rgb="FF000000"/>
        <rFont val="Arial"/>
        <family val="2"/>
      </rPr>
      <t>d1) Set BCM_FD_9.StopLightFault = True (FD-CAN2 &amp; FD-CAN3)
       d2) Internal signal LStopTurnLightFLT = SET</t>
    </r>
  </si>
  <si>
    <t>B1643-13</t>
  </si>
  <si>
    <t>Rear Left Turn Lamp 2 Control-Circuit Open</t>
  </si>
  <si>
    <t>IAS_51</t>
  </si>
  <si>
    <t>F24</t>
  </si>
  <si>
    <t>L563</t>
  </si>
  <si>
    <t>Fault Detection Condition: 
BCM detects the logical state of the input to be Open</t>
  </si>
  <si>
    <t>Healing Condition: 
BCM no longer detects the logical state of the input to be Open</t>
  </si>
  <si>
    <r>
      <rPr>
        <sz val="8"/>
        <color rgb="FF4F81BD"/>
        <rFont val="Arial"/>
        <family val="2"/>
      </rPr>
      <t xml:space="preserve">VF051 ID6.0 - 
</t>
    </r>
    <r>
      <rPr>
        <sz val="8"/>
        <color rgb="FF000000"/>
        <rFont val="Arial"/>
        <family val="2"/>
      </rPr>
      <t xml:space="preserve">
 a) When BCM_FD_2.TurnSignalCmd = LEFT,
      - Until BCM_FD_2.TurnEvent_Indication != LEFT, BCM Shall,
         a1) Double the Frequency of BCM_FD_26.L_TurnCluster
         a2) Set BCM_FD_26.RLTurnLampFault = SET
 b) When BCM_FD_2.TurnSignalCmd = BOTH,
      - Until BCM_FD_2.TurnEvent_Indication = RIGHT or OFF, BCM Shall,
         b1)Set BCM_FD_26.RLTurnLampFault = SET
</t>
    </r>
    <r>
      <rPr>
        <sz val="8"/>
        <color rgb="FF4F81BD"/>
        <rFont val="Arial"/>
        <family val="2"/>
      </rPr>
      <t xml:space="preserve">VF057 ID 2.0 -
</t>
    </r>
    <r>
      <rPr>
        <sz val="8"/>
        <color rgb="FF000000"/>
        <rFont val="Arial"/>
        <family val="2"/>
      </rPr>
      <t xml:space="preserve">       c1) Set BCM_FD_9.StopLightFault = True (FD-CAN2 &amp; FD-CAN3)
       c2) Internal signal LStopTurnLightFLT = SET</t>
    </r>
  </si>
  <si>
    <t xml:space="preserve">
26KM</t>
  </si>
  <si>
    <t>B1645-00</t>
  </si>
  <si>
    <t xml:space="preserve">Rear Left Turn Lamp Control Circuit Open- </t>
  </si>
  <si>
    <t>VF051 ID 3.0</t>
  </si>
  <si>
    <t>1. Rear Smart Lighting Moudle Left Mulfunction</t>
  </si>
  <si>
    <t>Repair or replace SLMRL</t>
  </si>
  <si>
    <t>RL_Turn_Cmd</t>
  </si>
  <si>
    <t>EC1: Ignition Status - IGN_RUN
EC2: Local Voltage - 9V to 16V
EC4: Network Configuration Status - Additional_Tail_Light = Present
EC7: Enable Condition Timer - 5 Sec</t>
  </si>
  <si>
    <t>Fault Dectection Condition: 
When Analog Input Threshold Between 0.472 to 1.143 will Consider as Fault Note: Refer RCC Doument for more Details</t>
  </si>
  <si>
    <t>Healing Detection Condition: 
When Analog Input Threshold Between 0.00 to 0.472 will Consider as Okay Note: Refer RCC Doument for more Details</t>
  </si>
  <si>
    <t>B1646-00</t>
  </si>
  <si>
    <t>Rear Right Turn Lamp Control-</t>
  </si>
  <si>
    <t>*VF051 ID 13.0
*VF051 ID 9.0</t>
  </si>
  <si>
    <t>EC1: Ignition Status - IGN_RUN
EC3: System Voltage - 10V to 16V
EC5: Bus Physical Status - No Bus physical/ Bus Off DTC LIN 7 Active
EC6: I/O Device Configuration Status – Additional_Tail_Light = Present
EC7: Enable Condition Timer - 5 seconds</t>
  </si>
  <si>
    <t>Fault Detection Condition:
When BCM_FD_2.TurnSignalCmd = (RIGHT or BOTH), after 200ms SLMRR_A1.RR_Turn_Light_Faulted = FAULTED</t>
  </si>
  <si>
    <t>Healing Condition: 
When BCM_FD_2.TurnSignalCmd == (RIGHT or BOTH), after 200ms SLMRR_A1.RR_Turn_Light_Faulted != FAULTED</t>
  </si>
  <si>
    <r>
      <rPr>
        <b/>
        <sz val="8"/>
        <color theme="4"/>
        <rFont val="Arial"/>
        <family val="2"/>
      </rPr>
      <t xml:space="preserve">VF051 ID9.0 - </t>
    </r>
    <r>
      <rPr>
        <b/>
        <sz val="8"/>
        <color rgb="FF1F497D"/>
        <rFont val="Arial"/>
        <family val="2"/>
      </rPr>
      <t xml:space="preserve">
{
</t>
    </r>
    <r>
      <rPr>
        <sz val="8"/>
        <color rgb="FF000000"/>
        <rFont val="Arial"/>
        <family val="2"/>
      </rPr>
      <t xml:space="preserve">   When BCM_FD_2.TurnSignalCmd = RIGHT,
       - Until BCM_FD_2.TurnEvent_Indication != RIGHT
          a) BCM shall double the frequency of BCM_FD_26.R_TurnCluster.
          b) BCM shall Set BCM_FD_26.RRTurnLampFault = SET.
  When BCM_FD_2.TurnSignalCmd =  BOTH,
      - Until BCM_FD_2.TurnEvent_Indication = LEFT or OFF 
           a) BCM shall Set BCM_FD_26.RRTurnLampFault = SET.
</t>
    </r>
    <r>
      <rPr>
        <b/>
        <sz val="8"/>
        <color rgb="FF1F497D"/>
        <rFont val="Arial"/>
        <family val="2"/>
      </rPr>
      <t xml:space="preserve">}
</t>
    </r>
  </si>
  <si>
    <t xml:space="preserve">25KM
25LB
25EJ
26LB
26EJ
26KM
</t>
  </si>
  <si>
    <t>B1646-11</t>
  </si>
  <si>
    <t>Rear Right Turn Lamp Control-Circuit Short to Ground</t>
  </si>
  <si>
    <t>*VF051 ID 4.0</t>
  </si>
  <si>
    <t>Rear Right Turn Lamp Control Inoperative</t>
  </si>
  <si>
    <t>RR_Turn_Cmd_HW</t>
  </si>
  <si>
    <t>HS47</t>
  </si>
  <si>
    <t>E31</t>
  </si>
  <si>
    <t xml:space="preserve">KM
LB
EJ
26KM 
26LB
26EJ
</t>
  </si>
  <si>
    <t>B1646-12</t>
  </si>
  <si>
    <t>Rear Right Turn Lamp Control-Circuit Short to Battery</t>
  </si>
  <si>
    <r>
      <rPr>
        <sz val="8"/>
        <color rgb="FF000000"/>
        <rFont val="Arial"/>
        <family val="2"/>
      </rPr>
      <t>*VF051</t>
    </r>
    <r>
      <rPr>
        <b/>
        <sz val="8"/>
        <color rgb="FF000000"/>
        <rFont val="Arial"/>
        <family val="2"/>
      </rPr>
      <t xml:space="preserve"> ID 4.0</t>
    </r>
  </si>
  <si>
    <t>EC1: Ignition Status - IGN_RUN
EC2:  Local Voltage – 9V to 16V
EC6: I/O Device Configuration Status – Additional_Tail_Light = PRESENT
EC7: Enable Condition Timer - 5 sec</t>
  </si>
  <si>
    <t>B1648-11</t>
  </si>
  <si>
    <t>Rear Right Turn Lamp 2 Control-Circuit Short to Ground</t>
  </si>
  <si>
    <t>*VF051_V1 ID 7.0
*VF057_V1 ID 3.0</t>
  </si>
  <si>
    <t>R_StopTurnLight.Cmd</t>
  </si>
  <si>
    <t>G4-HS44</t>
  </si>
  <si>
    <t>E46</t>
  </si>
  <si>
    <r>
      <rPr>
        <sz val="8"/>
        <color rgb="FF000000"/>
        <rFont val="Arial"/>
        <family val="2"/>
      </rPr>
      <t xml:space="preserve">a) BCM Shall Disable the Output till Next Key Cycle
</t>
    </r>
    <r>
      <rPr>
        <b/>
        <sz val="8"/>
        <color rgb="FF4F81BD"/>
        <rFont val="Arial"/>
        <family val="2"/>
      </rPr>
      <t xml:space="preserve">VF051 ID7.0 -
</t>
    </r>
    <r>
      <rPr>
        <sz val="8"/>
        <color rgb="FF000000"/>
        <rFont val="Arial"/>
        <family val="2"/>
      </rPr>
      <t xml:space="preserve"> 
 b) When BCM_FD_2.TurnSignalCmd = RIGHT,
       - Until BCM_FD_2.TurnEvent_Indication != RIGHT, BCM Shall,
          b1) Double the Frequency of BCM_FD_26.R_TurnCluster
          b2) Set BCM_FD_26.RRTurnLampFault = SET
)
 c) When BCM_FD_2.TurnSignalCmd =  BOTH,
      - Until BCM_FD_2.TurnEvent_Indication = LEFT or OFF, BCM Shall,
         c1) Set BCM_FD_26.RRTurnLampFault = SET
</t>
    </r>
    <r>
      <rPr>
        <sz val="8"/>
        <color rgb="FF4F81BD"/>
        <rFont val="Arial"/>
        <family val="2"/>
      </rPr>
      <t xml:space="preserve">
</t>
    </r>
    <r>
      <rPr>
        <b/>
        <sz val="8"/>
        <color rgb="FF4F81BD"/>
        <rFont val="Arial"/>
        <family val="2"/>
      </rPr>
      <t xml:space="preserve">VF057 ID 3.0 -
</t>
    </r>
    <r>
      <rPr>
        <b/>
        <sz val="8"/>
        <color rgb="FF000000"/>
        <rFont val="Arial"/>
        <family val="2"/>
      </rPr>
      <t xml:space="preserve">       d</t>
    </r>
    <r>
      <rPr>
        <sz val="8"/>
        <color rgb="FF000000"/>
        <rFont val="Arial"/>
        <family val="2"/>
      </rPr>
      <t>1) Set BCM_FD_9.StopLightFault = True (FD-CAN2 &amp; FD-CAN3)
       d2) Internal signal RStopTurnLightFLT = SET</t>
    </r>
  </si>
  <si>
    <t>25KM
26KM</t>
  </si>
  <si>
    <t>B1648-12</t>
  </si>
  <si>
    <t>Rear Right Turn Lamp 2 Control-Circuit Short to Battery</t>
  </si>
  <si>
    <r>
      <rPr>
        <sz val="8"/>
        <color rgb="FF000000"/>
        <rFont val="Arial"/>
        <family val="2"/>
      </rPr>
      <t xml:space="preserve">EC1: Ignition Status - IGN_RUN 
EC2: Local Voltage – 9V to 16V 
</t>
    </r>
    <r>
      <rPr>
        <strike/>
        <sz val="8"/>
        <color rgb="FF000000"/>
        <rFont val="Arial"/>
        <family val="2"/>
      </rPr>
      <t xml:space="preserve">EC5: Bus Physical Status - No Bus physical/ Bus Off DTC LIN 8 Active 
</t>
    </r>
    <r>
      <rPr>
        <sz val="8"/>
        <color rgb="FF000000"/>
        <rFont val="Arial"/>
        <family val="2"/>
      </rPr>
      <t>EC6: I/O Device Configuration Status - Additional_Tail_Light = Absent AND Combined_Rear_Lighting = Present EC7: Enable Condition Timer - 5 Seconds</t>
    </r>
  </si>
  <si>
    <r>
      <rPr>
        <sz val="8"/>
        <color rgb="FF000000"/>
        <rFont val="Arial"/>
        <family val="2"/>
      </rPr>
      <t xml:space="preserve"> a) BCM Shall Disable the Output till Next Key Cycle
</t>
    </r>
    <r>
      <rPr>
        <b/>
        <sz val="8"/>
        <color rgb="FF4F81BD"/>
        <rFont val="Arial"/>
        <family val="2"/>
      </rPr>
      <t xml:space="preserve">VF051 ID7.0 -
</t>
    </r>
    <r>
      <rPr>
        <sz val="8"/>
        <color rgb="FF000000"/>
        <rFont val="Arial"/>
        <family val="2"/>
      </rPr>
      <t xml:space="preserve">
 b) When BCM_FD_2.TurnSignalCmd = RIGHT,
       - Until BCM_FD_2.TurnEvent_Indication != RIGHT, BCM Shall,
          b1) Double the Frequency of BCM_FD_26.R_TurnCluster
          b2) Set BCM_FD_26.RRTurnLampFault = SET
)
 c) When BCM_FD_2.TurnSignalCmd =  BOTH,
      - Until BCM_FD_2.TurnEvent_Indication = LEFT or OFF, BCM Shall,
         c1) Set BCM_FD_26.RRTurnLampFault = SET
</t>
    </r>
    <r>
      <rPr>
        <b/>
        <sz val="8"/>
        <color rgb="FF4F81BD"/>
        <rFont val="Arial"/>
        <family val="2"/>
      </rPr>
      <t xml:space="preserve">VF057 ID 3.0 -
</t>
    </r>
    <r>
      <rPr>
        <b/>
        <sz val="8"/>
        <color rgb="FF000000"/>
        <rFont val="Arial"/>
        <family val="2"/>
      </rPr>
      <t xml:space="preserve">       </t>
    </r>
    <r>
      <rPr>
        <sz val="8"/>
        <color rgb="FF000000"/>
        <rFont val="Arial"/>
        <family val="2"/>
      </rPr>
      <t>d1) Set BCM_FD_9.StopLightFault = True (FD-CAN2 &amp; FD-CAN3)
       d2) Internal signal RStopTurnLightFLT = SET</t>
    </r>
  </si>
  <si>
    <t>B1648-13</t>
  </si>
  <si>
    <t>Rear Right Turn Lamp 2 Control-Circuit Open</t>
  </si>
  <si>
    <t>*VF051_V1 ID  7.0
*VF057_V1 ID  3.0</t>
  </si>
  <si>
    <t>IAS_50</t>
  </si>
  <si>
    <t>F23</t>
  </si>
  <si>
    <t>L562</t>
  </si>
  <si>
    <t>EC1: Ignition Status - IGN_RUN 
EC2: Local Voltage – 9V to 16V  
EC6: I/O Device Configuration Status - Additional_Tail_Light = Absent AND Combined_Rear_Lighting = Present 
EC7: Enable Condition Timer - 5 Seconds</t>
  </si>
  <si>
    <t>Fault Detection Condition: 
 BCM detects the logical state of the input to be Open</t>
  </si>
  <si>
    <r>
      <rPr>
        <sz val="8"/>
        <color theme="4"/>
        <rFont val="Arial"/>
        <family val="2"/>
      </rPr>
      <t>VF051 ID7.0 -</t>
    </r>
    <r>
      <rPr>
        <sz val="8"/>
        <color rgb="FF000000"/>
        <rFont val="Arial"/>
        <family val="2"/>
      </rPr>
      <t xml:space="preserve">
  a) When BCM_FD_2.TurnSignalCmd = RIGHT,
       - Until BCM_FD_2.TurnEvent_Indication != RIGHT, BCM Shall,
          a1) Double the Frequency of BCM_FD_26.R_TurnCluster
          a2) Set BCM_FD_26.RRTurnLampFault = SET
 b) When BCM_FD_2.TurnSignalCmd =  BOTH,
      - Until BCM_FD_2.TurnEvent_Indication = LEFT or OFF, BCM Shall,
         b1) Set BCM_FD_26.RRTurnLampFault = SET
         b2) Set BCM_FD_9.StopLightFault = True (FD-CAN2 &amp; FD-CAN3)
</t>
    </r>
    <r>
      <rPr>
        <sz val="8"/>
        <color theme="4"/>
        <rFont val="Arial"/>
        <family val="2"/>
      </rPr>
      <t xml:space="preserve">VF057 ID 3.0 -
</t>
    </r>
    <r>
      <rPr>
        <sz val="8"/>
        <color rgb="FF000000"/>
        <rFont val="Arial"/>
        <family val="2"/>
      </rPr>
      <t xml:space="preserve">       c1) Set BCM_FD_9.StopLightFault = True (FD-CAN2 &amp; FD-CAN3)
       c2) Internal signal RStopTurnLightFLT = SET</t>
    </r>
  </si>
  <si>
    <t>B1649-00</t>
  </si>
  <si>
    <t xml:space="preserve">Rear Right Turn Lamp Control Circuit Open- </t>
  </si>
  <si>
    <t>VF051 ID 4.0</t>
  </si>
  <si>
    <t>Rear Smart Lighting Moudle Right Mulfunction</t>
  </si>
  <si>
    <t>Repair or replace SLMRR</t>
  </si>
  <si>
    <t>RR_Turn_Cmd</t>
  </si>
  <si>
    <t xml:space="preserve">
Healing Detection Condition: 
When Analog Input Threshold Between 0.00 to 0.472 will Consider as Okay Note: Refer RCC Doument for more Details</t>
  </si>
  <si>
    <t>B165B-2A</t>
  </si>
  <si>
    <t>Park Lamp Control-Stuck</t>
  </si>
  <si>
    <t>EC1: Ignition Status - IGN_RUN or START 
EC3: System Voltage - 10V to 16V
EC4: Network Configuration Status - Always True 
EC5: Bus Physical Status - No Bus physical/ Bus Off DTC LIN2 Active
EC7: Enable Condition Timer - 1 seconds
26KM &amp; EJ:
 EC6: I/O Device Configuration Status – HLS_Command_Type == Type 1  or Absent</t>
  </si>
  <si>
    <t>IF the BCM recognizes the signal in HLSM_A1.Button_05_State = Pressed for longer than 20 seconds.</t>
  </si>
  <si>
    <t>HLSM_A1.Button_05_State != Pressed</t>
  </si>
  <si>
    <r>
      <rPr>
        <b/>
        <sz val="8"/>
        <color rgb="FF4F81BD"/>
        <rFont val="Arial"/>
        <family val="2"/>
      </rPr>
      <t xml:space="preserve">VF247_V1 ID 27.0
{
</t>
    </r>
    <r>
      <rPr>
        <sz val="8"/>
        <color rgb="FF000000"/>
        <rFont val="Arial"/>
        <family val="2"/>
      </rPr>
      <t xml:space="preserve">IF PROXI Hybrid_Type == (BEV or HEV) AND PT_SYSTEM_FD_1.PowertrainPrplsnActv_PT = Active and CmdIgnSts.Info = IGN_RUN
Consider the Signal as Not_Pressed until the Stuck Button Condition is Removed.
BCM Shall Set all Signals and Outputs as described in ""Lights Management"" when the internal variable MainLightSelector = Low Beams
IF PROXI Hybrid_Type == Not Applicable AND ENGINE_FD_2.PowertrainPrplsnActv == ACTIVE and CmdIgnSts.Info = IGN_RUN
Consider the Signal as Not_Pressed until the Stuck Button Condition is Removed.
BCM Shall Set all Signals and Outputs as described in ""Lights Management"" when the internal variable MainLightSelector = Low Beams
</t>
    </r>
    <r>
      <rPr>
        <b/>
        <sz val="8"/>
        <color rgb="FF1F497D"/>
        <rFont val="Arial"/>
        <family val="2"/>
      </rPr>
      <t>}</t>
    </r>
  </si>
  <si>
    <t>B165E-11</t>
  </si>
  <si>
    <t>Liftgate Park Lamp Control-Circuit Short to Ground</t>
  </si>
  <si>
    <t>Liftgate Park Lamp remains OFF</t>
  </si>
  <si>
    <t xml:space="preserve">ParkingLight.Cmd(Additional_Tail_Light == Absent)
OR
ParkingLightRedundancy.Cmd(Additional_Tail_Light == Present) </t>
  </si>
  <si>
    <t>HS23</t>
  </si>
  <si>
    <t>E60</t>
  </si>
  <si>
    <t>L17</t>
  </si>
  <si>
    <t>EC1: Ignition Status - IGN_RUN
EC2:  Local Voltage – 9V to 16V
EC6: I/O Device Configuration Status – always true</t>
  </si>
  <si>
    <t>BCM detected overcurrent when the output is ON.
Note:
* Retry counter: 3;
* DTC is matured after 3 retries.</t>
  </si>
  <si>
    <t>B1662-11</t>
  </si>
  <si>
    <t>Rear Fog Lamp Control-Circuit Short to Ground</t>
  </si>
  <si>
    <t>VF033</t>
  </si>
  <si>
    <t>* VF033 ID 1.0
* VF033 ID 2.0</t>
  </si>
  <si>
    <t>Rear Left Fog Lamp inoperative</t>
  </si>
  <si>
    <t xml:space="preserve">LeftRearFogLight.Cmd
RightRearFogLight.Cmd
</t>
  </si>
  <si>
    <t>G1-HS1A</t>
  </si>
  <si>
    <t>E08</t>
  </si>
  <si>
    <t>L899</t>
  </si>
  <si>
    <t>EC1: Ignition Status - IGN_RUN
EC2:  Local Voltage – 9V to 16V
EC6:  I/O Device Configuration Status –
Rear_Fog_Light_Configuration = (0x01 - Two Lights)
KM49
PROXI EC6: I/O Device Configuration Status –Additional_Tail_Light==ABSENT</t>
  </si>
  <si>
    <r>
      <rPr>
        <sz val="8"/>
        <color rgb="FF000000"/>
        <rFont val="Arial"/>
        <family val="2"/>
      </rPr>
      <t xml:space="preserve">Fault Detection Condition: 
</t>
    </r>
    <r>
      <rPr>
        <b/>
        <strike/>
        <sz val="8"/>
        <color rgb="FF000000"/>
        <rFont val="Arial"/>
        <family val="2"/>
      </rPr>
      <t xml:space="preserve">
</t>
    </r>
    <r>
      <rPr>
        <sz val="8"/>
        <color rgb="FF000000"/>
        <rFont val="Arial"/>
        <family val="2"/>
      </rPr>
      <t>a) BCM not in Sleep, Output OFF to ON Transition 
b) In-Rush Time Expired 
c) After 3 Retry Counter; Output = OFF (Latched); BCM Should Detect Over-Current</t>
    </r>
  </si>
  <si>
    <r>
      <rPr>
        <sz val="8"/>
        <color rgb="FF000000"/>
        <rFont val="Arial"/>
        <family val="2"/>
      </rPr>
      <t xml:space="preserve">BCM shall disable the output till next key cycle.
</t>
    </r>
    <r>
      <rPr>
        <b/>
        <sz val="8"/>
        <color rgb="FF1F497D"/>
        <rFont val="Arial"/>
        <family val="2"/>
      </rPr>
      <t xml:space="preserve">
VF033 ID 1.0 &amp; 2.0
</t>
    </r>
    <r>
      <rPr>
        <sz val="8"/>
        <color rgb="FF000000"/>
        <rFont val="Arial"/>
        <family val="2"/>
      </rPr>
      <t xml:space="preserve">-Set RearFogLightFault.Info = PRESENT.
</t>
    </r>
  </si>
  <si>
    <t xml:space="preserve">
26KM49
26LB
</t>
  </si>
  <si>
    <t>B1664-11</t>
  </si>
  <si>
    <t xml:space="preserve"> Rear Fog Lamp Control Circuit High - Circuit Short to Ground</t>
  </si>
  <si>
    <t>* VF033 ID N.A.</t>
  </si>
  <si>
    <t>Redundancy to SLMC1 module circuit shorted</t>
  </si>
  <si>
    <t xml:space="preserve">LeftRearFogLightRedundancy.Cmd
RightRearFogLightRedundancy.Cmd
</t>
  </si>
  <si>
    <t xml:space="preserve">EC1: Ignition Status - IGN_RUN
EC2:  Local Voltage – 9V to 16V
EC6:  I/O Device Configuration Status –
Rear_Fog_Light_Configuration = (0x01 - Two Lights) &amp; PROXI Additional_Tail_Light== PRESENT
</t>
  </si>
  <si>
    <t>B1666-11</t>
  </si>
  <si>
    <t>Reverse Lamp Control-Circuit Short to Ground</t>
  </si>
  <si>
    <t>VF247 IDNA</t>
  </si>
  <si>
    <t>Reverse Lamp remians OFF</t>
  </si>
  <si>
    <t>ReverseGearLight.Cmd</t>
  </si>
  <si>
    <t>HS17</t>
  </si>
  <si>
    <t>E05</t>
  </si>
  <si>
    <t>L16</t>
  </si>
  <si>
    <r>
      <rPr>
        <sz val="8"/>
        <color rgb="FF000000"/>
        <rFont val="Arial"/>
        <family val="2"/>
      </rPr>
      <t xml:space="preserve">EC1: Ignition Status - IGN_RUN
EC2:  Local Voltage – 9V to 16V
EC4: Network Configuration Status - Always true
</t>
    </r>
    <r>
      <rPr>
        <b/>
        <sz val="8"/>
        <color rgb="FF000000"/>
        <rFont val="Arial"/>
        <family val="2"/>
      </rPr>
      <t xml:space="preserve">
</t>
    </r>
  </si>
  <si>
    <t xml:space="preserve">KM49
LB
26KM49
26LB
</t>
  </si>
  <si>
    <t>B168E-2A</t>
  </si>
  <si>
    <t>Front Fog Lamp Switch-Stuck</t>
  </si>
  <si>
    <t>VF247
VF033</t>
  </si>
  <si>
    <t>VF247_V1 ID 28.0
VF033_V1 ID 7.0</t>
  </si>
  <si>
    <t>Fog lamps inoperative or operating incorrectly</t>
  </si>
  <si>
    <t>EC1: Ignition Status - IGN_RUN or START
EC3: System Voltage - 10V to 16V
EC4: Network Configuration Status - Always True
EC5: Bus Physical Status - No Bus physical/ Bus Off DTC LIN2 Active
EC6: I/O Device Configuration Status – HLS_Command_Type == Type 2</t>
  </si>
  <si>
    <t xml:space="preserve">
-IF the BCM recognizes the signal in HLSM_A1.Button_05_State = Pressed for longer than 20 seconds.
</t>
  </si>
  <si>
    <t xml:space="preserve">HLSM_A1.Button_05_State != Pressed 
</t>
  </si>
  <si>
    <r>
      <rPr>
        <b/>
        <sz val="8"/>
        <color theme="4"/>
        <rFont val="Arial"/>
        <family val="2"/>
      </rPr>
      <t>VF247_V1 ID 28.0/VF033_V1 ID 7.0</t>
    </r>
    <r>
      <rPr>
        <b/>
        <sz val="8"/>
        <color rgb="FF1F497D"/>
        <rFont val="Arial"/>
        <family val="2"/>
      </rPr>
      <t xml:space="preserve">
{
</t>
    </r>
    <r>
      <rPr>
        <sz val="8"/>
        <color rgb="FF000000"/>
        <rFont val="Arial"/>
        <family val="2"/>
      </rPr>
      <t xml:space="preserve"> the BCM shall set:
- FrontFogLightSwitchECE.Info ==  Not_Pressed, BODY_CNTRL7.FrontFogRequest = Set And BCM_FD_26.FrontFogPressed = SET
Until the stuck button condition is removed,  HLSM_A1.Button_05_State == Not_Pressed
</t>
    </r>
    <r>
      <rPr>
        <b/>
        <sz val="8"/>
        <color rgb="FF1F497D"/>
        <rFont val="Arial"/>
        <family val="2"/>
      </rPr>
      <t xml:space="preserve">} </t>
    </r>
  </si>
  <si>
    <t xml:space="preserve">
25KM
26KM
26EJ
</t>
  </si>
  <si>
    <t>B1692-11</t>
  </si>
  <si>
    <t>Accessory Dimming Control-Circuit Short to Ground</t>
  </si>
  <si>
    <t>VF041</t>
  </si>
  <si>
    <t>* VF041 ID1.7</t>
  </si>
  <si>
    <t>No backlight on E12 elements</t>
  </si>
  <si>
    <t>E12/InstrumentLighting</t>
  </si>
  <si>
    <t>G4-HS4C</t>
  </si>
  <si>
    <t>G14/F46</t>
  </si>
  <si>
    <t>E12</t>
  </si>
  <si>
    <t>EC1: Ignition Status - IGN_RUN
EC2:  Local Voltage – 9V to 16V</t>
  </si>
  <si>
    <t>B1692-12</t>
  </si>
  <si>
    <t xml:space="preserve">Accessory Dimming Control-Circuit Short to Battery </t>
  </si>
  <si>
    <t>EC1: Ignition Status - IGN_RUN
EC2:  Local Voltage – 9V to 16V
EC7: Enable Condition Timer - 5 sec</t>
  </si>
  <si>
    <t>Healing Condition:                                          
BCM no longer detects Short to Battery in Output OFF State</t>
  </si>
  <si>
    <t>Healing Condition:
BCM no longer detects Short to Battery in Output OFF State</t>
  </si>
  <si>
    <t xml:space="preserve">25KM
25LB
25EJ
26EJ
26LB
26KM
</t>
  </si>
  <si>
    <t>B16AB-11</t>
  </si>
  <si>
    <t xml:space="preserve">Trunk Lamp Control -Circuit Short to Ground </t>
  </si>
  <si>
    <t>Repair harness or replace Lamp</t>
  </si>
  <si>
    <t>FrunkLighting.Cmd</t>
  </si>
  <si>
    <t>HS39</t>
  </si>
  <si>
    <t>F09</t>
  </si>
  <si>
    <t>M25</t>
  </si>
  <si>
    <t>EC1: Ignition Status - IGN_RUN
EC2:  Local Voltage – 9V to 16V
EC6: I/O Device Configuration Status –  Always Ture</t>
  </si>
  <si>
    <t xml:space="preserve">KM49
LB
EJ
26KM49
26LB
26EJ
</t>
  </si>
  <si>
    <t>B16AF-11</t>
  </si>
  <si>
    <t>Left Stop Lamp Control-Circuit Short to Ground</t>
  </si>
  <si>
    <t>VF057</t>
  </si>
  <si>
    <t>VF057 ID 6.0</t>
  </si>
  <si>
    <t>Left Stop Lamp Control Inoperative</t>
  </si>
  <si>
    <t>RL_Stop_Cmd_HW</t>
  </si>
  <si>
    <t>EC1: Ignition Status - IGN_RUN
EC2: Local Voltage – 9V to 16V
EC6: I/O Device Configuration Status  – Additional_Tail_Light = Present</t>
  </si>
  <si>
    <t xml:space="preserve">a) BCM Shall Disable the Output till Next Key Cycle
</t>
  </si>
  <si>
    <t xml:space="preserve">25KM
25LB
25EJ
26KM
26LB
26EJ
</t>
  </si>
  <si>
    <t>B16AF-12</t>
  </si>
  <si>
    <t>Left Stop Lamp Control-Circuit Short to Battery</t>
  </si>
  <si>
    <t>EC1: Ignition Status - IGN_RUN
EC2: Local Voltage – 9V to 16V
EC6: I/O Device Configuration Status  – Additional_Tail_Light = Present 
EC7: Enable Condition Timer - 5 sec</t>
  </si>
  <si>
    <t>Fault Detection Condition:
BCM Should Detect Short to Battery when the Output is OFF</t>
  </si>
  <si>
    <t>Healing Condition:
BCM No Longer Detect Short to Battery when the Output is OFF</t>
  </si>
  <si>
    <t>B16B3-11</t>
  </si>
  <si>
    <t xml:space="preserve">Right Stop Lamp Control-Circuit Short to Ground </t>
  </si>
  <si>
    <t>VF057 ID 9.0</t>
  </si>
  <si>
    <t>Right Stop Lamp Control Inoperative</t>
  </si>
  <si>
    <t>RR_Stop_Cmd_HW</t>
  </si>
  <si>
    <t xml:space="preserve">EC1: Ignition Status - IGN_RUN
EC2:  Local Voltage – 9V to 16V
EC6: I/O Device Configuration Status  – Additional_Tail_Light = Present
</t>
  </si>
  <si>
    <t>B16B3-12</t>
  </si>
  <si>
    <t xml:space="preserve">
Right Stop Lamp Control-Circuit Short to Battery</t>
  </si>
  <si>
    <t>EC1: Ignition Status - IGN_RUN
EC2:  Local Voltage – 9V to 16V
EC6: I/O Device Configuration Status  – Additional_Tail_Light = Present
EC7: Enable Condition Timer - 5 Seconds</t>
  </si>
  <si>
    <t>Fault Detection Condition:
BCM Should Detected Short to Battery when the Output is OFF</t>
  </si>
  <si>
    <t xml:space="preserve">25KM
25LB
25EJ
26KM
26LB
26EJ
</t>
  </si>
  <si>
    <t>B16B7-11</t>
  </si>
  <si>
    <t>Center Stop Lamp Control-Circuit Short to Ground</t>
  </si>
  <si>
    <t>Diagnostic Requirement not defined in VF</t>
  </si>
  <si>
    <t>CHMSL inoperative</t>
  </si>
  <si>
    <t>CHMStopLight.Cmd</t>
  </si>
  <si>
    <t>HS15</t>
  </si>
  <si>
    <t>E03</t>
  </si>
  <si>
    <t>L51</t>
  </si>
  <si>
    <t>B16B7-64</t>
  </si>
  <si>
    <t>Center Stop Lamp Control-Signal Plausibility Failure</t>
  </si>
  <si>
    <t>VF033_V1 ID 10
VF247_V1 ID 24</t>
  </si>
  <si>
    <t>Parking light, Reverse light inoperative or operating incorrectly</t>
  </si>
  <si>
    <t>Malfunctioning Front Left Smart Lighting Module</t>
  </si>
  <si>
    <t>Repair or replace SLMC</t>
  </si>
  <si>
    <t>HS45</t>
  </si>
  <si>
    <t>EC1: Ignition Status - IGN_RUN
EC3: System Voltage - 10V to 16V
EC4: Network Configuration Status - Additional_Tail_Light = Present
EC5: Bus Physical Status - No Bus physical/ Bus Off DTC LIN 8Active
EC7: Enable Condition Timer - 5 Seconds</t>
  </si>
  <si>
    <t>Fault 1:
SLMC1_A1.LH_LG_Lamp_Outage_Signal= Faulted
Fault 2(26LB only): 
SLMC2_A1.RH_LG_Lamp_Outage_Signal= Faulted</t>
  </si>
  <si>
    <t>Fault 1: SLMC1_A1.LH_LG_Lamp_Outage_Signal = No Faults
Fault 2:
SLMC2_A1.RH_LG_Lamp_Outage_Signal = No Faults</t>
  </si>
  <si>
    <t xml:space="preserve">25KM49
25LB
26LB
26KM49
</t>
  </si>
  <si>
    <t>B16B7-87</t>
  </si>
  <si>
    <t>Center Stop Lamp Control-Missing Message</t>
  </si>
  <si>
    <t>VF033
VF247</t>
  </si>
  <si>
    <t>EC1: Ignition Status - IGN_RUN and BCM_FD_2.RemStActvSts = 00
EC3: System Voltage - 10V to 16V
EC4: Network Configuration Status - Additional_Tail_Light = Present
EC5: Bus Physical Status - No Bus physical/ Bus Off DTC LIN8 Active
EC7: Enable Condition Timer - 5 seconds</t>
  </si>
  <si>
    <t xml:space="preserve">Fault 1:
* LIN8:SLMC1_A1
Message Missing
Fault 2(26LB only): 
 LIN8:SLMC2_A1
Message Missing
</t>
  </si>
  <si>
    <t>Message Received</t>
  </si>
  <si>
    <t>B16BF-11</t>
  </si>
  <si>
    <t>Front Left Sidemarker Lamp Control - Circuit Short to Ground</t>
  </si>
  <si>
    <t>VF247_V1 ID 30.0</t>
  </si>
  <si>
    <t>Left sidemarker Inoperative</t>
  </si>
  <si>
    <t>L_SideMarkerLight.Cmd</t>
  </si>
  <si>
    <t>G5-HS53</t>
  </si>
  <si>
    <t xml:space="preserve">A04
</t>
  </si>
  <si>
    <t>L145</t>
  </si>
  <si>
    <t>EC1: Ignition Status - IGN_RUN
EC2:  Local Voltage – 9V to 16V
EC4: Network Configuration Status – CAN node 29 (AFLM/SLML) = Absent</t>
  </si>
  <si>
    <r>
      <rPr>
        <sz val="8"/>
        <color rgb="FF000000"/>
        <rFont val="Arial"/>
        <family val="2"/>
      </rPr>
      <t xml:space="preserve">a) BCM Shall Disable the Output till Next Key Cycle
</t>
    </r>
    <r>
      <rPr>
        <b/>
        <sz val="8"/>
        <color theme="4"/>
        <rFont val="Arial"/>
        <family val="2"/>
      </rPr>
      <t xml:space="preserve">VF247_V1 ID 30.0
{
</t>
    </r>
    <r>
      <rPr>
        <sz val="8"/>
        <color rgb="FF000000"/>
        <rFont val="Arial"/>
        <family val="2"/>
      </rPr>
      <t xml:space="preserve">b) BCM Shall Set the Signal SLML_STATUS_FD.SideMarkerLampSts_L = Fault when ParkingLightSts.Info = SET
</t>
    </r>
    <r>
      <rPr>
        <b/>
        <sz val="8"/>
        <color theme="4"/>
        <rFont val="Arial"/>
        <family val="2"/>
      </rPr>
      <t>}</t>
    </r>
  </si>
  <si>
    <r>
      <rPr>
        <b/>
        <sz val="8"/>
        <color rgb="FF000000"/>
        <rFont val="Arial"/>
        <family val="2"/>
      </rPr>
      <t xml:space="preserve">
</t>
    </r>
    <r>
      <rPr>
        <sz val="8"/>
        <color rgb="FF000000"/>
        <rFont val="Arial"/>
        <family val="2"/>
      </rPr>
      <t>LB
26LB</t>
    </r>
  </si>
  <si>
    <t>B16C3-11</t>
  </si>
  <si>
    <t>Front Right Sidemarker Lamp Control -Circuit Short to Ground</t>
  </si>
  <si>
    <t>VF247_V1 ID 34.0</t>
  </si>
  <si>
    <t>Right sidemarker Inoperative</t>
  </si>
  <si>
    <t>R_SideMarkerLight.Cmd</t>
  </si>
  <si>
    <t>HS25</t>
  </si>
  <si>
    <t>B04</t>
  </si>
  <si>
    <t>L144</t>
  </si>
  <si>
    <t>EC1: Ignition Status - IGN_RUN
EC2:  Local Voltage – 9V to 16V
EC4: Network Configuration Status – CAN node 126 (SLMR) = Absent</t>
  </si>
  <si>
    <r>
      <rPr>
        <sz val="8"/>
        <color rgb="FF000000"/>
        <rFont val="Arial"/>
        <family val="2"/>
      </rPr>
      <t xml:space="preserve">a) BCM Shall Disable the Output till Next Key Cycle
</t>
    </r>
    <r>
      <rPr>
        <b/>
        <sz val="8"/>
        <color theme="4"/>
        <rFont val="Arial"/>
        <family val="2"/>
      </rPr>
      <t xml:space="preserve">VF247_V1 ID 34.0
{
</t>
    </r>
    <r>
      <rPr>
        <sz val="8"/>
        <color rgb="FF000000"/>
        <rFont val="Arial"/>
        <family val="2"/>
      </rPr>
      <t xml:space="preserve">b) BCM Shall Set the Signal SLMR_STATUS_FD.SideMarkerLampSts_R = Fault when ParkingLightSts.Info = SET
</t>
    </r>
    <r>
      <rPr>
        <b/>
        <sz val="8"/>
        <color theme="4"/>
        <rFont val="Arial"/>
        <family val="2"/>
      </rPr>
      <t>}</t>
    </r>
  </si>
  <si>
    <t>B16C7-11</t>
  </si>
  <si>
    <t>Rear Left Sidemarker Lamp Control - Circuit Short to Ground</t>
  </si>
  <si>
    <t>VF247_V1 ID 30</t>
  </si>
  <si>
    <t>HS28</t>
  </si>
  <si>
    <t>E11</t>
  </si>
  <si>
    <t>L73</t>
  </si>
  <si>
    <t>EC1: Ignition Status - IGN_RUNEC2: Local Voltage – 9V to 16V
EC4: Network Configuration Status – CAN node 126 (SLMR) = Absent 
EC6: I/O Device Configuration Status – Vehicle_Line_Configuration= 126 (KM74 / 7E Hex) or 127 (LB / 7F Hex)]</t>
  </si>
  <si>
    <t xml:space="preserve">KM74
LB
26KM74
26LB
</t>
  </si>
  <si>
    <t>B16CB-11</t>
  </si>
  <si>
    <t>Rear Right Sidemarker Lamp Control-Circuit Short to Ground</t>
  </si>
  <si>
    <t>HS29</t>
  </si>
  <si>
    <t>E09</t>
  </si>
  <si>
    <t>L74</t>
  </si>
  <si>
    <t>EC1: Ignition Status - IGN_RUN
EC2:  Local Voltage – 9V to 16V
EC4: Network Configuration Status – CAN node 126 (SLMR) = Absent
EC6: I/O Device Configuration Status – Vehicle_Line_Configuration= 126 (KM74 / 7E Hex) or 127 (LB / 7F Hex)]</t>
  </si>
  <si>
    <t>B16D7-11</t>
  </si>
  <si>
    <t>Left Taillamp 1 Control-Circuit Short to Ground</t>
  </si>
  <si>
    <t>No VF Reference</t>
  </si>
  <si>
    <t>Left tail lamp Inoperative</t>
  </si>
  <si>
    <t>RL_ParkingLight.Cmd</t>
  </si>
  <si>
    <t>G1-HS1A (KM74 only)
G1-HS1F (KM49/LB/EJ)</t>
  </si>
  <si>
    <t>E08(KM74 only)
F05(KM49/LB/EJ)</t>
  </si>
  <si>
    <t>L71</t>
  </si>
  <si>
    <t xml:space="preserve">EC1: Ignition Status - IGN_RUN
EC2:  Local Voltage – 9V to 16V
EC6: I/O Device Configuration Status –  Additional_Tail_Light = Absent
</t>
  </si>
  <si>
    <t>B16DF-11</t>
  </si>
  <si>
    <t>Right Taillamp 1 Control-Circuit Short to Ground</t>
  </si>
  <si>
    <t>Right tail lamp Inoperative</t>
  </si>
  <si>
    <t>RR_ParkingLight.Cmd</t>
  </si>
  <si>
    <t>G1-HS16 (KM74 only)
G1-HS1E (KM49/LB/EJ)</t>
  </si>
  <si>
    <t xml:space="preserve">
E06(KM74 only)
E50(KM49/LB/EJ)</t>
  </si>
  <si>
    <t>L72</t>
  </si>
  <si>
    <t>EC1: Ignition Status - IGN_RUN
EC2:  Local Voltage – 9V to 16V
EC6: I/O Device Configuration Status –  Additional_Tail_Light = Absent</t>
  </si>
  <si>
    <t>B16E7-11</t>
  </si>
  <si>
    <t>License Plate Lamp Control-Circuit Short to Ground</t>
  </si>
  <si>
    <t>License plate lamp inoperative</t>
  </si>
  <si>
    <t>PlateLight.Cmd</t>
  </si>
  <si>
    <t>G2-HS22</t>
  </si>
  <si>
    <t>E59</t>
  </si>
  <si>
    <t>L3</t>
  </si>
  <si>
    <r>
      <rPr>
        <sz val="8"/>
        <rFont val="Arial"/>
        <family val="2"/>
      </rPr>
      <t>EC1: Ignition Status - IGN_RUN</t>
    </r>
    <r>
      <rPr>
        <sz val="8"/>
        <color theme="1"/>
        <rFont val="Arial"/>
        <family val="2"/>
      </rPr>
      <t xml:space="preserve">
EC2:  Local Voltage – 9V to 16V
EC6: I/O Device Configuration Status – Always True</t>
    </r>
  </si>
  <si>
    <t>Fault Detection Condition:
a) BCM not in Sleep, Output OFF to ON Transition
b) In-Rush Time Expired
c) After 3 Retry Counter; Output = OFF (Latched); BCM Should Detect Over-Current</t>
  </si>
  <si>
    <t>B16EF-11</t>
  </si>
  <si>
    <t>Left Park Lamp 1 Control-Circuit Short to Ground</t>
  </si>
  <si>
    <t>VF247_V1 ID 29.0</t>
  </si>
  <si>
    <t>Left front park lamp Inoperative</t>
  </si>
  <si>
    <t>L_PositionLight.Cmd</t>
  </si>
  <si>
    <t>G4-HS4B</t>
  </si>
  <si>
    <t>A22</t>
  </si>
  <si>
    <t>L103</t>
  </si>
  <si>
    <t xml:space="preserve">EC1: Ignition Status - IGN_RUN
EC2:  Local Voltage – 9V to 16V
EC4: Network Configuration Status – CAN node 126 (SLMR) = Absent
EC6: I/O Device Configuration Status – Vehicle_Line_Configuration=  127 LB (7F Hex) </t>
  </si>
  <si>
    <r>
      <rPr>
        <b/>
        <sz val="8"/>
        <color rgb="FF974706"/>
        <rFont val="Arial"/>
        <family val="2"/>
      </rPr>
      <t xml:space="preserve">
</t>
    </r>
    <r>
      <rPr>
        <sz val="8"/>
        <color rgb="FF000000"/>
        <rFont val="Arial"/>
        <family val="2"/>
      </rPr>
      <t xml:space="preserve">a) BCM Shall Disable the Output till Next Key Cycle
</t>
    </r>
    <r>
      <rPr>
        <b/>
        <sz val="8"/>
        <color rgb="FF974706"/>
        <rFont val="Arial"/>
        <family val="2"/>
      </rPr>
      <t xml:space="preserve">
</t>
    </r>
    <r>
      <rPr>
        <b/>
        <sz val="8"/>
        <color theme="4"/>
        <rFont val="Arial"/>
        <family val="2"/>
      </rPr>
      <t>VF247_V1 ID 29.0</t>
    </r>
    <r>
      <rPr>
        <b/>
        <sz val="8"/>
        <color rgb="FF1F497D"/>
        <rFont val="Arial"/>
        <family val="2"/>
      </rPr>
      <t xml:space="preserve">
{
</t>
    </r>
    <r>
      <rPr>
        <sz val="8"/>
        <color rgb="FF000000"/>
        <rFont val="Arial"/>
        <family val="2"/>
      </rPr>
      <t xml:space="preserve">b) BCM Shall Set the Signal SLML_STATUS_FD.PositionLampSts_L = Fault when the ParkingLightSts.Info = SET
</t>
    </r>
    <r>
      <rPr>
        <b/>
        <sz val="8"/>
        <color rgb="FF1F497D"/>
        <rFont val="Arial"/>
        <family val="2"/>
      </rPr>
      <t>}</t>
    </r>
  </si>
  <si>
    <t>B16EF-12</t>
  </si>
  <si>
    <t>Left Park Lamp 1 Control-Circuit Short to Battery</t>
  </si>
  <si>
    <t>EC1: Ignition Status - IGN_RUN                         
 EC2:  Local Voltage – 9V to 16V                          
 EC4: Network Configuration Status – CAN node 126 (SLMR) = Absent                                                   
EC6: I/O Device Configuration Status – Vehicle_Line_Configuration=  127 LB (7F Hex)         
EC7: Enable Condition Timer - 5 seconds</t>
  </si>
  <si>
    <t>Fault Detection Condition:BCM Should Detected Short to Battery when the Output is OFF</t>
  </si>
  <si>
    <r>
      <rPr>
        <sz val="8"/>
        <color rgb="FF000000"/>
        <rFont val="Arial"/>
        <family val="2"/>
      </rPr>
      <t>Healing Condition:
BCM No Longer Detect Short to Battery when the Output is OFF</t>
    </r>
  </si>
  <si>
    <r>
      <rPr>
        <b/>
        <sz val="8"/>
        <color theme="4"/>
        <rFont val="Arial"/>
        <family val="2"/>
      </rPr>
      <t xml:space="preserve">* VF247_V1 ID 29.0: </t>
    </r>
    <r>
      <rPr>
        <b/>
        <sz val="8"/>
        <color rgb="FF1F497D"/>
        <rFont val="Arial"/>
        <family val="2"/>
      </rPr>
      <t xml:space="preserve">
{
</t>
    </r>
    <r>
      <rPr>
        <sz val="8"/>
        <color rgb="FF000000"/>
        <rFont val="Arial"/>
        <family val="2"/>
      </rPr>
      <t xml:space="preserve">BCM shall Set SLML_STATUS_FD.PositionLampSts_L = Fault when the ParkingLightSts.Info = SET 
</t>
    </r>
    <r>
      <rPr>
        <b/>
        <sz val="8"/>
        <color rgb="FF1F497D"/>
        <rFont val="Arial"/>
        <family val="2"/>
      </rPr>
      <t>}</t>
    </r>
  </si>
  <si>
    <t>B16F3-11</t>
  </si>
  <si>
    <t>Right Park Lamp 1 Control-Circuit Short to Ground</t>
  </si>
  <si>
    <t>VF247_V1 ID 33.0</t>
  </si>
  <si>
    <t>Right front park lamp Inoperative</t>
  </si>
  <si>
    <t>R_PositionLight.Cmd</t>
  </si>
  <si>
    <t>G5-HS52</t>
  </si>
  <si>
    <t>A03</t>
  </si>
  <si>
    <t>L104</t>
  </si>
  <si>
    <t xml:space="preserve">EC1: Ignition Status - IGN_RUN
EC2:  Local Voltage – 9V to 16V
EC4: Network Configuration Status – CAN node 126 (SLMR) = Absent
EC6: I/O Device Configuration Status – Vehicle_Line_Configuration=  127 LB </t>
  </si>
  <si>
    <t>Fault Detection Condition:                                  a) BCM not in Sleep, Output OFF to ON Transition                                                            b) In-Rush Time Expired                                     c) After 3 Retry Counter; Output = OFF (Latched)); BCM Should Detect Over-Current</t>
  </si>
  <si>
    <r>
      <rPr>
        <b/>
        <sz val="8"/>
        <color rgb="FF974706"/>
        <rFont val="Arial"/>
        <family val="2"/>
      </rPr>
      <t xml:space="preserve">
</t>
    </r>
    <r>
      <rPr>
        <sz val="8"/>
        <color rgb="FF000000"/>
        <rFont val="Arial"/>
        <family val="2"/>
      </rPr>
      <t xml:space="preserve">a) BCM Shall Disable the Output till Next Key Cycle
</t>
    </r>
    <r>
      <rPr>
        <b/>
        <sz val="8"/>
        <color theme="4"/>
        <rFont val="Arial"/>
        <family val="2"/>
      </rPr>
      <t>VF247_V1 ID 33.0</t>
    </r>
    <r>
      <rPr>
        <b/>
        <sz val="8"/>
        <color rgb="FF1F497D"/>
        <rFont val="Arial"/>
        <family val="2"/>
      </rPr>
      <t xml:space="preserve">
{
</t>
    </r>
    <r>
      <rPr>
        <sz val="8"/>
        <color rgb="FF000000"/>
        <rFont val="Arial"/>
        <family val="2"/>
      </rPr>
      <t xml:space="preserve">b) BCM Shall Set the Signal SLMR_STATUS_FD.PositionLampSts_R = Fault when the ParkingLightSts.Info = SET
</t>
    </r>
    <r>
      <rPr>
        <b/>
        <sz val="8"/>
        <color rgb="FF1F497D"/>
        <rFont val="Arial"/>
        <family val="2"/>
      </rPr>
      <t>}</t>
    </r>
  </si>
  <si>
    <t xml:space="preserve">25LB
26LB
</t>
  </si>
  <si>
    <t>B16F3-12</t>
  </si>
  <si>
    <t>Right Park Lamp 1 Control-Circuit Short to Battery</t>
  </si>
  <si>
    <t>EC1: Ignition Status - IGN_RUN
EC2:  Local Voltage – 9V to 16V
EC4: Network Configuration Status – CAN node 126 (SLMR) = Absent
EC6: I/O Device Configuration Status – Vehicle_Line_Configuration=  127 LB (7F Hex) 
EC7: Enable Condition Timer - 5 seconds</t>
  </si>
  <si>
    <t>Fault Detection Condition:                               BCM Should Detect Short to Battery when the Output is OFF</t>
  </si>
  <si>
    <t>Healing Condition:                                      BCM No Longer Detect Short to Battery when the Output is OFF</t>
  </si>
  <si>
    <r>
      <rPr>
        <b/>
        <sz val="8"/>
        <color theme="4"/>
        <rFont val="Arial"/>
        <family val="2"/>
      </rPr>
      <t xml:space="preserve">* VF247_V1 ID 33.0: </t>
    </r>
    <r>
      <rPr>
        <b/>
        <sz val="8"/>
        <color rgb="FF1F497D"/>
        <rFont val="Arial"/>
        <family val="2"/>
      </rPr>
      <t xml:space="preserve">
{
</t>
    </r>
    <r>
      <rPr>
        <sz val="8"/>
        <color rgb="FF000000"/>
        <rFont val="Arial"/>
        <family val="2"/>
      </rPr>
      <t xml:space="preserve">  BCM shall Set SLML_STATUS_FD.PositionLampSts_R = FAULT When the ParkingLightSts.Info = SET 
</t>
    </r>
    <r>
      <rPr>
        <b/>
        <sz val="8"/>
        <color rgb="FF1F497D"/>
        <rFont val="Arial"/>
        <family val="2"/>
      </rPr>
      <t>}</t>
    </r>
  </si>
  <si>
    <t>B16FF-11</t>
  </si>
  <si>
    <t>Rear Left Fog Lamp Control-Circuit Short to Ground</t>
  </si>
  <si>
    <t>* VF033 ID 1.0</t>
  </si>
  <si>
    <t>LeftRearFogLight.Cmd</t>
  </si>
  <si>
    <t>EC1: Ignition Status - IGN_RUN
EC2:  Local Voltage – 9V to 16V
EC6:  I/O Device Configuration Status –
Rear_Fog_Light_Configuration = (0x01 - Two Lights)</t>
  </si>
  <si>
    <t>Healing Condition:
a) Fault Condition is Removed
 b) After KeyOff -&gt; KeyOn Transition, When Output On State, BCM Detect No OverCurrent</t>
  </si>
  <si>
    <t>26EJ</t>
  </si>
  <si>
    <t>B1703-11</t>
  </si>
  <si>
    <t>Rear Right Fog Lamp Control-Circuit Short to Ground</t>
  </si>
  <si>
    <t>* VF033 ID 2.0</t>
  </si>
  <si>
    <t>Rear Right Fog Lamp inoperative</t>
  </si>
  <si>
    <t>RightRearFogLight.Cmd</t>
  </si>
  <si>
    <t>SPOC HSD</t>
  </si>
  <si>
    <t>G4-HS46</t>
  </si>
  <si>
    <t>E16</t>
  </si>
  <si>
    <t>L898</t>
  </si>
  <si>
    <t>EC1: Ignition Status - IGN_RUN
EC2:  Local Voltage – 9V to 16V
EC6:  I/O Device Configuration Status – Rear_Fog_Light_Configuration = (0x01 - Two Lights)</t>
  </si>
  <si>
    <t>Healing Condition: a) Fault Condition is Removed b) After KeyOff -&gt; KeyOn Transition, When Output On State, BCM Detect No OverCurrent</t>
  </si>
  <si>
    <t xml:space="preserve">
26EJ</t>
  </si>
  <si>
    <t>B1707-11</t>
  </si>
  <si>
    <t>Left Reverse Lamp Control-Circuit Short to Ground</t>
  </si>
  <si>
    <t xml:space="preserve">
ReverseGearLight.Cmd </t>
  </si>
  <si>
    <t>HS1B</t>
  </si>
  <si>
    <t>E07</t>
  </si>
  <si>
    <t>L15</t>
  </si>
  <si>
    <t xml:space="preserve">EC1: Ignition Status - IGN_RUN
EC2:  Local Voltage – 9V to 16V
EC4: Network Configuration Status - Always true
</t>
  </si>
  <si>
    <t>KM74
EJ
26KM74
26EJ</t>
  </si>
  <si>
    <t>B170B-11</t>
  </si>
  <si>
    <t>Right Reverse Lamp Control-Circuit Short to Ground</t>
  </si>
  <si>
    <t>VF247_V1 ID NA</t>
  </si>
  <si>
    <r>
      <rPr>
        <sz val="8"/>
        <color rgb="FF000000"/>
        <rFont val="Arial"/>
        <family val="2"/>
      </rPr>
      <t xml:space="preserve">EC1: Ignition Status - IGN_RUN
EC2:  Local Voltage – 9V to 16V
EC4: Network Configuration Status - Always true
</t>
    </r>
    <r>
      <rPr>
        <b/>
        <sz val="8"/>
        <color rgb="FF000000"/>
        <rFont val="Arial"/>
        <family val="2"/>
      </rPr>
      <t xml:space="preserve">
</t>
    </r>
  </si>
  <si>
    <t xml:space="preserve">KM74
EJ
26KM74
26EJ
</t>
  </si>
  <si>
    <t>B1727-11</t>
  </si>
  <si>
    <t>Vanity Lamp Control-Circuit Short to Ground</t>
  </si>
  <si>
    <t>M19 VanityLighting</t>
  </si>
  <si>
    <t>G1-HS11</t>
  </si>
  <si>
    <t>G46</t>
  </si>
  <si>
    <t>M19</t>
  </si>
  <si>
    <t>Healing Condition: 
a) Fault Condition is Removed 
b) After KeyOff -&gt; KeyOn Transition, When Output On State, BCM Detect No OverCurrent</t>
  </si>
  <si>
    <t>B1751-11</t>
  </si>
  <si>
    <t>Courtesy Lamp Control-Circuit Short to Ground</t>
  </si>
  <si>
    <t>*VF078_V1, ID1.12</t>
  </si>
  <si>
    <t>M11 // CourtesyLighting</t>
  </si>
  <si>
    <t>G4-HS4F</t>
  </si>
  <si>
    <t>F31/G27</t>
  </si>
  <si>
    <t>M11</t>
  </si>
  <si>
    <t>B1751-12</t>
  </si>
  <si>
    <t>Courtesy Lamp Control-Circuit Short to Battery</t>
  </si>
  <si>
    <t>1. Wiring Shorted
2. Harness Pinout short to battery
3. Defective light
4. Internal Short to battery</t>
  </si>
  <si>
    <t>Repair Short Circuit, else replace defective light</t>
  </si>
  <si>
    <t>EC1: Ignition Status - IGN_RUN
EC2:  Local Voltage – 9V to 16V
EC6: I/O Device Configuration Status – Always True
EC7: Enable Condition Timer - 5 seconds</t>
  </si>
  <si>
    <t>Healing Condition: 
BCM No Longer Detect Short to Battery When the Output is OFF</t>
  </si>
  <si>
    <t xml:space="preserve">
26KM
26LB
26EJ
</t>
  </si>
  <si>
    <t>B1751-13</t>
  </si>
  <si>
    <t>Courtesy Lamp Control-Circuit Open</t>
  </si>
  <si>
    <t>1. Wiring Open
2. Harness Pinout Open or  miswire
3. Defective light
4. Internal Open</t>
  </si>
  <si>
    <t>Repair Open or Miswire  Circuit, else replace defective light</t>
  </si>
  <si>
    <t>Fault Detection Condition:
BCM Should Detect Open Load When the Output is ON</t>
  </si>
  <si>
    <t>Healing Condition: 
BCM No Longer Detect Open Load When the Output is ON</t>
  </si>
  <si>
    <t>B1756-11</t>
  </si>
  <si>
    <t>Front Right Turn Lamp 2 Control-Circuit Short to Ground</t>
  </si>
  <si>
    <t>VF051 ID 10.0 (Right)
VF051 ID 5.0</t>
  </si>
  <si>
    <t>HS1D</t>
  </si>
  <si>
    <t>B26</t>
  </si>
  <si>
    <t>L860</t>
  </si>
  <si>
    <t>EC1: Ignition Status - IGN_RUN
EC2:  Local Voltage – 9V to 16V
EC4: Network Configuration Status – Can Configuration.CAN node 126 (SLMR) = Present</t>
  </si>
  <si>
    <r>
      <rPr>
        <sz val="8"/>
        <color rgb="FF000000"/>
        <rFont val="Arial"/>
        <family val="2"/>
      </rPr>
      <t xml:space="preserve">a) BCM Shall Disable the Output till Next Key Cycle
</t>
    </r>
    <r>
      <rPr>
        <b/>
        <sz val="8"/>
        <color rgb="FF000000"/>
        <rFont val="Arial"/>
        <family val="2"/>
      </rPr>
      <t xml:space="preserve">
</t>
    </r>
  </si>
  <si>
    <t>B1757-11</t>
  </si>
  <si>
    <t>Front Left Turn Lamp 2 Control-Circuit Short to Ground</t>
  </si>
  <si>
    <t>VF051 ID 10.0 Left
VF051 ID 5.0</t>
  </si>
  <si>
    <t>HS1C</t>
  </si>
  <si>
    <t>B39</t>
  </si>
  <si>
    <t>L861</t>
  </si>
  <si>
    <t>EC1: Ignition Status - IGN_RUN
EC2:  Local Voltage – 9V to 16V
EC4: Network Configuration Status – Can Configuration.CAN_node 29 (AFLM_SLML) = Present</t>
  </si>
  <si>
    <r>
      <rPr>
        <sz val="8"/>
        <color rgb="FF000000"/>
        <rFont val="Arial"/>
        <family val="2"/>
      </rPr>
      <t xml:space="preserve">
a) BCM Shall Disable the Output till Next Key Cycle
</t>
    </r>
    <r>
      <rPr>
        <b/>
        <strike/>
        <sz val="8"/>
        <color rgb="FF4F81BD"/>
        <rFont val="Arial"/>
        <family val="2"/>
      </rPr>
      <t xml:space="preserve">
</t>
    </r>
  </si>
  <si>
    <t>B178E-2A</t>
  </si>
  <si>
    <t>Headlamp Switch Input-Stuck</t>
  </si>
  <si>
    <t>EC1: Ignition Status - IGN_RUN or START
EC3: System Voltage - 10V to 16V
EC4: Network Configuration Status - Always True
EC5: Bus Physical Status - No Bus physical/ Bus Off DTC LIN2 Active
EC7: Enable Condition Timer - 1 seconds</t>
  </si>
  <si>
    <t>IF the BCM recognizes the signal in HLSM_A1.Button_04_State = Pressed for longer than 20 seconds.</t>
  </si>
  <si>
    <t>HLSM_A1.Button_04_State != Pressed</t>
  </si>
  <si>
    <r>
      <rPr>
        <b/>
        <sz val="8"/>
        <color rgb="FF4F81BD"/>
        <rFont val="Arial"/>
        <family val="2"/>
      </rPr>
      <t xml:space="preserve">VF247_V1 ID 27.0
{
</t>
    </r>
    <r>
      <rPr>
        <sz val="8"/>
        <color rgb="FF000000"/>
        <rFont val="Arial"/>
        <family val="2"/>
      </rPr>
      <t xml:space="preserve">IF PROXI Hybrid_Type == (BEV or HEV) AND PT_SYSTEM_FD_1.PowertrainPrplsnActv_PT = Active and CmdIgnSts.Info = IGN_RUN
Consider the Signal as Not_Pressed until the Stuck Button Condition is Removed.
BCM Shall Set all Signals and Outputs as described in ""Lights Management"" when the internal variable MainLightSelector = Low Beams
IF PROXI Hybrid_Type == Not Applicable AND ENGINE_FD_2.PowertrainPrplsnActv == ACTIVE and CmdIgnSts.Info = IGN_RUN
Consider the Signal as Not_Pressed until the Stuck Button Condition is Removed.
BCM Shall Set all Signals and Outputs as described in ""Lights Management"" when the internal variable MainLightSelector = Low Beams
</t>
    </r>
    <r>
      <rPr>
        <b/>
        <sz val="8"/>
        <color rgb="FF4F81BD"/>
        <rFont val="Arial"/>
        <family val="2"/>
      </rPr>
      <t>}</t>
    </r>
  </si>
  <si>
    <t xml:space="preserve">KM
LB
EJ
26LB
26EJ
</t>
  </si>
  <si>
    <t>B179F-2A</t>
  </si>
  <si>
    <t>Rear Fog Lamp Switch-Stuck</t>
  </si>
  <si>
    <t>-IF the BCM recognizes the signal in HLSM_A1.Button_06_State = Pressed for longer than 20 seconds.</t>
  </si>
  <si>
    <t xml:space="preserve">-HLSM_A1.Button_06_State != Pressed
</t>
  </si>
  <si>
    <r>
      <rPr>
        <b/>
        <sz val="8"/>
        <color theme="4"/>
        <rFont val="Arial"/>
        <family val="2"/>
      </rPr>
      <t>VF247_V1 ID 28.0/VF033_V1 ID 7.0</t>
    </r>
    <r>
      <rPr>
        <b/>
        <sz val="8"/>
        <color rgb="FF1F497D"/>
        <rFont val="Arial"/>
        <family val="2"/>
      </rPr>
      <t xml:space="preserve">
{
</t>
    </r>
    <r>
      <rPr>
        <sz val="8"/>
        <color rgb="FF000000"/>
        <rFont val="Arial"/>
        <family val="2"/>
      </rPr>
      <t xml:space="preserve"> the BCM shall set:
-RearFogLightSwitchECE.Info == Not_Pressed and BCM_FD_26.RearFogPressed = Set
-Until the stuck button condition is removed, HLSM_A1.Button_06_State == Not_Pressed
</t>
    </r>
    <r>
      <rPr>
        <b/>
        <sz val="8"/>
        <color rgb="FF1F497D"/>
        <rFont val="Arial"/>
        <family val="2"/>
      </rPr>
      <t>}</t>
    </r>
  </si>
  <si>
    <t>B17ED-2A</t>
  </si>
  <si>
    <t>Low Beam Switch Circuit-Stuck</t>
  </si>
  <si>
    <t>IF the BCM recognizes the signal in HLSM_A1.Button_03_State = Pressed for longer than 20 seconds.</t>
  </si>
  <si>
    <t>HLSM_A1.Button_03_State != Pressed</t>
  </si>
  <si>
    <r>
      <rPr>
        <b/>
        <sz val="8"/>
        <color theme="4"/>
        <rFont val="Arial"/>
        <family val="2"/>
      </rPr>
      <t xml:space="preserve">VF247_V1 ID 27.0
{
</t>
    </r>
    <r>
      <rPr>
        <sz val="8"/>
        <color rgb="FF000000"/>
        <rFont val="Arial"/>
        <family val="2"/>
      </rPr>
      <t xml:space="preserve">IF PROXI Hybrid_Type == (BEV or HEV) AND PT_SYSTEM_FD_1.PowertrainPrplsnActv_PT = Active and CmdIgnSts.Info = IGN_RUN
Consider the Signal as Not_Pressed until the Stuck Button Condition is Removed.
BCM Shall Set all Signals and Outputs as described in ""Lights Management"" when the internal variable MainLightSelector = Low Beams
IF PROXI Hybrid_Type == Not Applicable AND ENGINE_FD_2.PowertrainPrplsnActv == ACTIVE and CmdIgnSts.Info = IGN_RUN
Consider the Signal as Not_Pressed until the Stuck Button Condition is Removed.
BCM Shall Set all Signals and Outputs as described in ""Lights Management"" when the internal variable MainLightSelector = Low Beams
</t>
    </r>
    <r>
      <rPr>
        <b/>
        <sz val="8"/>
        <color theme="4"/>
        <rFont val="Arial"/>
        <family val="2"/>
      </rPr>
      <t>}</t>
    </r>
  </si>
  <si>
    <t>B17FE-11</t>
  </si>
  <si>
    <t>Convenience Control Circuit-Circuit Short to Ground</t>
  </si>
  <si>
    <t>VF078_V1</t>
  </si>
  <si>
    <t>VF078_V1 ID 1.13</t>
  </si>
  <si>
    <t>Convenience Light inoperative or operating incorrectly</t>
  </si>
  <si>
    <t>Repair Short Circuit or replace Light</t>
  </si>
  <si>
    <t>M27 / ConvenienceLighting</t>
  </si>
  <si>
    <t>HSD/SPOC</t>
  </si>
  <si>
    <t>G12, E01</t>
  </si>
  <si>
    <t>M27</t>
  </si>
  <si>
    <t>EC2:  Local Voltage – 9V to 16V
EC6: I/O Device Configuration Status – Always True</t>
  </si>
  <si>
    <t>BCM detected overcurrent when the output is ON.
Note:
* Retry counter: 4;
* DTC is matured after 4 retries.</t>
  </si>
  <si>
    <t>B17FE-12</t>
  </si>
  <si>
    <t>Convenience Control Circuit - Circuit Short to Battery</t>
  </si>
  <si>
    <t>EC2:  Local Voltage – 9V to 16V
EC6: I/O Device Configuration Status – Always True
EC7: Enable Condition Timer - 5 seconds</t>
  </si>
  <si>
    <t>Fault Detection Condition: 
   - BCM Should Detect Short to Battery when HSD is Commanded OFF</t>
  </si>
  <si>
    <t>B17FE-13</t>
  </si>
  <si>
    <t>Convenience Control Circuit - Circuit Open</t>
  </si>
  <si>
    <t>1. Wiring Open
2. Harness Pinout Misswire
3. Defective light
4. Internal Short</t>
  </si>
  <si>
    <t>Repair Open Circuit, Misswire or replace Light</t>
  </si>
  <si>
    <t>EC2:  Local Voltage – 9V to 16V
EC6: I/O Device Configuration Status – Always True
EC7: Enable Condition Timer - 5 seconds</t>
  </si>
  <si>
    <t>Fault Detection Condition:
   - BCM Should Detect Open Load when HSD is Commanded ON</t>
  </si>
  <si>
    <t>Healing Condition:
BCM No Longer Detect Open Load when the Output is ON</t>
  </si>
  <si>
    <t xml:space="preserve">
26KM
</t>
  </si>
  <si>
    <t>B181B-87</t>
  </si>
  <si>
    <t>Trunk/Liftgate Ajar Input-Missing Message</t>
  </si>
  <si>
    <t>VF092_V11</t>
  </si>
  <si>
    <t>VF092_V11
No VF ID Reference</t>
  </si>
  <si>
    <t>EC1: Ignition Status - IGN_RUN and BCM_FD_2.RemStActvSts = 00
EC3: System Voltage - 10V to 16V
EC4: Network Configuration - CAN node 47 (LSMT) = present   present (0x01)
EC5: Bus Physical Status - No Bus physical/ Bus Off DTC  FD1 Active
EC6: I/O Device Configuration - PROXI Number_of_doors = 4
EC7: Enable Condition Timer - 5 seconds</t>
  </si>
  <si>
    <t>Missing message
1) FD_CAN1.ELATCH11</t>
  </si>
  <si>
    <t>FD_CAN1.ELATCH11
Message Received</t>
  </si>
  <si>
    <r>
      <rPr>
        <b/>
        <sz val="8"/>
        <color theme="4"/>
        <rFont val="Arial"/>
        <family val="2"/>
      </rPr>
      <t>VF092 V11 IDXX Rear Access Point Ajar</t>
    </r>
    <r>
      <rPr>
        <b/>
        <sz val="8"/>
        <color rgb="FF1F497D"/>
        <rFont val="Arial"/>
        <family val="2"/>
      </rPr>
      <t xml:space="preserve">
{
</t>
    </r>
    <r>
      <rPr>
        <sz val="8"/>
        <color rgb="FF000000"/>
        <rFont val="Arial"/>
        <family val="2"/>
      </rPr>
      <t xml:space="preserve">The BCM shall set HatchSts.Info to Closed
</t>
    </r>
    <r>
      <rPr>
        <b/>
        <sz val="8"/>
        <color rgb="FF1F497D"/>
        <rFont val="Arial"/>
        <family val="2"/>
      </rPr>
      <t>}</t>
    </r>
  </si>
  <si>
    <t>25EJ
26EJ</t>
  </si>
  <si>
    <t>B181E-11</t>
  </si>
  <si>
    <t>Hood Ajar Input-Circuit Short to Ground</t>
  </si>
  <si>
    <t>VF092</t>
  </si>
  <si>
    <t xml:space="preserve">1. Wiring Shorted
2. Harness pinout Shorted
3. Ajar Switch Defective
4. Internal Short </t>
  </si>
  <si>
    <t>FrontAccessPointAjar.Info</t>
  </si>
  <si>
    <t>IAS_21</t>
  </si>
  <si>
    <t>B30</t>
  </si>
  <si>
    <t>G70</t>
  </si>
  <si>
    <r>
      <rPr>
        <sz val="8"/>
        <color rgb="FF000000"/>
        <rFont val="Arial"/>
        <family val="2"/>
      </rPr>
      <t xml:space="preserve">EC2:  Local Voltage – </t>
    </r>
    <r>
      <rPr>
        <b/>
        <sz val="8"/>
        <color rgb="FF000000"/>
        <rFont val="Arial"/>
        <family val="2"/>
      </rPr>
      <t>9</t>
    </r>
    <r>
      <rPr>
        <sz val="8"/>
        <color rgb="FF000000"/>
        <rFont val="Arial"/>
        <family val="2"/>
      </rPr>
      <t>V to 16V
EC6: I/O Device Configuration Status – Car_Configuration_3. Bonnet_Switch = Present</t>
    </r>
  </si>
  <si>
    <t>BCM detects the logical state of the input to be Short to Ground.</t>
  </si>
  <si>
    <t xml:space="preserve">KM
LB
EJ
26KM
26EJ
26LB
</t>
  </si>
  <si>
    <t>B181E-15</t>
  </si>
  <si>
    <t>Hood Ajar Input-Circuit Short to Battery or Open</t>
  </si>
  <si>
    <t xml:space="preserve">1. Wiring Open
2. Harness spread terminal/ pulled Out
3. Ajar Switch Defective
4. Internal Open </t>
  </si>
  <si>
    <t>EC2:  Local Voltage – 9V to 16V
EC6: I/O Device Configuration Status – Car_Configuration_3. Bonnet_Switch = Present
EC7: Enable Condition Timer - 5 sec</t>
  </si>
  <si>
    <t>BCM detects the logical state of the input to be Short to Battery or Open Circuit.</t>
  </si>
  <si>
    <t>BCM detects the logical state of the input no longer as Short to Battery or Open Circuit.</t>
  </si>
  <si>
    <t xml:space="preserve">25KM
25LB
25EJ
26KM
26EJ
26LB
</t>
  </si>
  <si>
    <t>B187B-02</t>
  </si>
  <si>
    <t xml:space="preserve">Hands Free Liftgate Kick Sensor B-General Signal Failure </t>
  </si>
  <si>
    <t>*VF537_V1 ID.X</t>
  </si>
  <si>
    <t>Malfunction of Sensor - Failure 2</t>
  </si>
  <si>
    <t>Repair Sensor else Replace Sensor</t>
  </si>
  <si>
    <t>EC1: Ignition Status - IGN_RUN
EC3: System Voltage - 10V to 16V
EC4: Network Configuration Status - HFRM_Module = Present
EC7: Enable Condition Timer - 5 seconds</t>
  </si>
  <si>
    <t>LIN 3- HFRM_1.HFRM_Sensor_Failure2 = TRUE</t>
  </si>
  <si>
    <t>LIN3 - HFRM_1.HFRM_Sensor_Failure2 = FALSE</t>
  </si>
  <si>
    <t>KM
26KM</t>
  </si>
  <si>
    <t>B1884-02</t>
  </si>
  <si>
    <t xml:space="preserve">Hands Free Liftgate Kick Sensor A-General Signal Failure
</t>
  </si>
  <si>
    <t>Malfunction of Sensor - Failure 1</t>
  </si>
  <si>
    <t>LIN3- HFRM_1.HFRM_Sensor_Failure = TRUE</t>
  </si>
  <si>
    <t>LIN3 - HFRM_1.HFRM_Sensor_Failure = FALSE</t>
  </si>
  <si>
    <t>B1885-49</t>
  </si>
  <si>
    <t>Hands Free Liftgate Module-Internal Electronic Failure</t>
  </si>
  <si>
    <t>Replace Module</t>
  </si>
  <si>
    <t>EC1: Ignition Status - IGN_RUN
EC3: System Voltage - 10V to 16V
EC4: Network Configuration Status - HFRM_Mod = Present
EC7: Enable Condition Timer - 5 seconds</t>
  </si>
  <si>
    <t>LIN3- HFRM_1.HFRM_Mod_Failure = TRUE</t>
  </si>
  <si>
    <t>LIN3- HFRM_1.HFRM_Mod_Failure = FALSE</t>
  </si>
  <si>
    <t>B18AA-11</t>
  </si>
  <si>
    <t>Trunk/Gate Unlock Control 1-Circuit Short to Ground</t>
  </si>
  <si>
    <t>VF537_V4</t>
  </si>
  <si>
    <t>Shorted harness or defective Motor</t>
  </si>
  <si>
    <t>L2PReleaseRAP</t>
  </si>
  <si>
    <t>HS42</t>
  </si>
  <si>
    <t>A15</t>
  </si>
  <si>
    <t>P31</t>
  </si>
  <si>
    <r>
      <rPr>
        <sz val="8"/>
        <color rgb="FF000000"/>
        <rFont val="Arial"/>
        <family val="2"/>
      </rPr>
      <t xml:space="preserve">EC2:  Local Voltage – 9V to 16V
EC6: I/O Device Configuration Status – </t>
    </r>
    <r>
      <rPr>
        <b/>
        <sz val="8"/>
        <color rgb="FF000000"/>
        <rFont val="Arial"/>
        <family val="2"/>
      </rPr>
      <t>Proxi Trunk_Door_Kind= Liftgate</t>
    </r>
  </si>
  <si>
    <t>BCM detected overcurrent when the output is ON State.
Note:
With the output (HS42) liftgate motor is ON and the Error register ERRDIAG = 1(SW readable) (when the current is more than 19 amps), set the DTC and latch off the output for the key cycle.
Retry counter : 1</t>
  </si>
  <si>
    <t>In the next key cycle, only if the liftgate motor is ON and no Error register set, de -mature the DTC</t>
  </si>
  <si>
    <t xml:space="preserve">
26KM
26LB
</t>
  </si>
  <si>
    <t>B18AA-12</t>
  </si>
  <si>
    <t>Trunk/Gate Unlock Control 1-Circuit Short to Battery</t>
  </si>
  <si>
    <r>
      <rPr>
        <sz val="8"/>
        <color rgb="FF000000"/>
        <rFont val="Arial"/>
        <family val="2"/>
      </rPr>
      <t xml:space="preserve">EC2:  Local Voltage – 9V to 16V
EC6: I/O Device Configuration Status – </t>
    </r>
    <r>
      <rPr>
        <b/>
        <sz val="8"/>
        <color rgb="FF000000"/>
        <rFont val="Arial"/>
        <family val="2"/>
      </rPr>
      <t xml:space="preserve">Proxi Trunk_Door_Kind= Liftgate
</t>
    </r>
    <r>
      <rPr>
        <sz val="8"/>
        <color rgb="FF000000"/>
        <rFont val="Arial"/>
        <family val="2"/>
      </rPr>
      <t>EC7: Enable Condition Timer - 5 seconds</t>
    </r>
  </si>
  <si>
    <t>B18AA-13</t>
  </si>
  <si>
    <t>Trunk/Gate Unlock Control 1-Circuit Open</t>
  </si>
  <si>
    <t>B18E1-2A</t>
  </si>
  <si>
    <t>Power Liftgate Front Zone Switch-Stuck</t>
  </si>
  <si>
    <t>VF537_V1</t>
  </si>
  <si>
    <r>
      <rPr>
        <sz val="8"/>
        <color rgb="FF000000"/>
        <rFont val="Arial"/>
        <family val="2"/>
      </rPr>
      <t xml:space="preserve">VF537_V1 No ID reference
</t>
    </r>
    <r>
      <rPr>
        <b/>
        <sz val="8"/>
        <color rgb="FF000000"/>
        <rFont val="Arial"/>
        <family val="2"/>
      </rPr>
      <t>VF537_V3 No ID reference</t>
    </r>
  </si>
  <si>
    <t>Power tailgate switch on the Overhead Console inoperative</t>
  </si>
  <si>
    <t>Repair the defective switch</t>
  </si>
  <si>
    <t>EC1: Ignition Status - IGN_RUN or IGN_LK
EC3: System Voltage - 10V to 16V
EC5: Bus Physical Status - No Bus physical/ Bus Off DTC LIN6 Active
EC6: I/O Device Configuration Status -
Trunk_Door_Kind = Powered Lift Gate AND  (Vehicle_Line_Configuration = 125 KM49 (7D Hex) OR 126 KM74 (7E Hex) OR 127 LB (7F Hex))
EC7: Enable Condition Timer - 5 sec</t>
  </si>
  <si>
    <t>* OHC_1.Front_Int_LG_SS == Stuck</t>
  </si>
  <si>
    <t>* OHC_1.Front_Int_LG_SS == Not_Stuck</t>
  </si>
  <si>
    <t xml:space="preserve">KM
LB                        26LB
26KM
</t>
  </si>
  <si>
    <t>B1A40-00</t>
  </si>
  <si>
    <t>Authentication Counter Out of Sync-</t>
  </si>
  <si>
    <t>Cyber Security</t>
  </si>
  <si>
    <t>CS.00095</t>
  </si>
  <si>
    <t>Look for bus failures and renew the key for the message group</t>
  </si>
  <si>
    <t>Cyber security DTC</t>
  </si>
  <si>
    <t>EC1: Ignition Status - IGN_RUN 
EC2:  Local Voltage - 9V to 16V</t>
  </si>
  <si>
    <t>If the Message counter reaches its max value (0xFFFFFFFFFF) or If the ECU receives a message with a counter less than or equal to the previously stored counter value for that message or If the received counter &gt; stored counter and message verification failed</t>
  </si>
  <si>
    <t>If ECU receives a message with Valid MAC and received counter value is synced with the previously stored counter value for that message DTC shall be cleared</t>
  </si>
  <si>
    <t>checkImmediately</t>
  </si>
  <si>
    <t>B1A4A-00</t>
  </si>
  <si>
    <t>Authentication Key Negotiation Timeout-</t>
  </si>
  <si>
    <t>Check the state of each participating ECU and reinitiate key negotiation</t>
  </si>
  <si>
    <t>Key negotiation timeoutAuthentication of Key Negotiation Timed out(First and Second Public key will be sent as Confirmation message from all remote ECU's of KGRP (Size of remote ECU's = Received Public keys From Neighborhood) for completion of key negotiation sequence, if confirmation messages not received Or If  Key negotiation process got failed due to Fault detected by timeout of each participating ECU group.)</t>
  </si>
  <si>
    <t>Upon retriggering key negotiation (RID 2002) and successful committing of the keys for that group the DTC  shall be cleared</t>
  </si>
  <si>
    <t>B1A4A-91</t>
  </si>
  <si>
    <t>Authentication Key Negotiation Timeout - Parametric</t>
  </si>
  <si>
    <t>Update Firmware/replace ECU retry key negotiation</t>
  </si>
  <si>
    <t> Fault detected by invalid parameter (cryptographic algo) identified during the key negotiation process</t>
  </si>
  <si>
    <t>Upon  retriggering key negotiation (RID 2002) and successful committing of the keys for that group the DTC  shall be cleared</t>
  </si>
  <si>
    <t>B1A4C-00</t>
  </si>
  <si>
    <t>Excessive Authentication Messages Detected-</t>
  </si>
  <si>
    <t>Look for Trojan ECU, retry Key Negotiation</t>
  </si>
  <si>
    <t>If in a message group too many peers/nodes are interacting which leads to more no of key negotiation messages flowing than the number of ECU's configured</t>
  </si>
  <si>
    <t>Upon retriggering  key negotiation (RID 2002) and no extra messages are flowing compared to no of ECUs configured this DTC shall be cleared</t>
  </si>
  <si>
    <t>B1A4D-00</t>
  </si>
  <si>
    <t>Default Authentication Key Negotiation Required-</t>
  </si>
  <si>
    <t>Initiate Key Negotiation</t>
  </si>
  <si>
    <t>The Fault detects the use of "Default_Key" during key Negotiation process and As long as the message group default key is used by the ECU</t>
  </si>
  <si>
    <t>Upon successful result for key negotiation routine (RID 2002) for all the groups, once the default keys along with its parameters are overwritten with the new keys DTC shall be cleared</t>
  </si>
  <si>
    <t>B1A90-00</t>
  </si>
  <si>
    <t>Secret Key Not Stored in BCM-</t>
  </si>
  <si>
    <t>VF001</t>
  </si>
  <si>
    <t>VF001 ID.3</t>
  </si>
  <si>
    <t>Engine is killed after 2 seconds.</t>
  </si>
  <si>
    <t>Protocol between RFHM and BCM not succesfully completed</t>
  </si>
  <si>
    <t>EC3: System Voltage - 10V to 16V
EC4: Network Configuration Status - Always True
EC5: Bus Physical Status - No Bus physical/ Bus Off DTC Active
EC7: Enable Condition Timer - 1 seconds</t>
  </si>
  <si>
    <t>If during code recording between BCM and RFHM, BCM does not succesfully save the secret code (in EEPROM) received from RFHM in to EEPROM, the fault is set</t>
  </si>
  <si>
    <t>On Demand</t>
  </si>
  <si>
    <t>Code recording between BCM and RFHM is successful. It can be checked by using DID 0x0201 (Immo Status),
- Byte 0 (BCMstatus = "Leanred")
- Byte 1 (BCMlockedstatus = "Unlocked")</t>
  </si>
  <si>
    <t xml:space="preserve">KM
EJ
LB
26KM
26LB
26EJ
</t>
  </si>
  <si>
    <t>B1E72-11</t>
  </si>
  <si>
    <t>Power Inverter Enable Control-Circuit Short to Ground</t>
  </si>
  <si>
    <t>Power Accessory</t>
  </si>
  <si>
    <t>VF556</t>
  </si>
  <si>
    <t>* VF556_V1, No VF Reference</t>
  </si>
  <si>
    <t>Power Inverter inoperative</t>
  </si>
  <si>
    <t xml:space="preserve">1. Wiring Shorted
2. Harness Pinout shorted
3. Defective Power Inverter
4. Internal Short </t>
  </si>
  <si>
    <t>Inverter_Control</t>
  </si>
  <si>
    <t>G3-HS34</t>
  </si>
  <si>
    <t>P807</t>
  </si>
  <si>
    <t>EC2:  Local Voltage – 9V to 16V         
EC6: I/O Device Configuration Status –  Always True</t>
  </si>
  <si>
    <t>BCM detected overcurrent when the output is ON.</t>
  </si>
  <si>
    <t xml:space="preserve">25KM
25LB
25EJ 
26KM
26LB
26EJ
</t>
  </si>
  <si>
    <t>B1EAB-00</t>
  </si>
  <si>
    <t>Steering Wheel Cruise Control Switch-</t>
  </si>
  <si>
    <t>VF434</t>
  </si>
  <si>
    <t>VF434_V5 ID 1.1</t>
  </si>
  <si>
    <t>EC1: Ignition Status - IGN_RUN
EC3: System Voltage - 10V to 16V
EC5: Bus Physical Status - No Bus physical/ Bus Off DTC LIN4 Active 
EC7: Enable Condition Timer - 5 Seconds</t>
  </si>
  <si>
    <t>*FAULT1: LIN4.CSWC_1.PowerShot_Req = "Short_to_Ground_Fault"
 or
*FAULT2: LIN4.CSWC_1.PowerShot_Req is equal to "Open_Short_to_Power_Fault"
 or
*FAULT3: LIN4.CSWC_1.PowerShot_Req is equal to "SNA"</t>
  </si>
  <si>
    <t>LIN4.CSWC_1.PowerShot_Req is NOT equal to ""Short_to_Ground_Fault" OR "Open_Short_to_Power_Fault" OR "SNA"</t>
  </si>
  <si>
    <r>
      <rPr>
        <b/>
        <sz val="8"/>
        <color theme="4"/>
        <rFont val="Arial"/>
        <family val="2"/>
      </rPr>
      <t>VF434_V5 ID 1.1:</t>
    </r>
    <r>
      <rPr>
        <b/>
        <sz val="8"/>
        <color rgb="FF000000"/>
        <rFont val="Arial"/>
        <family val="2"/>
      </rPr>
      <t xml:space="preserve">
</t>
    </r>
    <r>
      <rPr>
        <sz val="8"/>
        <color rgb="FF000000"/>
        <rFont val="Arial"/>
        <family val="2"/>
      </rPr>
      <t xml:space="preserve">
*FAULT1: BCM_FD_12.PowerShot_BCM to "Short_to_Ground_Fault"
*FAULT2: BCM_FD_12.PowerShot_BCM to "Open_Short_to_Power_Fault"
*FAULT3: BCM_FD_12.PowerShot_BCM to "SNA"</t>
    </r>
  </si>
  <si>
    <t>B1F08-64</t>
  </si>
  <si>
    <t>Terrain Switch Bank Module Internal - Signal Plausibility Failure</t>
  </si>
  <si>
    <t>VF439_V6
VF439_V7</t>
  </si>
  <si>
    <t>VF439_V6 ID 1.1
VF439_V7 ID 1.1</t>
  </si>
  <si>
    <t>Malfunction TSBM</t>
  </si>
  <si>
    <t>Check the correct functionality of TSBM. In case of no response, replace it.</t>
  </si>
  <si>
    <t>Network
Communication</t>
  </si>
  <si>
    <t>EC1: Ignition Status - IGN_RUN or IGN_START and BCM_FD_2.RemStActvSts = 00
EC3: System Voltage - 10V to 16V
EC4: Network Configuration - Always True
EC5: Bus Physical Status - No Bus physical/ Bus Off DTC LIN2 Active
EC7: Enable Condition Timer - 5 seconds</t>
  </si>
  <si>
    <t>* FAULT 1: LIN2: TSBM_A1.TerrainSwStat_LIN == 'Short_to_Ground_Fault'
* FAULT 2: LIN2: TSBM_A1.TerrainSwStat_LIN == 'Open_Short_to_Power_Fault'</t>
  </si>
  <si>
    <t>LIN2: TSBM_A1.TerrainSwStat_LIN != 'Short_to_Ground_Fault' OR
LIN2: TSBM_A1.TerrainSwStat_LIN != 'Open_Short_to_Power_Fault'</t>
  </si>
  <si>
    <r>
      <rPr>
        <b/>
        <sz val="8"/>
        <color rgb="FF4F81BD"/>
        <rFont val="Arial"/>
        <family val="2"/>
      </rPr>
      <t xml:space="preserve">VF439_V6 ID 1.1/VF439_V7 ID 1.1
´{
</t>
    </r>
    <r>
      <rPr>
        <sz val="8"/>
        <color rgb="FF000000"/>
        <rFont val="Arial"/>
        <family val="2"/>
      </rPr>
      <t xml:space="preserve">* FAULT 1: Set BCM_FD_12.TerrainSwStat to "Short_to_Ground_Fault"
* FAULT 2: Set BCM_FD_12.TerrainSwStat to "Open_Short_to_Power_Fault" value.
</t>
    </r>
    <r>
      <rPr>
        <b/>
        <sz val="8"/>
        <color rgb="FF4F81BD"/>
        <rFont val="Arial"/>
        <family val="2"/>
      </rPr>
      <t>}</t>
    </r>
  </si>
  <si>
    <t>B1F1A-98</t>
  </si>
  <si>
    <t>Charging Pad Module-Component or System Over Temperature</t>
  </si>
  <si>
    <t>VF663</t>
  </si>
  <si>
    <t>* VF663_V1  ID3.0
* VF663_V1 ID10.0</t>
  </si>
  <si>
    <t>Wireless chargining pad module not functioning</t>
  </si>
  <si>
    <t>Internal failure in chargining pad module or over temperature in chargining pad module</t>
  </si>
  <si>
    <t>Repair or replace WCPM</t>
  </si>
  <si>
    <t>EC1: Ignition Status - IGN_RUN
EC3: System Voltage - 10V to 16V
EC5: Bus Physical Status - No Bus physical/ Bus Off DTC LIN5 Active
EC6: I/O Device Configuration Status -
        Car_Configuration_22.WCPM = Present OR 
        Phone_As_A_Key = Present
EC7: Enable Condition Timer - 5 seconds</t>
  </si>
  <si>
    <t>Fault Detection Condition
Fault1 :
   PROXI Condition - Car_Configuration_22.WCPM = Present AND
   LIN5:WCPM_1.IntErr_OverTemp = True
Fault2 :
   PROXI Condition - Phone_As_A_Key = Present AND
   LIN5:WCPM2_1.IntErr_OverTemp2 = True</t>
  </si>
  <si>
    <t>Healing Condition
Fault1 :
  PROXI Condition - Car_Configuration_22.WCPM = Present AND
  LIN5:WCPM_1.IntErr_OverTemp != True
Fault2 :
  PROXI Condition - Phone_As_A_Key = Present AND
  LIN5:WCPM2_1.IntErr_OverTemp2 != True</t>
  </si>
  <si>
    <t>B2103-11</t>
  </si>
  <si>
    <t>Ignition Run/Start 1 Control-Circuit Short to Ground</t>
  </si>
  <si>
    <t>Power Distribution</t>
  </si>
  <si>
    <t>VF040</t>
  </si>
  <si>
    <t>Ignition Run start control circuit  inoperative</t>
  </si>
  <si>
    <t>1. Wiring Shorted
2. Harness pinout shorted
3. Defective Relay
4. Internal Short</t>
  </si>
  <si>
    <t>RunStartRly.Cmd</t>
  </si>
  <si>
    <t>G7-HS72</t>
  </si>
  <si>
    <t>B46</t>
  </si>
  <si>
    <t>K617</t>
  </si>
  <si>
    <t>Fault Detection Condition: 
a) BCM not in Sleep, Output ON State 
b) In-Rush Time Expired 
c) After 3 Retry Counter; Output Latched; BCM Should Detect Over-Current</t>
  </si>
  <si>
    <t>Healing Condition:                                       Fault Condition is Removed                           a) After KeyOff -&gt; KeyOn Transition, BCM Detect No OverCurrent</t>
  </si>
  <si>
    <t>B2103-15</t>
  </si>
  <si>
    <t>Ignition Run/Start 1 Control-Circuit Short to Battery or Open</t>
  </si>
  <si>
    <t>Repair Open Circuit else replace defective Relay</t>
  </si>
  <si>
    <t>EC2:  Local Voltage – 9V to 16V
EC6: I/O Device Configuration Status – Always True
EC7: Enable Condition Timer - 5 sec</t>
  </si>
  <si>
    <t>Fault Detection Condition:
BCM should detect Short to Battery Or Open Load when Output OFF State</t>
  </si>
  <si>
    <t>B2119-11</t>
  </si>
  <si>
    <t>Ignition Run/Acc/SPAD Control-Circuit Short to Ground</t>
  </si>
  <si>
    <t xml:space="preserve"> Accesory Delay Relay control circuit inoperative</t>
  </si>
  <si>
    <t xml:space="preserve">Repair Short Circuit else replace Defective Relay </t>
  </si>
  <si>
    <t>RunComfortRly.Cmd</t>
  </si>
  <si>
    <t>G3-HS37</t>
  </si>
  <si>
    <t>G47</t>
  </si>
  <si>
    <t>P307</t>
  </si>
  <si>
    <t>Fault Detection Condition: 
a) BCM not in Sleep, Output OFF to ON Transition 
b) In-Rush Time Expired 
c) After 3 Retry Counter; Output = OFF (Latched)</t>
  </si>
  <si>
    <t>Healing Condition: 
Fault Condition is Removed  
a) After KeyOff -&gt; KeyOn Transition, When Output On State, BCM Detect No OverCurrent</t>
  </si>
  <si>
    <t>B2119-15</t>
  </si>
  <si>
    <t>Ignition Run/Acc/SPAD Control-Circuit Short to Battery or Open</t>
  </si>
  <si>
    <t>1. Wiring Shor to battery or Open
2. Harness pinout shorted to battery, open or misswire
3. Defective Relay
4. Internal Short to battery, no connection or misswire</t>
  </si>
  <si>
    <t xml:space="preserve">Repair Short to battery or Open Circuit, else replace Defective Relay </t>
  </si>
  <si>
    <t>PROFET + QUAD</t>
  </si>
  <si>
    <t>HS37</t>
  </si>
  <si>
    <t xml:space="preserve">EC2:  Local Voltage – 9V to 16V
EC6: I/O Device Configuration Status – Always True
EC7: Enable Condition Timer - 5 sec
</t>
  </si>
  <si>
    <t>Fault Detection Condition (Output ON):
a) BCM should detect Short to Battery
b) BCM should detected Open Load</t>
  </si>
  <si>
    <t>Healing Condition: 
BCM no longer detectes open load or short to battery</t>
  </si>
  <si>
    <t>B2121-11</t>
  </si>
  <si>
    <t>Ignition Run Control 1-Circuit Short to Ground</t>
  </si>
  <si>
    <t>RunRly.Cmd</t>
  </si>
  <si>
    <t>G6-HS63</t>
  </si>
  <si>
    <t>B06</t>
  </si>
  <si>
    <t>K619</t>
  </si>
  <si>
    <t>Fault Detection Condition:                                  a) BCM not in Sleep, Output ON State               b) In-Rush Time Expired                                     c) After 3 Retry Counter; Output Latched; BCM Should Detect Over-Current</t>
  </si>
  <si>
    <t>Healing Condition: Fault Condition is Removed                                                        a) After KeyOff -&gt; KeyOn Transition, BCM Detect No OverCurrent</t>
  </si>
  <si>
    <t>B2121-15</t>
  </si>
  <si>
    <t>Ignition Run Control 1-Circuit Short to Battery or Open</t>
  </si>
  <si>
    <t>Fault Detection Condition:                              BCM should detect Short to Battery Or Open Load when Output OFF State</t>
  </si>
  <si>
    <t>B2143-11</t>
  </si>
  <si>
    <t>UGDO Enable Control-Circuit Short to Ground</t>
  </si>
  <si>
    <t>VF518</t>
  </si>
  <si>
    <t>*VF518 ID1.0</t>
  </si>
  <si>
    <t>UGDO Inoperative</t>
  </si>
  <si>
    <t xml:space="preserve">1. Wiring Shorted
2. Harness pinout shorted
3. Defective UGDO
4. Internal Open </t>
  </si>
  <si>
    <t>Repair Short Circuit else replace UGDO</t>
  </si>
  <si>
    <t>UGDO_Enable.Cmd</t>
  </si>
  <si>
    <t>G6-HS6B</t>
  </si>
  <si>
    <t>G51</t>
  </si>
  <si>
    <t>G38</t>
  </si>
  <si>
    <t>EC2:  Local Voltage – 9V to 16V
EC6: I/O Device Configuration Status – UGDO = Present (0x01)</t>
  </si>
  <si>
    <t>B215B-11</t>
  </si>
  <si>
    <t xml:space="preserve">Ignition Run/Start 2 Control-Circuit Short to Ground
</t>
  </si>
  <si>
    <t>Power Distribution System - B</t>
  </si>
  <si>
    <t>VF040_V3</t>
  </si>
  <si>
    <t xml:space="preserve">1. Wiring Open
2. Harness spread terminal/ pulled Out
3. Power Inverter Defective
4. Internal Open </t>
  </si>
  <si>
    <t>Repair Open Circuit else replace defective Power Inverter  or BCM</t>
  </si>
  <si>
    <t xml:space="preserve">
RunStartRly.Cmd</t>
  </si>
  <si>
    <t>HS73</t>
  </si>
  <si>
    <t>B41</t>
  </si>
  <si>
    <t>K618</t>
  </si>
  <si>
    <t>Healing Condition: 
Fault Condition is Removed 
 a) After KeyOff -&gt; KeyOn Transition, When Output On State, BCM Detect No OverCurrent</t>
  </si>
  <si>
    <t>B215B-15</t>
  </si>
  <si>
    <t>Ignition Run/Start 2 Control-Circuit Short to Battery or Open</t>
  </si>
  <si>
    <t>B2183-11</t>
  </si>
  <si>
    <t>Ignition Unlock Run/Start Control-Circuit Short to Ground</t>
  </si>
  <si>
    <t>VF040_V3
 No ID VF reference</t>
  </si>
  <si>
    <t>Ignition Run control circuit inoperative</t>
  </si>
  <si>
    <t>1. Wiring Shorted
2. Harness pinout shorted
3. Defective TCM
4. Internal Short</t>
  </si>
  <si>
    <t>TCMRunStart.Cmd</t>
  </si>
  <si>
    <t>G3-HS32</t>
  </si>
  <si>
    <t>B49</t>
  </si>
  <si>
    <t>F1</t>
  </si>
  <si>
    <t>EC2:  Local Voltage – 9V to 16V
EC6: I/O Device Configuration Status – Always true</t>
  </si>
  <si>
    <r>
      <rPr>
        <b/>
        <sz val="8"/>
        <color rgb="FF1F497D"/>
        <rFont val="Arial"/>
        <family val="2"/>
      </rPr>
      <t xml:space="preserve">
</t>
    </r>
    <r>
      <rPr>
        <b/>
        <sz val="8"/>
        <color theme="4"/>
        <rFont val="Arial"/>
        <family val="2"/>
      </rPr>
      <t>VF040_V3 IDXX RUN/Start Output</t>
    </r>
    <r>
      <rPr>
        <b/>
        <sz val="8"/>
        <color rgb="FF1F497D"/>
        <rFont val="Arial"/>
        <family val="2"/>
      </rPr>
      <t xml:space="preserve">
{
</t>
    </r>
    <r>
      <rPr>
        <sz val="8"/>
        <color rgb="FF000000"/>
        <rFont val="Arial"/>
        <family val="2"/>
      </rPr>
      <t xml:space="preserve">The BCM shall disable TCMRunStart.Cmdfor 200 ms.After that the micro shall turn on the driver again.If the short circuit condition is no longer present, the micro shall maintain the output for the duration of the ignition cycle.If the micro has attempted 4 retries and the output is still shorted, the micro shall disable this output for the remainder of the ignition cycle
</t>
    </r>
    <r>
      <rPr>
        <b/>
        <sz val="8"/>
        <color rgb="FF1F497D"/>
        <rFont val="Arial"/>
        <family val="2"/>
      </rPr>
      <t>}</t>
    </r>
  </si>
  <si>
    <t>25KM74
26KM74</t>
  </si>
  <si>
    <t>B2190-83</t>
  </si>
  <si>
    <t>Intelligent Battery Sensor "B" - Value of Signal Protection Calculation Incorrect</t>
  </si>
  <si>
    <t>VF512</t>
  </si>
  <si>
    <t>*VF512_V1 ID NA</t>
  </si>
  <si>
    <t>1.Invalid Data Received from IBS3_2</t>
  </si>
  <si>
    <t>EC1: Ignition Status - IGN_RUN and BCM_FD_2.RemStActvSts = 00
EC3: System Voltage - 10V to 16V
EC4: Network Configuration Status - Autonomy_Level = Level 2 Plus
EC5: Bus Physical Status - No Bus physical/ Bus Off LIN7 DTC Active
EC7: Enable Condition Timer - 5 Seconds</t>
  </si>
  <si>
    <t>IF BCM detect a failure on CRC/MC for 3 Consecutive Transmission
Fault is Applied for LIN7:IBS_Fast2_2 Message.</t>
  </si>
  <si>
    <t>BCM detects MC and CRC of the Message Plausible</t>
  </si>
  <si>
    <t>Not Defined in the VF.</t>
  </si>
  <si>
    <t>26KM
26EJ</t>
  </si>
  <si>
    <t>B2191-83</t>
  </si>
  <si>
    <t>Intelligent Battery Sensor "A" - Value of Signal Protection Calculation Incorrect</t>
  </si>
  <si>
    <t>1.Invalid Data Received from IBS3</t>
  </si>
  <si>
    <t>EC1: Ignition Status - IGN_RUN and BCM_FD_2.RemStActvSts = 00
EC3: System Voltage - 10V to 16V
EC4: Network Configuration Status - Always True
EC5: Bus Physical Status - No Bus physical/ Bus Off LIN1 DTC Active
EC7: Enable Condition Timer - 5 Seconds</t>
  </si>
  <si>
    <t>IF BCM detect a failure on CRC/MC for 3 Consecutive Transmission
Fault is Applied for LIN1:IBS_Fast2 Message.</t>
  </si>
  <si>
    <t>26KM
26LB
26EJ</t>
  </si>
  <si>
    <t>B2199-16</t>
  </si>
  <si>
    <t>Battery Voltage - Circuit Voltage Below Threshold</t>
  </si>
  <si>
    <t>CS.00099</t>
  </si>
  <si>
    <t>Section "7.2.5.2 Power Distribution Mature Criteria"</t>
  </si>
  <si>
    <t>Cluster not functional</t>
  </si>
  <si>
    <t>Bad Alternatir, Alternator regulator, or Battery</t>
  </si>
  <si>
    <t>Verify Battery/Atlernator</t>
  </si>
  <si>
    <t>VBAT1, VBAT2, VBAT3, VBAT4</t>
  </si>
  <si>
    <t>C02, C04, C03, A11</t>
  </si>
  <si>
    <t>A903, A904, A905, A906</t>
  </si>
  <si>
    <t>EC1: Ignition Status - IGN_RUN or START
EC4: Network Configuration Status - Always True
EC7: Enable Condition Timer - 5 seconds</t>
  </si>
  <si>
    <t>Supply Voltage &lt; 8.5 V</t>
  </si>
  <si>
    <t>Supply Voltage &gt; 9.0 V</t>
  </si>
  <si>
    <t>B2199-17</t>
  </si>
  <si>
    <t>Battery Voltage - Circuit Voltage Above Threshold</t>
  </si>
  <si>
    <t>Cluster not functional if the voltage range is above 18.5 Volts</t>
  </si>
  <si>
    <r>
      <rPr>
        <sz val="8"/>
        <color rgb="FF000000"/>
        <rFont val="Arial"/>
        <family val="2"/>
      </rPr>
      <t xml:space="preserve">Supply Voltage &gt; 16.5 V </t>
    </r>
    <r>
      <rPr>
        <b/>
        <sz val="8"/>
        <color rgb="FF000000"/>
        <rFont val="Arial"/>
        <family val="2"/>
      </rPr>
      <t xml:space="preserve">± 0.5 V </t>
    </r>
  </si>
  <si>
    <t>Supply Voltage &lt; 16.0 V</t>
  </si>
  <si>
    <t>B21E6-11</t>
  </si>
  <si>
    <t>Ignition Run Control 3-Circuit Short to Ground</t>
  </si>
  <si>
    <t>Ignition control circuit inoperative</t>
  </si>
  <si>
    <t>G1-HS12</t>
  </si>
  <si>
    <t>G44</t>
  </si>
  <si>
    <t>F562</t>
  </si>
  <si>
    <r>
      <rPr>
        <sz val="8"/>
        <color rgb="FF000000"/>
        <rFont val="Arial"/>
        <family val="2"/>
      </rPr>
      <t>Fault Detection Condition: 
a) BCM not in Sleep, Output OFF to ON Transition 
b) In-Rush Time Expired 
c) After 3 Retry Counter; Output = OFF (Latched)</t>
    </r>
  </si>
  <si>
    <r>
      <rPr>
        <sz val="8"/>
        <color rgb="FF000000"/>
        <rFont val="Arial"/>
        <family val="2"/>
      </rPr>
      <t>Healing Condition: 
Fault Condition is Removed  
a) After KeyOff -&gt; KeyOn Transition, When Output On State, BCM Detect No OverCurrent</t>
    </r>
  </si>
  <si>
    <t>B21E6-15</t>
  </si>
  <si>
    <t>Ignition Run Control 3-Circuit Short to Battery or Open</t>
  </si>
  <si>
    <t>VF040_V3 IDX.X</t>
  </si>
  <si>
    <t>Repair Short Circuit else replace defective Relay or BCM</t>
  </si>
  <si>
    <t>HS12</t>
  </si>
  <si>
    <t>Fault Detection Condition (Output ON):
1) BCM should detect Short to Battery
Fault Detection Condition (Output ON):
1) BCM should detected Open Load</t>
  </si>
  <si>
    <t>B2204-00</t>
  </si>
  <si>
    <t>ECU Configuration Mismatch-</t>
  </si>
  <si>
    <t>CS.00148</t>
  </si>
  <si>
    <t>This is the DTC that represent a PROXI mismatch (node not aligned to the BCM).
DTC is set when one (or more) Node does nor responds or responds with a “virgin” or “different” CONFIGURATION CODE to master node.</t>
  </si>
  <si>
    <t>Some vehicle features will not work as expected</t>
  </si>
  <si>
    <t>Re Configure Vehicle</t>
  </si>
  <si>
    <t>EC1: Ignition Status - IGN_RUN
EC3: System Voltage - 10V to 16V
EC5: Bus Physical Status - No Bus physical/ Bus Off DTC Active (All CAN Bus)
EC7: Enable Condition Timer - 5 seconds</t>
  </si>
  <si>
    <t>there is  one or more CAN nodes bit:
Config_CAN_systems = 0x01
AND
Config_EOL_CAN_systems = 0x01
AND
EOL_CAN_systems = 0x01
AND
Active_CAN_systems = 0x01
AND
EOL_OK_CAN_systems = 0x00</t>
  </si>
  <si>
    <t xml:space="preserve">maturation condition not satisfied
</t>
  </si>
  <si>
    <t>B2204-55</t>
  </si>
  <si>
    <t>ECU Configuration Mismatch-Not Configured</t>
  </si>
  <si>
    <t>Wrong vehicle configuration</t>
  </si>
  <si>
    <t>EC1: Ignition Status - IGN_RUN
EC3: System Voltage - 10V to 16V
EC5: Bus Physical Status - No Bus physical/ Bus Off DTC Active (All CAN Bus)
EC7: Enable Condition Timer -  - 5 seconds</t>
  </si>
  <si>
    <t>there is one or more CAN nodes bits:
Config_CAN_systems = 0X01
AND
Config_EOL_CAN_systems = 0X01
AND
EOL_CAN_systems = 0X00
AND
Active_CAN_systems = 0X01</t>
  </si>
  <si>
    <t>B2204-87</t>
  </si>
  <si>
    <t>ECU Configuration Mismatch-Missing Message</t>
  </si>
  <si>
    <t>there is  one or more CAN nodes bits:
Config_CAN_systems = 0X01
AND
Config_EOL_CAN_systems = 0X01
AND
Active_CAN_systems = 0X00</t>
  </si>
  <si>
    <t>maturation condition not satisfied</t>
  </si>
  <si>
    <t>B2206-00</t>
  </si>
  <si>
    <t>Current VIN Missing / Mismatch-</t>
  </si>
  <si>
    <t>VF607</t>
  </si>
  <si>
    <t>* VF607_V1, ID1.0</t>
  </si>
  <si>
    <t>Vehicle not properly configured at assembly line</t>
  </si>
  <si>
    <t>NA</t>
  </si>
  <si>
    <t>EC1: Ignition Status - IGN_RUN
EC3: System Voltage - 10V to 16V
EC4: Network Configuration Status - Always True
EC7: Enable Condition Timer -  - 5 seconds</t>
  </si>
  <si>
    <t>BCM hasn't been written with a VIN.</t>
  </si>
  <si>
    <t>a non-default VIN (0xFF .. 0xFF) has been written</t>
  </si>
  <si>
    <r>
      <rPr>
        <b/>
        <sz val="8"/>
        <color theme="4"/>
        <rFont val="Arial"/>
        <family val="2"/>
      </rPr>
      <t xml:space="preserve">*VF607_V1 ID 1.0:
{ 
</t>
    </r>
    <r>
      <rPr>
        <sz val="8"/>
        <color rgb="FF000000"/>
        <rFont val="Arial"/>
        <family val="2"/>
      </rPr>
      <t xml:space="preserve">- BCM shall send VIN.VIN_MSG = SNA.
</t>
    </r>
    <r>
      <rPr>
        <b/>
        <sz val="8"/>
        <color theme="4"/>
        <rFont val="Arial"/>
        <family val="2"/>
      </rPr>
      <t>}</t>
    </r>
  </si>
  <si>
    <t>B2207-8B</t>
  </si>
  <si>
    <t>Occupant Restraint Controller Internal 1-Invalid Message Structure / Length</t>
  </si>
  <si>
    <t>Malfunctioning ORC</t>
  </si>
  <si>
    <t>Repair or replace ORC</t>
  </si>
  <si>
    <t>EC1: Ignition Status - IGN_RUN and BCM_FD_2.RemStActvSts = 00
EC3: System Voltage - 10V to 16V
EC4: Network Configuration Status - Can configuration.CAN node 26 (SDM/ORC) = Present(0x01)
EC5: Bus Physical Status - No Bus physical/ Bus Off DTC FD2 Active
EC7: Enable Condition Timer - 5 seconds</t>
  </si>
  <si>
    <t>* FD-CAN2.IMPACT_INFO
has DLC less than specified in DBC file:</t>
  </si>
  <si>
    <t>B221D-49</t>
  </si>
  <si>
    <t>(RSM) Rain Sensor Module Internal -Internal Electronic Failure</t>
  </si>
  <si>
    <t>VF150</t>
  </si>
  <si>
    <t>*VF150_V2 ID NA</t>
  </si>
  <si>
    <t>Rain Sensor inoperative or operating incorrectly</t>
  </si>
  <si>
    <t>Malfunction of the Rain Sensor</t>
  </si>
  <si>
    <t>Repair of Rain Sensor</t>
  </si>
  <si>
    <t>EC1: Ignition Status - IGN_RUN
EC3: System Voltage - 10V to 16V
EC4: Network Configuration Status - Always True
EC5: Bus Physical Status - No Bus physical/ Bus Off DTC LIN6 Active
EC6: I/O Device Configuration Status– Always True
EC7: Enable Condition Timer - 5 sec</t>
  </si>
  <si>
    <t>Fault Detection Condition: LIN6.HRLS_A1.RainSensorFailSts = 1 AND LIN6.HRLS_A1.CurrentFailStsRLS = 0</t>
  </si>
  <si>
    <t>Healing Condition: LIN6.HRLS_A1.RainSensorFailSts != 1 AND LIN6.HRLS_A1.CurrentFailStsRLS != 1</t>
  </si>
  <si>
    <r>
      <rPr>
        <b/>
        <sz val="8"/>
        <color theme="4"/>
        <rFont val="Arial"/>
        <family val="2"/>
      </rPr>
      <t xml:space="preserve">VF150 ID XX HRLS Rain Sensor
{
</t>
    </r>
    <r>
      <rPr>
        <sz val="8"/>
        <color rgb="FF000000"/>
        <rFont val="Arial"/>
        <family val="2"/>
      </rPr>
      <t xml:space="preserve"> - BCM Shall Activate the "BCM_FD_9.RainSensorFailSts" Signal
 -The Wiper Motor as Follows: with the Last Valid value LIN6:HRLS_A1:WiperSpeed, if the CCAN1:STEERING_COLUMN:WprSw6Posn=INTERVAL=1or 2 or 3 or 4
</t>
    </r>
    <r>
      <rPr>
        <b/>
        <sz val="8"/>
        <color theme="4"/>
        <rFont val="Arial"/>
        <family val="2"/>
      </rPr>
      <t>}</t>
    </r>
    <r>
      <rPr>
        <b/>
        <sz val="8"/>
        <color rgb="FF1F497D"/>
        <rFont val="Arial"/>
        <family val="2"/>
      </rPr>
      <t xml:space="preserve">
</t>
    </r>
    <r>
      <rPr>
        <sz val="8"/>
        <color rgb="FF000000"/>
        <rFont val="Arial"/>
        <family val="2"/>
      </rPr>
      <t xml:space="preserve">* Limp action defined from VF150 HRLS recovery diagnostics and Recovery description. </t>
    </r>
  </si>
  <si>
    <t>B223C-64</t>
  </si>
  <si>
    <t>Intrusion Transceiver Module Internal-Signal Plausibility Failure</t>
  </si>
  <si>
    <t xml:space="preserve">Malfunctioning </t>
  </si>
  <si>
    <t xml:space="preserve">Repair or replace </t>
  </si>
  <si>
    <t>EC1: Ignition Status - IGN_RUN and BCM_FD_2.RemStActvSts = 00
EC3: System Voltage - 10V to 16V
EC4: Network Configuration Status - CAN node 7 (ITM) = Present(0x01)
EC5: Bus Physical Status - No (Bus physical/ Bus Off BHCAN DTC Active)
EC7: Enable Condition Timer - 5 seconds</t>
  </si>
  <si>
    <t>* BH-CAN.INTRUSION_1
has DLC less than specified in DBC file:</t>
  </si>
  <si>
    <t>BH-CAN.INTRUSION_1
Message received with correct DLC</t>
  </si>
  <si>
    <t>B223C-87</t>
  </si>
  <si>
    <t>Intrusion Transceiver Module Internal-Missing Message</t>
  </si>
  <si>
    <t>EC1: Ignition Status - IGN_RUN and BCM_FD_2.RemStActvSts = 00
EC3: System Voltage - 10V to 16V
EC4: Network Configuration Status - CAN node 7 (ITM) = Present(0x01)
EC5: Bus Physical Status - No (Bus physical/ Bus Off  BHCAN DTC Active)
EC7: Enable Condition Timer - 5 seconds</t>
  </si>
  <si>
    <t>* BH-CAN.INTRUSION_1
Message Missing</t>
  </si>
  <si>
    <t>* BH-CAN.INTRUSION_1
Message received</t>
  </si>
  <si>
    <t>B2250-00</t>
  </si>
  <si>
    <t>ECU Not Programmed/Flash Required-</t>
  </si>
  <si>
    <t>CS.00101</t>
  </si>
  <si>
    <t>CS.00101 (REQ 5-41)</t>
  </si>
  <si>
    <t>No BCM Functions</t>
  </si>
  <si>
    <t>1. BCM application SW not programmed
2. BCM SW erased.
3. Incorrect BCM SW flashed.</t>
  </si>
  <si>
    <t>Flash the right version of BCM SW</t>
  </si>
  <si>
    <r>
      <rPr>
        <b/>
        <sz val="8"/>
        <color rgb="FF000000"/>
        <rFont val="Arial"/>
        <family val="2"/>
      </rPr>
      <t xml:space="preserve">EC3: System Voltage - 10V to 16V
</t>
    </r>
    <r>
      <rPr>
        <sz val="8"/>
        <color rgb="FF000000"/>
        <rFont val="Arial"/>
        <family val="2"/>
      </rPr>
      <t>EC7: Enable Condition Timer - 5 seconds</t>
    </r>
  </si>
  <si>
    <t>BCM module in boot mode</t>
  </si>
  <si>
    <t>BCM application SW flashed and initilization successful</t>
  </si>
  <si>
    <t>B225F-49</t>
  </si>
  <si>
    <t>Light Sensor Module-Internal Electronic Failure</t>
  </si>
  <si>
    <t>VF247_V1 ID 2.0</t>
  </si>
  <si>
    <t>Light Sensor Module inoperative or operating incorrectly</t>
  </si>
  <si>
    <t>Defective Light Sensor Module</t>
  </si>
  <si>
    <t>Check for Blown Fuse. 
or Replace Light Sensor Module</t>
  </si>
  <si>
    <t>EC1: Ignition Status - IGN_RUN
EC3: System Voltage - 10V to 16V
EC4: Network Configuration Status - Always True
EC5: Bus Physical Status - No Bus physical/ Bus Off DTC LIN6 Active
EC7: Enable Condition Timer - 5 Seconds</t>
  </si>
  <si>
    <t>Fault Detection Condition: (LIN6.HRLS_A1.CurrentFailStsRLS = TRUE OR LIN6:HRLS_A1.LightSensorFailSts = TRUE) AND MainLightSelector.Req = Auto</t>
  </si>
  <si>
    <t>Healing Condition: LIN6.HRLS_A1.CurrentFailStsRLS != TRUE AND LIN6:HRLS_A1.LightSensorFailSts != TRUE OR MainLightSelector.Req != Auto</t>
  </si>
  <si>
    <r>
      <rPr>
        <b/>
        <sz val="8"/>
        <color theme="4"/>
        <rFont val="Arial"/>
        <family val="2"/>
      </rPr>
      <t>VF247_V1 ID 2.0</t>
    </r>
    <r>
      <rPr>
        <b/>
        <sz val="8"/>
        <color rgb="FF000000"/>
        <rFont val="Arial"/>
        <family val="2"/>
      </rPr>
      <t xml:space="preserve">
</t>
    </r>
    <r>
      <rPr>
        <sz val="8"/>
        <color rgb="FF000000"/>
        <rFont val="Arial"/>
        <family val="2"/>
      </rPr>
      <t>BCM Shall Set the Signals and Outputs as described in "Lights Management" as MainLightSelector = Low Beams</t>
    </r>
  </si>
  <si>
    <t>B225F-64</t>
  </si>
  <si>
    <t>Light Sensor Module-Signal Plausibility Failure</t>
  </si>
  <si>
    <t>VF041 ID 1.6</t>
  </si>
  <si>
    <t>HRLS inoperative or operating incorrectly. E12 Instrument Lighting turn on.</t>
  </si>
  <si>
    <t>Malfunction HRLS</t>
  </si>
  <si>
    <t>Check the correct functionality of HRLS, In case of no response, replace it.</t>
  </si>
  <si>
    <t>EC1: Ignition Status - IGN_RUN and BCM_FD_2.RemStActvSts = 00
EC3: System Voltage - 10V to 16V
EC4: Network Configuration Status - Always true
EC5: Bus Physical Status - No Bus physical/ Bus Off DTC LIN6 Active
EC7: Enable Condition Timer - 5 seconds</t>
  </si>
  <si>
    <t xml:space="preserve">HRLS_Ambient_Light_Level == "SNA" </t>
  </si>
  <si>
    <t xml:space="preserve">HRLS_Ambient_Light_Level != "SNA" </t>
  </si>
  <si>
    <r>
      <rPr>
        <b/>
        <sz val="8"/>
        <color theme="4"/>
        <rFont val="Arial"/>
        <family val="2"/>
      </rPr>
      <t>VF041 ID 1.6:</t>
    </r>
    <r>
      <rPr>
        <b/>
        <sz val="8"/>
        <color rgb="FF000000"/>
        <rFont val="Arial"/>
        <family val="2"/>
      </rPr>
      <t xml:space="preserve">
</t>
    </r>
    <r>
      <rPr>
        <sz val="8"/>
        <color rgb="FF000000"/>
        <rFont val="Arial"/>
        <family val="2"/>
      </rPr>
      <t>The BCM shall set internal variable AUTO_DAY_NIGHT=="Night".</t>
    </r>
  </si>
  <si>
    <t>B2267-49</t>
  </si>
  <si>
    <t>Interior Rear View Mirror Module Internal -Internal Electronic Failure</t>
  </si>
  <si>
    <t>VF128</t>
  </si>
  <si>
    <t>*VF128_V1 ID1.0 (KM &amp; LB)
*VF128_V2 ID1.0 (LB)</t>
  </si>
  <si>
    <t>Defective Combined Rear View Mirror Module</t>
  </si>
  <si>
    <t>Replace the defective CRVMM</t>
  </si>
  <si>
    <t>EC1: Ignition Status - IGN_RUN
EC3: System Voltage - 10V to 16V
EC6: I/O Device Configuration Status – EC_Mirror = Present
EC7: Enable Condition Timer - 5 Seconds</t>
  </si>
  <si>
    <t>KM , LB, CA:
FAULT1: {[Proxi- CRVMM_Presence = Present(0x01)] AND [CRVMM_A1.SENSOR_FAULT_CRV == True]}
KM:
*FAULT2: {[Proxi- RVDM_Presence = Present(0x01)] AND  [RVDM_A1. SENSOR_FAULT_RVDM = (1h: Fault Present)]}</t>
  </si>
  <si>
    <t>KM , LB, CA:
* FAULT1: CRVMM_A1. SENSOR_FAULT_CRV != True
KM:
*FAULT2: RVDM_A1. SENSOR_FAULT_RVDM = !(1h: Fault Present)</t>
  </si>
  <si>
    <t>B2298-01</t>
  </si>
  <si>
    <t>Rain Sensor Over Temperature - General Electrical Failure</t>
  </si>
  <si>
    <t>*VF150_V2 ID missing</t>
  </si>
  <si>
    <t>Rain Sensor Electrical Fault</t>
  </si>
  <si>
    <t>Repair electrical failure or replace defective sensor</t>
  </si>
  <si>
    <t>EC1: Ignition Status - IGN_RUN
EC3: System Voltage - 10V to 16V
EC4: Network Configuration Status - Always True
EC5: Bus Physical Status - No Bus physical/ Bus Off DTC Active
EC6: I/O Device Configuration Status– Always True
EC7: Enable Condition Timer - 5 sec</t>
  </si>
  <si>
    <t>LIN6.HRLS_A1.RainSensorFailSts = 1
                         AND
LIN6.HRLS_A1.CurrentFailStsRLS = 1</t>
  </si>
  <si>
    <t>LIN6.HRLS_A1.RainSensorFailSts != 1
                         OR
LIN6.HRLS_A1.CurrentFailStsRLS != 1</t>
  </si>
  <si>
    <r>
      <rPr>
        <b/>
        <sz val="8"/>
        <color theme="4"/>
        <rFont val="Arial"/>
        <family val="2"/>
      </rPr>
      <t xml:space="preserve">VF150 ID XX NA HRLS Rain Sensor:
{
</t>
    </r>
    <r>
      <rPr>
        <sz val="8"/>
        <color rgb="FF000000"/>
        <rFont val="Arial"/>
        <family val="2"/>
      </rPr>
      <t xml:space="preserve"> - BCM Shall Activate the "BCM_FD_9.RainSensorFailSts" Signal
 - Commands the Wiper Motor as Follows: with the Last Valid Command Received from the Sensor if the HRLS Command was Intermittent, Low Speed Continuous or High Speed Continuous.
</t>
    </r>
    <r>
      <rPr>
        <b/>
        <sz val="8"/>
        <color theme="4"/>
        <rFont val="Arial"/>
        <family val="2"/>
      </rPr>
      <t>}</t>
    </r>
  </si>
  <si>
    <t>B22A9-44</t>
  </si>
  <si>
    <t>ECU Internal Performance - Data Memory Failure</t>
  </si>
  <si>
    <t>VF568</t>
  </si>
  <si>
    <t>* VF568_V1 IDX.0 (BCM Internal failure)</t>
  </si>
  <si>
    <t>MCU Data Memory Failure</t>
  </si>
  <si>
    <t>Replace BCM</t>
  </si>
  <si>
    <t>EC1: Ignition Status - IGN_LK or IGN_RUN
EC3: System Voltage – 10V to 16V</t>
  </si>
  <si>
    <t>Data memory failure detected at EEPROM writing attempt</t>
  </si>
  <si>
    <t>Never devalidated by software; only possible by diagnostic service.</t>
  </si>
  <si>
    <t>VF568 V1 IDXX BCM / Internal Fail - Description (LB )
{
Retain and operate out of the last known valid Global Drive mode, and valid enabled settings at the time the internal fail is detected. 
	o BCM_FD_12.EPS_MODE_REQ = last known valid state
	o BCM_FD_12.PaddlesModeReq = last known valid state 
	o BCM_FD_26.ADS_MODE_REQ = last known valid state
	o BCM_FD_26.ESC_Mode_Req =last known valid state
	o BCM_FD_26.Paddles_DrvMd_CfgSts_TMI = last known valid state
	o BCM_FD_26.EPS_DrvMd_CfgSts_TMI = last known valid state 
	o BCM_FD_26.ADS_DrvMd_CfgSts_TMI = last known valid state 
	o BCM_FD_26.ESC_DrvMd_CfgSts_TMI = last known valid state
}
KM, EJ
No defined in VF</t>
  </si>
  <si>
    <t xml:space="preserve">25LB                             26LB                      25KM                           25EJ
26KM
26EJ
</t>
  </si>
  <si>
    <t>B22A9-45</t>
  </si>
  <si>
    <t>ECU Internal Performance - Program memory failure</t>
  </si>
  <si>
    <t>MCU Program Memeory Failure</t>
  </si>
  <si>
    <t>B2880-53</t>
  </si>
  <si>
    <t>EC1: Ignition Status - IGN_RUN
EC3: System Voltage – 10V to 16V</t>
  </si>
  <si>
    <t>Program memory failure detected</t>
  </si>
  <si>
    <t>VF568 V1 IDXX BCM / Internal Fail - Description (LB )
{
Retain and operate out of the last known valid Global Drive mode, and valid enabled settings at the time the internal fail is detected. 
	o BCM_FD_12.EPS_MODE_REQ = last known valid state
	o BCM_FD_12.PaddlesModeReq = last known valid state 
	o BCM_FD_26.ADS_MODE_REQ = last known valid state
	o BCM_FD_26.ESC_Mode_Req =last known valid state
	o BCM_FD_26.Paddles_DrvMd_CfgSts_TMI = last known valid state
	o BCM_FD_26.EPS_DrvMd_CfgSts_TMI = last known valid state 
	o BCM_FD_26.ADSADC_DrvMd_CfgSts_TMI = last known valid state 
	o BCM_FD_26.ESC_DrvMd_CfgSts_TMI = last known valid state
}
KM, EJ
No defined in VF</t>
  </si>
  <si>
    <t>B22A9-47</t>
  </si>
  <si>
    <t>ECU Internal Performance-Watchdog / Safety µC Failure</t>
  </si>
  <si>
    <t>VF057
CS.00099</t>
  </si>
  <si>
    <t>ECU watchdog not re-triggered by MCU in time.</t>
  </si>
  <si>
    <t>BCM reset event occurred due to watchdog trigger</t>
  </si>
  <si>
    <t>B22AD-00</t>
  </si>
  <si>
    <t>Dual Battery Switch Module Internal-</t>
  </si>
  <si>
    <t>VF549</t>
  </si>
  <si>
    <t>*VF549_V1 ID2.0</t>
  </si>
  <si>
    <t>Defective Dual Battery Switch Module</t>
  </si>
  <si>
    <t>Replace the defective DBSM2</t>
  </si>
  <si>
    <t>EC1: Ignition Status - IGN_RUN 
EC2: Local Voltage – 9V to 16V
 EC6: I/O Device Configuration Status – Autonomy_Level= Level 2 Plus</t>
  </si>
  <si>
    <t>* DBSM2_A1.DBSM2_internal_error == True</t>
  </si>
  <si>
    <t>* DBSM2_A1.DBSM2_internal_error != True</t>
  </si>
  <si>
    <t>B2303-11</t>
  </si>
  <si>
    <t>Wiper Park Switch Input-Circuit Short to Ground</t>
  </si>
  <si>
    <t>VF150_V2 ID.X</t>
  </si>
  <si>
    <t>Front wiper inoperative</t>
  </si>
  <si>
    <t>1. Wiring Shorted
2. Harness pinout shorted
3. Defective Wiper Switch
4. Internal Short</t>
  </si>
  <si>
    <t>Repair Short Circuit, else replace defective front wiper switch</t>
  </si>
  <si>
    <t>FrontWiperCamContact</t>
  </si>
  <si>
    <t>IN DIGITAL</t>
  </si>
  <si>
    <t>P40.00</t>
  </si>
  <si>
    <t>B23</t>
  </si>
  <si>
    <t>W7</t>
  </si>
  <si>
    <t>EC1: Ignition Status - IGN_RUN and BCM_FD_2.RemStActvSts = 00
EC2:  Local Voltage – 9V to 16V
EC6: I/O Device Configuration Status – Always True</t>
  </si>
  <si>
    <t>BCM detects the logical state of the input to be Short to Ground  when below conditions are present
(BCM_FD_6.FrontWiperReq &lt;&gt; (HIGH OR OFF) AND FrontWiperLowOut = ON AND  BCM_FD_9.FrontWiperMoveSts = 0)</t>
  </si>
  <si>
    <t>BCM detects the logical state of the input no longer as Short to Ground when below conditions are present
(BCM_FD_6.FrontWiperReq = HIGH OR BCM_FD_9.FrontWiperMoveSts = 1)</t>
  </si>
  <si>
    <t>B2303-15</t>
  </si>
  <si>
    <t>Wiper Park Switch Input-Circuit Short to Battery or Open</t>
  </si>
  <si>
    <t>BCM_FD_6.FrontWiperReq &lt;&gt; (HIGH OR OFF) AND FrontWiperLowOut = ON AND  BCM_FD_9.FrontWiperMoveSts = 1</t>
  </si>
  <si>
    <t>BCM_FD_6.FrontWiperReq = HIGH OR  BCM_FD_9.FrontWiperMoveSts = 0</t>
  </si>
  <si>
    <t xml:space="preserve">
25EJ
25LB 
26LB
26EJ
26KM</t>
  </si>
  <si>
    <t>B230C-11</t>
  </si>
  <si>
    <t>Rear Wiper Park Switch Input - Circuit Short to Ground</t>
  </si>
  <si>
    <t>Rear wiper inoperative</t>
  </si>
  <si>
    <t>Repair Short Circuit, else replace defective rear wiper switch</t>
  </si>
  <si>
    <t>RearWiperCamContact</t>
  </si>
  <si>
    <t>P40.01</t>
  </si>
  <si>
    <t>E02</t>
  </si>
  <si>
    <t>W17</t>
  </si>
  <si>
    <t>EC1: Ignition Status - IGN_RUN and BCM_FD_2.RemStActvSts = 00
EC2:  Local Voltage – 9V to 16V
EC6: I/O Device Configuration Status – Car_Configuration_2.Rear_Wiper_Motor= present (0x01)</t>
  </si>
  <si>
    <t>RearWiperMotor = ON AND  RearWiperCamContact = Open</t>
  </si>
  <si>
    <t>RearWiperCamContact = CLOSE</t>
  </si>
  <si>
    <t>B230C-15</t>
  </si>
  <si>
    <t>Rear Wiper Park Switch Input - Circuit Short to Battery or Open</t>
  </si>
  <si>
    <t>Rear wiper operating incorrectly</t>
  </si>
  <si>
    <t>1. Wiring Shorted or broken
2. Harness pinout shorted or broken
3. Defective Park Switch
4. Internal fault</t>
  </si>
  <si>
    <t>Repair Open Load or Short Circuit to Battery, else replace defective rear wiper switch</t>
  </si>
  <si>
    <t>EC1: Ignition Status - IGN_RUN and BCM_FD_2.RemStActvSts = 00
EC2:  Local Voltage – 9V to 16V
EC6: I/O Device Configuration Status – Car_Configuration_2.Rear_Wiper_Motor= present (0x01)
EC7: Enable Condition Timer - 5 seconds</t>
  </si>
  <si>
    <t>RearWiperMotor = ON AND  RearWiperCamContact = CLOSE</t>
  </si>
  <si>
    <t>RearWiperCamContact = Open</t>
  </si>
  <si>
    <t>B2312-11</t>
  </si>
  <si>
    <t>Wiper On/Off Control-Circuit Short to Ground</t>
  </si>
  <si>
    <t>1. Wiring Shorted
2. Harness pinout shorted
3. Defective Wiper Motor
4. Internal Short</t>
  </si>
  <si>
    <t xml:space="preserve">Repair Short Circuit else replace defective Wiper Motor </t>
  </si>
  <si>
    <t>FrontWiperLowOut</t>
  </si>
  <si>
    <t>G3-HS30</t>
  </si>
  <si>
    <t>B50</t>
  </si>
  <si>
    <t>W8</t>
  </si>
  <si>
    <t>B2312-15</t>
  </si>
  <si>
    <t>Wiper On/Off Control - Circuit Short to Battery or Open</t>
  </si>
  <si>
    <t>Front wiper inoperative or operating incorrectly</t>
  </si>
  <si>
    <t>Repair Open Load or Short Circuit to Battery, else replace defective Wiper Motor or BCM</t>
  </si>
  <si>
    <t>EC1: Ignition Status - IGN_RUN
EC2:  Local Voltage – 9V to 16V
EC6: I/O Device Configuration Status – Always True
EC7: Enable Condition Timer - 5 sec</t>
  </si>
  <si>
    <t>B2316-11</t>
  </si>
  <si>
    <t>Wiper High/Low Control-Circuit Short to Ground</t>
  </si>
  <si>
    <t>Front wiper high speed not available</t>
  </si>
  <si>
    <t>FrontWiperHighOut</t>
  </si>
  <si>
    <t>G3-HS31</t>
  </si>
  <si>
    <t>B51</t>
  </si>
  <si>
    <t>W2</t>
  </si>
  <si>
    <t>B2316-15</t>
  </si>
  <si>
    <t>Wiper High/Low Control-Circuit Short to Battery or Open</t>
  </si>
  <si>
    <t>VF150_V1 ID.X</t>
  </si>
  <si>
    <t>B231A-11</t>
  </si>
  <si>
    <t>Rear Wiper Motor Control-Circuit Short to Ground</t>
  </si>
  <si>
    <t>Repair Short Circuit to groundelse replace defective rear wiper</t>
  </si>
  <si>
    <t>RearWiperOut</t>
  </si>
  <si>
    <t>WIPER REAR</t>
  </si>
  <si>
    <t>A26</t>
  </si>
  <si>
    <t>W13</t>
  </si>
  <si>
    <t>EC1: Ignition Status - IGN_RUN
EC2:  Local Voltage – 9V to 16V
EC6: I/O Device Configuration Status –  Car_Configuration_2.Rear_Wiper_Motor= present (0x01)</t>
  </si>
  <si>
    <t>BCM detects the bridge driver shorted load when the output is ON
Retry counter: 3; DTC matured after 3 failed retries</t>
  </si>
  <si>
    <t>BCM detects no shorted load condition when the output is active.</t>
  </si>
  <si>
    <t>KM74
26KM74</t>
  </si>
  <si>
    <t>B231A-15</t>
  </si>
  <si>
    <t>Rear Wiper Motor Control-Circuit Short to Battery or Open</t>
  </si>
  <si>
    <t>Rear washer inoperative or operating incorrectly</t>
  </si>
  <si>
    <t>Repair Open Circuit else replace defective rear wiper</t>
  </si>
  <si>
    <t>EC1: Ignition Status - IGN_RUN
EC2:  Local Voltage – 9V to 16V
EC6: I/O Device Configuration Status –  Car_Configuration_2.Rear_Wiper_Motor= present (0x01)
EC7: Enable Condition Timer - 5 seconds</t>
  </si>
  <si>
    <t>Fault Detection Condition (Output OFF):
 1) BCM should detect Short to Battery 
Fault Detection Condition (Output OFF): 
1) BCM should detected Open Load</t>
  </si>
  <si>
    <t>BCM detects the output voltage of the bridge driver is at ground voltage level when the output is OFF. (STB and OL)</t>
  </si>
  <si>
    <t>B2332-2A</t>
  </si>
  <si>
    <t>Horn Switch - Stuck</t>
  </si>
  <si>
    <t>VF215</t>
  </si>
  <si>
    <t>* VF215 Cool Down</t>
  </si>
  <si>
    <t>Horn switch inoperative</t>
  </si>
  <si>
    <t>Repair Short Circuit else replace defective Horn</t>
  </si>
  <si>
    <t>Horn.Req</t>
  </si>
  <si>
    <t>IAS_05</t>
  </si>
  <si>
    <t>G22</t>
  </si>
  <si>
    <t>X3</t>
  </si>
  <si>
    <t xml:space="preserve">
EC2:  Local Voltage – 9V to 16V
EC6: I/O Device Configuration Status – Horn_Chirp_Duration</t>
  </si>
  <si>
    <t>Horn Switch Pressed for more than 30 seconds</t>
  </si>
  <si>
    <t>Horn Switch is not longer pressed</t>
  </si>
  <si>
    <t>B2335-11</t>
  </si>
  <si>
    <t>Horn Control-Circuit Short to Ground</t>
  </si>
  <si>
    <t>* VF215 ID1.0</t>
  </si>
  <si>
    <t>Horn inoperative</t>
  </si>
  <si>
    <t xml:space="preserve">Repair Short Circuit else replace defective Horn </t>
  </si>
  <si>
    <t>Horn.Cmd</t>
  </si>
  <si>
    <t>G6-HS64</t>
  </si>
  <si>
    <t>B10</t>
  </si>
  <si>
    <t>X4</t>
  </si>
  <si>
    <t>EC1: Ignitino Status - IGN_LK or IGN_RUN
EC2:  Local Voltage – 9V to 16V
EC6: I/O Device Configuration Status – Always True</t>
  </si>
  <si>
    <r>
      <rPr>
        <sz val="8"/>
        <color rgb="FF000000"/>
        <rFont val="Arial"/>
        <family val="2"/>
      </rPr>
      <t>Healing Condition: 
Fault Condition is Removed 
 a) After KeyOff -&gt; KeyOn Transition, When Output On State, BCM Detect No OverCurrent</t>
    </r>
  </si>
  <si>
    <t>B2335-15</t>
  </si>
  <si>
    <t>Horn Control-Circuit Short to Battery or Open</t>
  </si>
  <si>
    <t>EC1: Ignitino Status - IGN_LK or IGN_RUN
EC2:  Local Voltage – 9V to 16V
EC6: I/O Device Configuration Status – Always True
EC7: Enable Condition Timer - 5 sec</t>
  </si>
  <si>
    <r>
      <rPr>
        <sz val="8"/>
        <color rgb="FF000000"/>
        <rFont val="Arial"/>
        <family val="2"/>
      </rPr>
      <t>Healing Condition:
BCM no longer detects Short to Battery or Open Load in Output OFF State</t>
    </r>
  </si>
  <si>
    <t>B233D-11</t>
  </si>
  <si>
    <t>Front/Rear Washer Motor (+) Control-Circuit Short to Ground</t>
  </si>
  <si>
    <t>VF150_V2 No ID Reference</t>
  </si>
  <si>
    <t>Rear washer inoperative</t>
  </si>
  <si>
    <t>Repair Short Circuit else replace defective Washer Motor or BCM</t>
  </si>
  <si>
    <t>RearWasherOut</t>
  </si>
  <si>
    <t>HB02B</t>
  </si>
  <si>
    <t>A28</t>
  </si>
  <si>
    <t>W20</t>
  </si>
  <si>
    <t>BCM detects the logical state of the output to be Short to Ground. (ON State)</t>
  </si>
  <si>
    <t>BCM no longer detects short to ground</t>
  </si>
  <si>
    <t xml:space="preserve">25KM74
25EJ
26KM74
26EJ
</t>
  </si>
  <si>
    <t>B233D-15</t>
  </si>
  <si>
    <t>Front/Rear Washer Motor (+) Control-Circuit Short to Battery or Open</t>
  </si>
  <si>
    <t>EC1: Ignition Status - IGN_RUN
EC2:  Local Voltage – 9V to 16V
EC6: I/O Device Configuration Status –  Car_Configuration_2.Rear_Wiper_Motor= present (0x01)
EC7: Enable Condition Timer - 5 sec</t>
  </si>
  <si>
    <t>BCM detects a STB or Open Load condition. (OFF State)</t>
  </si>
  <si>
    <t>BCM detects the STB or Open condition is not longer present</t>
  </si>
  <si>
    <t>B2341-11</t>
  </si>
  <si>
    <t>Front/Rear Washer Motor (-) Control-Circuit Short to Ground</t>
  </si>
  <si>
    <t>Front washer inoperative</t>
  </si>
  <si>
    <t>Repair Short Circuit else replace defective Front Washer Motor or BCM</t>
  </si>
  <si>
    <t>FrontWasherOut</t>
  </si>
  <si>
    <t>HB02A</t>
  </si>
  <si>
    <t>A27</t>
  </si>
  <si>
    <r>
      <rPr>
        <sz val="8"/>
        <color rgb="FF000000"/>
        <rFont val="Arial"/>
        <family val="2"/>
      </rPr>
      <t xml:space="preserve">EC1: Ignition Status - IGN_RUN
EC2:  Local Voltage – 9V to 16V
EC6: I/O Device Configuration Status –  </t>
    </r>
    <r>
      <rPr>
        <b/>
        <sz val="8"/>
        <color rgb="FF000000"/>
        <rFont val="Arial"/>
        <family val="2"/>
      </rPr>
      <t>Always true</t>
    </r>
  </si>
  <si>
    <t>B2341-15</t>
  </si>
  <si>
    <t>Front/Rear Washer Motor (-) Control-Circuit Short to Battery or Open</t>
  </si>
  <si>
    <t>Front washer inoperative or operating incorrectly</t>
  </si>
  <si>
    <r>
      <rPr>
        <sz val="8"/>
        <color rgb="FF000000"/>
        <rFont val="Arial"/>
        <family val="2"/>
      </rPr>
      <t xml:space="preserve">EC1: Ignition Status - IGN_RUN
EC2:  Local Voltage – 9V to 16V
EC6: I/O Device Configuration Status –  </t>
    </r>
    <r>
      <rPr>
        <b/>
        <sz val="8"/>
        <color rgb="FF000000"/>
        <rFont val="Arial"/>
        <family val="2"/>
      </rPr>
      <t xml:space="preserve"> Always true
</t>
    </r>
    <r>
      <rPr>
        <sz val="8"/>
        <color rgb="FF000000"/>
        <rFont val="Arial"/>
        <family val="2"/>
      </rPr>
      <t>EC7: Enable Condition Timer - 5 seconds</t>
    </r>
  </si>
  <si>
    <t>Fault Detection Condition (Output OFF):
1) BCM should detect Short to Battery
Fault Detection Condition (Output ON):
1) BCM should detected Open Load</t>
  </si>
  <si>
    <t>BCM detects the output voltage of the bridge driver is at ground voltage level when the output is OFF.</t>
  </si>
  <si>
    <t>B234D-11</t>
  </si>
  <si>
    <t>Washer Fluid Level Low - Circuit Short to Ground</t>
  </si>
  <si>
    <t>Washer Fluid Low signal is shown inthe cluster</t>
  </si>
  <si>
    <t>1. Wiring Shorted
2. Harness pinout shorted
3. Internal Short</t>
  </si>
  <si>
    <t>Repair Short Circuit else replace BCM</t>
  </si>
  <si>
    <t>WASH_FLUID_LO</t>
  </si>
  <si>
    <t>AN47</t>
  </si>
  <si>
    <t>B32</t>
  </si>
  <si>
    <t>W1</t>
  </si>
  <si>
    <t>EC1: Ignition Status - IGN_RUN
EC2:  Local Voltage – 9V to 16V
EC6: I/O Device Configuration Status – Car_Configuration_8.Washer_Fluid_Sensor = Present (0x01)</t>
  </si>
  <si>
    <t xml:space="preserve">BCM detects the logical state of the input to be Short to Ground </t>
  </si>
  <si>
    <t>BCM detects the logical state of the input no longer as Short to Ground</t>
  </si>
  <si>
    <r>
      <rPr>
        <b/>
        <sz val="8"/>
        <color theme="4"/>
        <rFont val="Arial"/>
        <family val="2"/>
      </rPr>
      <t>VF150_V2 IDXX( Washer Fluid Sensor)</t>
    </r>
    <r>
      <rPr>
        <sz val="8"/>
        <color theme="1"/>
        <rFont val="Arial"/>
        <family val="2"/>
      </rPr>
      <t xml:space="preserve">
BCM_FD_9.WashLightWarningSts= 1 on FD_CAN3</t>
    </r>
  </si>
  <si>
    <t>B2363-11</t>
  </si>
  <si>
    <t>Windshield Wiper Heater Control-Circuit Short to Ground</t>
  </si>
  <si>
    <t>Climate Control System</t>
  </si>
  <si>
    <t>VF126_V1</t>
  </si>
  <si>
    <t>Repair Short Circuit else replace Relay</t>
  </si>
  <si>
    <t>WiperDeicer.Cmd</t>
  </si>
  <si>
    <t>SPIDER</t>
  </si>
  <si>
    <t>HS67</t>
  </si>
  <si>
    <t>B08</t>
  </si>
  <si>
    <t>W9</t>
  </si>
  <si>
    <t>EC1: Ignition Status - IGN_RUN
EC2:  Local Voltage – 9V to 16V
EC6: I/O Device Configuration Status –
Car_Configuration_3.Windshield_Heated_Wiper_Deicer= present (0x01)</t>
  </si>
  <si>
    <t xml:space="preserve">BCM detected overcurrent when the output is ON State.
Note:
* Retry counter: 3;
* DTC is matured after 3 retries.
</t>
  </si>
  <si>
    <t>B2363-15</t>
  </si>
  <si>
    <t>Windshield Wiper Heater Control-Circuit Short to Battery or Open</t>
  </si>
  <si>
    <t>Repair Short Circuit else replace defective EBL or BCM</t>
  </si>
  <si>
    <t>EC1: Ignition Status - IGN_RUN
EC2:  Local Voltage – 9V to 16V
EC6: I/O Device Configuration Status –
Car_Configuration_3.Windshield_Heated_Wiper_Deicer= present (0x01)
EC7: Enable Condition Timer - 5 sec</t>
  </si>
  <si>
    <t>HW output WiperDeicer.Cmd
Fault Detection Condition (Output OFF):
1) BCM should detect Short to Battery
Fault Detection Condition (Output OFF):
1) BCM should detected Open Load</t>
  </si>
  <si>
    <t>continuous</t>
  </si>
  <si>
    <t>BCM no longer detectes short to battery or Open</t>
  </si>
  <si>
    <t>B2379-07</t>
  </si>
  <si>
    <t>Wiper Motor -Mechanical Failures</t>
  </si>
  <si>
    <t>1. Wiring Shorted
2. Harness pinout shorted
3. Defective Wiper Motor
4. Internal Short
5. LIN ECU internal failure</t>
  </si>
  <si>
    <t>Repair wiring issue or replace LIN ECU</t>
  </si>
  <si>
    <t>EC1: Ignition Status - IGN_RUN
EC3: System Voltage - 10V to 16V
EC5: Bus Physical Status - No Bus physical/ Bus Off DTC Active
EC7: Enable Condition Timer - 5 seconds</t>
  </si>
  <si>
    <t>WWSM_BCM_1.Front_Wiper_Stalled_Detected = 1</t>
  </si>
  <si>
    <t>WWSM_BCM_1.Front_Wiper_Stalled_Detected != 1</t>
  </si>
  <si>
    <r>
      <rPr>
        <b/>
        <sz val="8"/>
        <color rgb="FF4F81BD"/>
        <rFont val="Arial"/>
        <family val="2"/>
      </rPr>
      <t xml:space="preserve">VF150_V2  ID NA WWSM Stalled/Frozen Wipers
</t>
    </r>
    <r>
      <rPr>
        <sz val="8"/>
        <color rgb="FF000000"/>
        <rFont val="Arial"/>
        <family val="2"/>
      </rPr>
      <t>After receiving a valid WWSM status
"Front_Wiper_Stalled_Detected" = 1 and
"Front_Wiper_Status" = 7 (Unknown)
Then the BCM shall transmits
"LIN3.Front_Wiper_Command = 0 (Stop).</t>
    </r>
  </si>
  <si>
    <t>B23D7-12</t>
  </si>
  <si>
    <t>Gated Park Control-Circuit Short to Battery</t>
  </si>
  <si>
    <t>VF516_V2</t>
  </si>
  <si>
    <t>Vehicle will not Start Or Transition to OFF State</t>
  </si>
  <si>
    <t>Repair Short Circuit else replace  Gated Park Switch or BCM</t>
  </si>
  <si>
    <t>GatedParkSwitchBCM.Info</t>
  </si>
  <si>
    <t>SPIDER LSD</t>
  </si>
  <si>
    <t>LS61</t>
  </si>
  <si>
    <t>E19</t>
  </si>
  <si>
    <t>T824</t>
  </si>
  <si>
    <t>EC2:  Local Voltage – 9V to 16V
EC6: I/O Device Configuration Status – Always true
EC7: Enable Condition Timer - 5 seconds</t>
  </si>
  <si>
    <t>Fault Detection Condition:
Output OFF State: 
   - BCM Should Detect Short to Battery when LSD is Commanded ON</t>
  </si>
  <si>
    <t>Healing Condition:
  - BCM no longer detects Short to Battery when LSD is Commanded ON</t>
  </si>
  <si>
    <t>B23D7-14</t>
  </si>
  <si>
    <t>Gated Park Control-Circuit Short to Ground or Open</t>
  </si>
  <si>
    <t>Repair Short Circuit else replace defective Wiper Heater or BCM</t>
  </si>
  <si>
    <t>EC2: Local Voltage – 9V to 16V
EC6: I/O Device Configuration Status – Always true
EC7: Enable Condition Timer - 5 Seconds</t>
  </si>
  <si>
    <t>Fault Detection Condition: 
   - BCM Should Detect Open Load or Short to Ground when LSD is Commanded OFF</t>
  </si>
  <si>
    <t>Healing Condition:
  - BCM no longer Detects Open Load or Short to Ground when the LSD is Commanded OFF</t>
  </si>
  <si>
    <t>B25B5-11</t>
  </si>
  <si>
    <t>External Trunk Switch-Circuit Short to Ground</t>
  </si>
  <si>
    <t>VF092_V10
VF092_V11</t>
  </si>
  <si>
    <t>RAPHandle.Req</t>
  </si>
  <si>
    <t>IAS_32</t>
  </si>
  <si>
    <t>E44</t>
  </si>
  <si>
    <t>P223</t>
  </si>
  <si>
    <t>EC1: Ignition Status - IGN_RUN
EC2:  Local Voltage – 9V to 16V
EC6: I/O Device Configuration Status – Always TRUE</t>
  </si>
  <si>
    <t>Fault Detection Condition (Output ON):
BCM detects the logical state of the input to be Short to Ground</t>
  </si>
  <si>
    <t>KM
26KM
25LB
26LB</t>
  </si>
  <si>
    <t>B25B5-13</t>
  </si>
  <si>
    <t>External Trunk Switch-Circuit Open</t>
  </si>
  <si>
    <t>1. Wiring Open or misswire
2. Harness pinout Open
3. Ajar Switch Defective
4. Internal Open or misswires</t>
  </si>
  <si>
    <t>Repair Open Circuit else replace defective switch</t>
  </si>
  <si>
    <t>Fault Detection Condition (Output ON):
BCM detects the logical state of the input to be Open Load</t>
  </si>
  <si>
    <t>BCM detects the logical state of the input no longer as Open Load.</t>
  </si>
  <si>
    <t xml:space="preserve">
26KM
26LB</t>
  </si>
  <si>
    <t>B25C0-2A</t>
  </si>
  <si>
    <t>Left Rear Door Ajar Switch-Stuck</t>
  </si>
  <si>
    <t>VF092_V20 No ID Reference (1.10.2.2.3 rk Interior Input)</t>
  </si>
  <si>
    <t>Switch inoperative</t>
  </si>
  <si>
    <t>EC1: Ignition Status - IGN_RUN and BCM_FD_2.RemStActvSts = 00
EC3: System Voltage - 10V to 16V
EC5: Bus Physical Status - No Bus physical/ Bus Off DTC LIN9 Active
EC7: Enable Condition Timer - 5 seconds</t>
  </si>
  <si>
    <t>KM,LB
LIN3.SBMRL_A1.RL_LK_SW == LK_RQ[1] OR UNLK_RQ [2] 
EJ-26EJ
LIN9.SBMRL_A1.RL_LK_SW == LK_RQ[1] OR UNLK_RQ [2]</t>
  </si>
  <si>
    <t>KM,LB 
LIN3.SBMRL_A1.RL_LK_SW != LK_RQ[1] OR UNLK_RQ [2]
EJ 
LIN9.SBMRL_A1.RL_LK_SW != LK_RQ[1] OR UNLK_RQ [2]</t>
  </si>
  <si>
    <t>B25C1-2A</t>
  </si>
  <si>
    <t>Right Rear Door Ajar Switch-Stuck</t>
  </si>
  <si>
    <t xml:space="preserve">VF092_V20 No ID Reference </t>
  </si>
  <si>
    <t>EC1: Ignition Status - IGN_RUN and BCM_FD_2.RemStActvSts = 00
EC3: System Voltage - 10V to 16V
EC5: Bus Physical Status - No Bus physical/ Bus Off DTC LIN3/LIN 10 Active
EC7: Enable Condition Timer - 5 seconds</t>
  </si>
  <si>
    <t>KM , LB
LIN3.SBMRR_A1.RR_LK_SW == LK_RQ[1] OR UNLK_RQ [2] 
EJ-26EJ
LIN10.SBMRR_A1.RR_LK_SW == LK_RQ[1] OR UNLK_RQ [2]</t>
  </si>
  <si>
    <t>KM, LB
 LIN3.SBMRR_A1.RR_LK_SW != LK_RQ[1] OR UNLK_RQ [2] 
EJ
 LIN10.SBMRR_A1.RR_LK_SW != LK_RQ[1] OR UNLK_RQ [2]</t>
  </si>
  <si>
    <t>B25C5-11</t>
  </si>
  <si>
    <t>Hood Ajar Input 2 - Circuit Short to Ground</t>
  </si>
  <si>
    <t>Front Hood Button Release Switch
inoperative</t>
  </si>
  <si>
    <t>Repair short cirtcuit else replace hood ajar button or BCM</t>
  </si>
  <si>
    <t>FrontHoodButtonReleaseSwitch.Req</t>
  </si>
  <si>
    <t xml:space="preserve">IAS_37
</t>
  </si>
  <si>
    <t>G02</t>
  </si>
  <si>
    <t>G79</t>
  </si>
  <si>
    <t>EC1: Ignition Status - IGN_RUN
EC2:  Local Voltage – 9V to 16V
EC6: I/O Device Configuration Status –HYBRID_TYPE = Hybrid Electric Vehicle</t>
  </si>
  <si>
    <t>26KM-74</t>
  </si>
  <si>
    <t>B280E-11</t>
  </si>
  <si>
    <t>Sill Plate Lamp 3-Circuit Short to Ground</t>
  </si>
  <si>
    <t>VF078_V1 ID 1.19</t>
  </si>
  <si>
    <t>Rear left puddle lamp inoperative</t>
  </si>
  <si>
    <t>ILT_PuddleLight_RR_LT_Feed</t>
  </si>
  <si>
    <t>HS6D</t>
  </si>
  <si>
    <t>E20</t>
  </si>
  <si>
    <t>M31</t>
  </si>
  <si>
    <t>EC1: Ignition Status - IGN_RUN
EC2:  Local Voltage – 9V to 16V
EC6: I/O Device Configuration Status – Car_Configuration_27.Puddle_Light = Present (0x01)</t>
  </si>
  <si>
    <t>B280E-15</t>
  </si>
  <si>
    <t>Sill Plate Lamp 3-Circuit Short to Battery or Open</t>
  </si>
  <si>
    <t>EC1: Ignition Status - IGN_RUN
EC2:  Local Voltage – 9V to 16V
EC6: I/O Device Configuration Status – Car_Configuration_27.Puddle_Light = Present (0x01)
EC7: Enable Condition Timer - 5 sec</t>
  </si>
  <si>
    <t>Fault Detection Condition (Output OFF):
1) BCM should detect Short to Battery
2) BCM should detected Open Load</t>
  </si>
  <si>
    <t>Healing Condition: 
BCM No Longer Detect Open Load or Short to Battery when the Output is OFF</t>
  </si>
  <si>
    <t xml:space="preserve">26LB
</t>
  </si>
  <si>
    <t>B280F-11</t>
  </si>
  <si>
    <t>Sill Plate Lamp 4-Circuit Short to Ground</t>
  </si>
  <si>
    <t>Rear right puddle lamp inoperative</t>
  </si>
  <si>
    <t>ILT_PuddleLight_RR_RT_Feed</t>
  </si>
  <si>
    <t>HS35</t>
  </si>
  <si>
    <t>E13</t>
  </si>
  <si>
    <t>M32</t>
  </si>
  <si>
    <t>B280F-15</t>
  </si>
  <si>
    <t>Sill Plate Lamp 4-Circuit Short to Battery or Open</t>
  </si>
  <si>
    <r>
      <rPr>
        <sz val="8"/>
        <color rgb="FF000000"/>
        <rFont val="Arial"/>
        <family val="2"/>
      </rPr>
      <t xml:space="preserve">Fault Detection Condition (Output </t>
    </r>
    <r>
      <rPr>
        <b/>
        <sz val="8"/>
        <color rgb="FF000000"/>
        <rFont val="Arial"/>
        <family val="2"/>
      </rPr>
      <t>ON</t>
    </r>
    <r>
      <rPr>
        <sz val="8"/>
        <color rgb="FF000000"/>
        <rFont val="Arial"/>
        <family val="2"/>
      </rPr>
      <t>):
1) BCM should detect Short to Battery
2) BCM should detected Open Load</t>
    </r>
  </si>
  <si>
    <t>Healing Condition: 
BCM no longer detects Open Load or STB when the output is ON</t>
  </si>
  <si>
    <t xml:space="preserve">
26LB
</t>
  </si>
  <si>
    <t>B2810-11</t>
  </si>
  <si>
    <t>Ambient Cabin Light Control-Circuit Short to Ground</t>
  </si>
  <si>
    <t>VF681</t>
  </si>
  <si>
    <t>VF681_V1 ID 3.0</t>
  </si>
  <si>
    <t>Ambient light inoperative</t>
  </si>
  <si>
    <t>1. Wiring Shorted
2. Harness pinout shorted
3. Defective Ambient Light
4. Internal Short</t>
  </si>
  <si>
    <t xml:space="preserve">M5 / Ambient Lighting </t>
  </si>
  <si>
    <t>G1-HS14</t>
  </si>
  <si>
    <t>G50/E04</t>
  </si>
  <si>
    <t>M5</t>
  </si>
  <si>
    <t>EC2:  Local Voltage – 9V to 16V
EC6: I/O Device Configuration Status – Car_Configuration_24.Ambient_Lighting_Function = Present (0x01)</t>
  </si>
  <si>
    <t>Fault Detection Condition:
 a) BCM not in Sleep, Output OFF to ON Transition
b) In-Rush Time Expired
c) After 4 Retry Counter; Output = OFF (Latched)</t>
  </si>
  <si>
    <t>Healing Condition: Fault Condition is Removed 
a) After KeyOff -&gt; KeyOn Transition, When Output On State, BCM Detect No OverCurrent</t>
  </si>
  <si>
    <t>B2811-11</t>
  </si>
  <si>
    <t>Ambient Cabin Light Unit-Circuit Short to Ground</t>
  </si>
  <si>
    <t>VF041_V1</t>
  </si>
  <si>
    <t>VF041_V1 No ID Reference</t>
  </si>
  <si>
    <t>Speaker Badge Lighting inoperative</t>
  </si>
  <si>
    <t>Speaker_Badge_Lighting</t>
  </si>
  <si>
    <t>HS20</t>
  </si>
  <si>
    <t>F14</t>
  </si>
  <si>
    <t>M10</t>
  </si>
  <si>
    <t>EC1: Ignition Status - IGN_RUN
EC2:  Local Voltage – 9V to 16V
EC6: I/O Device Configuration Status – Illuminated_Brand_Badge == "Present"</t>
  </si>
  <si>
    <t>HW output Speaker_Badge_Lighting:
BCM should detect Overcurrent when Output ON State
Note:
* Retry counter: 3;
* DTC is matured after 3 retries."</t>
  </si>
  <si>
    <t>Healing Condition: 
Fault Condition is Removed 
a) After KeyOff -&gt; KeyOn Transition, When Output Active, BCM Detect No Short Load Condition</t>
  </si>
  <si>
    <t>B2880-2A</t>
  </si>
  <si>
    <t>Fog Lamp Control-Stuck</t>
  </si>
  <si>
    <t xml:space="preserve">VF247
VF033
</t>
  </si>
  <si>
    <t>EC1: Ignition Status - IGN_RUN or START
EC3: System Voltage - 10V to 16V
EC4: Network Configuration Status - Always True
EC5: Bus Physical Status - No Bus physical/ Bus Off DTC LIN2 Active
EC6: I/O Device Configuration Status –HLS_Command_Type == Type 1 OR HLS_Command_Type == Absent</t>
  </si>
  <si>
    <t xml:space="preserve">
Fault 1:
-IF the BCM recognizes the signal in HLSM_A1.Button_06_State = Pressed for longer than 20 seconds  and  Proxi conditions
(Front_Fog_Light=Present and Rear_Fog_Light_Configuration==No Lights)
Fault2:
-IF the BCM recognizes the signal in HLSM_A1.Button_06_State = Pressed for longer than 20 seconds and Proxi conditions
(Front_Fog_Light=Absent and Rear_Fog_Light_Configuration==Two Lights)
</t>
  </si>
  <si>
    <t>-HLSM_A1.Button_06_State != Pressed</t>
  </si>
  <si>
    <r>
      <rPr>
        <b/>
        <sz val="8"/>
        <color rgb="FF4F81BD"/>
        <rFont val="Arial"/>
      </rPr>
      <t xml:space="preserve">VF247_V1 ID 28.0/VF033_V1 ID 7.0
{
</t>
    </r>
    <r>
      <rPr>
        <sz val="8"/>
        <color rgb="FF000000"/>
        <rFont val="Arial"/>
      </rPr>
      <t xml:space="preserve"> the BCM shall set:
Fault1 </t>
    </r>
    <r>
      <rPr>
        <b/>
        <sz val="8"/>
        <color rgb="FF000000"/>
        <rFont val="Arial"/>
      </rPr>
      <t xml:space="preserve">KM only
</t>
    </r>
    <r>
      <rPr>
        <sz val="8"/>
        <color rgb="FF000000"/>
        <rFont val="Arial"/>
      </rPr>
      <t xml:space="preserve">
-FogLightSwitch.Info = Not_Pressed ,  BODY_CNTRL7.FrontFogRequest = Set and  BCM_FD_26.FrontFogPressed = SET
-Until the stuck button condition is removed, HLSM_A1.Button_06_State == Not_Pressed
Fault2 </t>
    </r>
    <r>
      <rPr>
        <b/>
        <sz val="8"/>
        <color rgb="FF000000"/>
        <rFont val="Arial"/>
      </rPr>
      <t xml:space="preserve">LB only
</t>
    </r>
    <r>
      <rPr>
        <sz val="8"/>
        <color rgb="FF000000"/>
        <rFont val="Arial"/>
      </rPr>
      <t xml:space="preserve">
- FogLightSwitch.Info = Not_Pressed and  BCM_FD_26.RearFogPressed = Set
-Until the stuck button condition is removed, HLSM_A1.Button_06_State == Not_Pressed
</t>
    </r>
  </si>
  <si>
    <t xml:space="preserve">
25KM
26KM
25LB
26LB
26EJ
</t>
  </si>
  <si>
    <t>Fog Lamp Control-Deactivated</t>
  </si>
  <si>
    <t xml:space="preserve">
-IF the BCM recognizes the signal in HLSM_A1.Button_06_State = Pressed for longer than 20 seconds and Proxi conditions
(Front_Fog_Light=Present and Rear_Fog_Light_Configuration==Two Lights)</t>
  </si>
  <si>
    <r>
      <rPr>
        <b/>
        <sz val="8"/>
        <color rgb="FF4F81BD"/>
        <rFont val="Arial"/>
        <family val="2"/>
      </rPr>
      <t xml:space="preserve">VF247_V1 ID 28.0/VF033_V1 ID 7.0
{
</t>
    </r>
    <r>
      <rPr>
        <sz val="8"/>
        <color rgb="FF000000"/>
        <rFont val="Arial"/>
        <family val="2"/>
      </rPr>
      <t xml:space="preserve"> </t>
    </r>
    <r>
      <rPr>
        <b/>
        <sz val="8"/>
        <color rgb="FF000000"/>
        <rFont val="Arial"/>
        <family val="2"/>
      </rPr>
      <t xml:space="preserve">KM and EJ 
</t>
    </r>
    <r>
      <rPr>
        <sz val="8"/>
        <color rgb="FF000000"/>
        <rFont val="Arial"/>
        <family val="2"/>
      </rPr>
      <t xml:space="preserve">
- FogLightSwitch.Info = Not_Pressed, BODY_CNTRL7.FrontFogRequest = Set and  BCM_FD_26.FrontFogPressed = SET and BCM_FD_26.RearFogPressed = Set
-Until the stuck button condition is removed, HLSM_A1.Button_06_State == Not_Pressed
</t>
    </r>
    <r>
      <rPr>
        <b/>
        <sz val="8"/>
        <color rgb="FF1F497D"/>
        <rFont val="Arial"/>
        <family val="2"/>
      </rPr>
      <t>}</t>
    </r>
  </si>
  <si>
    <t>C0042-12</t>
  </si>
  <si>
    <t>Brake Pedal Position Sensor-Circuit Short to Battery</t>
  </si>
  <si>
    <t>Brake System</t>
  </si>
  <si>
    <t>VF056_V6</t>
  </si>
  <si>
    <t>VF056_V6 ID 6.0</t>
  </si>
  <si>
    <t>Brake Pedal work operating incorrectly</t>
  </si>
  <si>
    <t xml:space="preserve">1. Wiring Shorted
2. Harness Shorted
3. Sensor Defective
4. Internal Short </t>
  </si>
  <si>
    <t>Repair open Circuit  else replace defective sensor  or BCM</t>
  </si>
  <si>
    <t>RedundancyToTailLight</t>
  </si>
  <si>
    <t>BRAKE_ACTIVE_1</t>
  </si>
  <si>
    <t>F47</t>
  </si>
  <si>
    <t>B15</t>
  </si>
  <si>
    <t>EC1: Ignition Status - IGN_RUN
EC2: Local Voltage - 9V to 16V
EC4: Network Configuration Status – 
– CAN node 6 (BSM) = Present
EC7: Enable Condition Timer - 5 seconds</t>
  </si>
  <si>
    <t>IF RedundancyToTailLight == TRUE and BRAKE_FD_2.Brk_Stat != BRAKING</t>
  </si>
  <si>
    <t>*If RedundancyToTailLight != TRUE OR Brake_FD_2.Brk_Stat = Braking*</t>
  </si>
  <si>
    <t>C0043-12</t>
  </si>
  <si>
    <t>Brake Pedal Position Sensor 2-Circuit Short to Battery</t>
  </si>
  <si>
    <t>VF552_V1</t>
  </si>
  <si>
    <t>VF552_V1  ID 5.0</t>
  </si>
  <si>
    <t>Redundancy Brake Pedal work operating incorrectly</t>
  </si>
  <si>
    <t>RedundancyToTailLight_B2</t>
  </si>
  <si>
    <t>BRAKE_ACTIVE_2</t>
  </si>
  <si>
    <t>B25</t>
  </si>
  <si>
    <t>B16</t>
  </si>
  <si>
    <t>EC1: Ignition Status - IGN_RUN
EC2: Local Voltage - 9V to 16V
EC4: Network Configuration Status – CAN node 62 (BSM2) = Present
EC7: Enable Condition Timer - 5 seconds</t>
  </si>
  <si>
    <t>If Hardwire signal RedundancyToTailLight_B2 == TRUE and BRAKE2_FD_1.Brk_Stat_B2  != "BRAKING"</t>
  </si>
  <si>
    <t>If Hardwire signal RedundancyToTailLight_B2 == TRUE and BRAKE2_FD_1.Brk_Stat_B2  == "BRAKING"</t>
  </si>
  <si>
    <t>C0043-14</t>
  </si>
  <si>
    <t>Brake Pedal Position Sensor 2-Circuit Short to Ground or Open</t>
  </si>
  <si>
    <t xml:space="preserve">1. Wiring Open
2. Harness spread terminal/ pulled Out
3. Sensor Defective
4. Internal Open </t>
  </si>
  <si>
    <t>Repair Short Circuit  else replace defective sensor  or BCM</t>
  </si>
  <si>
    <t>IF RedundancyToTailLight_B2 == FALSE and BRAKE2_FD_1.Brk_Stat_B2  == Braking</t>
  </si>
  <si>
    <t>IF RedundancyToTailLight_B2 == FALSE and BRAKE2_FD_1.Brk_Stat_B2  != Braking</t>
  </si>
  <si>
    <t>C1006-15</t>
  </si>
  <si>
    <t>Brake Fluid Level Input-Circuit Short to Battery or Open</t>
  </si>
  <si>
    <t>VF145</t>
  </si>
  <si>
    <t>*VF145_V1 ID1.0</t>
  </si>
  <si>
    <t>Repair Open Circuit else replace defective sensor</t>
  </si>
  <si>
    <t>BrakeFluidLevel.Info</t>
  </si>
  <si>
    <t>IAS_43</t>
  </si>
  <si>
    <t>B34</t>
  </si>
  <si>
    <t>B20</t>
  </si>
  <si>
    <r>
      <t xml:space="preserve">* </t>
    </r>
    <r>
      <rPr>
        <b/>
        <sz val="8"/>
        <color theme="4"/>
        <rFont val="Arial"/>
        <family val="2"/>
      </rPr>
      <t>VF145_V1 ID1.0</t>
    </r>
    <r>
      <rPr>
        <sz val="8"/>
        <color theme="4"/>
        <rFont val="Arial"/>
        <family val="2"/>
      </rPr>
      <t xml:space="preserve"> -</t>
    </r>
    <r>
      <rPr>
        <sz val="8"/>
        <color theme="1"/>
        <rFont val="Arial"/>
        <family val="2"/>
      </rPr>
      <t xml:space="preserve"> BCM shall send BCM_FD_9.BrakeFluidLevelSts = "Low Level"</t>
    </r>
  </si>
  <si>
    <t>C10CB-12</t>
  </si>
  <si>
    <t>Vehicle Speed Output-Circuit Short to Battery</t>
  </si>
  <si>
    <t>VF113_V2</t>
  </si>
  <si>
    <t>VF113_V2 IDX.X</t>
  </si>
  <si>
    <t xml:space="preserve">1. Wiring short to battery
2. Harness spread terminal/ pulled Out, misswire
3. Defective light
4. Internal STB </t>
  </si>
  <si>
    <t>Repair Short to batterey, else replace BCM</t>
  </si>
  <si>
    <t>VSO_regeneration.Info</t>
  </si>
  <si>
    <t>LS68</t>
  </si>
  <si>
    <t>G39</t>
  </si>
  <si>
    <t>B222</t>
  </si>
  <si>
    <t xml:space="preserve">EC1: Ignition Status - IGN_RUN
EC2:  Local Voltage – 9V to 16V
EC6: I/O Device Configuration Status – Always true
</t>
  </si>
  <si>
    <t>BCM should detect Short to battery when the output is ON</t>
  </si>
  <si>
    <t>BCM no longer detects Short to battery when Output is ON State</t>
  </si>
  <si>
    <t>C10CB-14</t>
  </si>
  <si>
    <t xml:space="preserve">Vehicle Speed Output-Circuit Short to Ground or Open </t>
  </si>
  <si>
    <t xml:space="preserve">1. Wiring Open or short
2. Harness spread terminal/ pulled Out, misswie
3. Defective light
4. Internal Open </t>
  </si>
  <si>
    <t>Repair Short to Ground or Open Circuit else replace BCM</t>
  </si>
  <si>
    <t>EC1: Ignition Status - IGN_RUN
EC2:  Local Voltage – 9V to 16V
EC6: I/O Device Configuration Status – Always true
EC7: Enable Condition Timer - 5 sec</t>
  </si>
  <si>
    <t>BCM should detect Short to Ground or Open when output is OFF </t>
  </si>
  <si>
    <t>BCM no longer detects Short to Ground or Open in Output OFF State</t>
  </si>
  <si>
    <t xml:space="preserve">
26KM
26EJ</t>
  </si>
  <si>
    <t>P0070-11</t>
  </si>
  <si>
    <t>Ambient Air Temperature Sensor Circuit-Circuit Short to Ground</t>
  </si>
  <si>
    <t>VF412</t>
  </si>
  <si>
    <t>*VF412 ID2.0</t>
  </si>
  <si>
    <t xml:space="preserve">Faulty temperature sense </t>
  </si>
  <si>
    <t>Repair Short Circuit else replace defective Sensor</t>
  </si>
  <si>
    <t>ExternalTemperatureSensor_BCM</t>
  </si>
  <si>
    <t>TEMP_SENSE</t>
  </si>
  <si>
    <t>F04</t>
  </si>
  <si>
    <t>G31</t>
  </si>
  <si>
    <t>EC1: Ignition Status - IGN_RUN
EC2:  Local Voltage – 9V to 16V
EC6: I/O Device Configuration Status – Instrument_Panel_Cluster_Configuration_5.External_Temperature_Sensor = Present (0x01)</t>
  </si>
  <si>
    <r>
      <rPr>
        <b/>
        <sz val="8"/>
        <color theme="4"/>
        <rFont val="Arial"/>
        <family val="2"/>
      </rPr>
      <t>VF412 ID 2.0</t>
    </r>
    <r>
      <rPr>
        <b/>
        <sz val="8"/>
        <color rgb="FF1F497D"/>
        <rFont val="Arial"/>
        <family val="2"/>
      </rPr>
      <t xml:space="preserve"> 
{
</t>
    </r>
    <r>
      <rPr>
        <sz val="8"/>
        <color rgb="FF000000"/>
        <rFont val="Arial"/>
        <family val="2"/>
      </rPr>
      <t xml:space="preserve">The BCM shall set short circuit fault, and set the following signals to 0xFE for the 8Bit signals and 0x1FE for the 9Bit signals:
        STATUS_CCAN5.AirTemp_Outsd
        BCM_FD_12.AirTemp_Outsd
        AmbientTempUnfilteredInt.Info
        BODY2.ExternalTemperature        
        BCM_FD_9.ExternalTemperature
        BODY_CNTRL7.ExternalTemperature 
        AmbientTempAvgInt.Info
        STATUS_BH_BCM2.ExternalTemperatureC
        BCM_FD_10.ExternalTemperatureC
        ExternalTemperatureC.Info        
        STATUS_BH_BCM2.ExternalTemperatureF
        BCM_FD_10.ExternalTemperatureF
        ExternalTemperatureF.Info
</t>
    </r>
    <r>
      <rPr>
        <b/>
        <sz val="8"/>
        <color rgb="FF1F497D"/>
        <rFont val="Arial"/>
        <family val="2"/>
      </rPr>
      <t xml:space="preserve">}
</t>
    </r>
  </si>
  <si>
    <t>P0070-15</t>
  </si>
  <si>
    <t>Ambient Air Temperature Sensor Circuit-Circuit Short to Battery or Open</t>
  </si>
  <si>
    <t>*VF412 ID 1.0</t>
  </si>
  <si>
    <t>Repair Open Circuit else replace Sensor</t>
  </si>
  <si>
    <t>EC1: Ignition Status - IGN_RUN
EC2:  Local Voltage – 9V to 16V
EC6: I/O Device Configuration Status – Instrument_Panel_Cluster_Configuration_5.External_Temperature_Sensor = Present (0x01)              
EC7: Enable Condition Timer - 5 sec</t>
  </si>
  <si>
    <r>
      <rPr>
        <b/>
        <sz val="8"/>
        <color theme="4"/>
        <rFont val="Arial"/>
        <family val="2"/>
      </rPr>
      <t>*VF412 ID 1.0</t>
    </r>
    <r>
      <rPr>
        <b/>
        <sz val="8"/>
        <color rgb="FF1F497D"/>
        <rFont val="Arial"/>
        <family val="2"/>
      </rPr>
      <t xml:space="preserve">
{
</t>
    </r>
    <r>
      <rPr>
        <sz val="8"/>
        <color rgb="FF000000"/>
        <rFont val="Arial"/>
        <family val="2"/>
      </rPr>
      <t xml:space="preserve">The BCM shall set open circuit fault, and set the following signals to 0xFE for the 8Bit signals and 0x1FE for the 9Bit signals:
        STATUS_CCAN5.AirTemp_Outsd
        BCM_FD_12.AirTemp_Outsd
        AmbientTempUnfilteredInt.Info
        BODY2.ExternalTemperature        
        BCM_FD_9.ExternalTemperature
        BODY_CNTRL7.ExternalTemperature 
        AmbientTempAvgInt.Info
        STATUS_BH_BCM2.ExternalTemperatureC
        BCM_FD_10.ExternalTemperatureC
        ExternalTemperatureC.Info        
        STATUS_BH_BCM2.ExternalTemperatureF
        BCM_FD_10.ExternalTemperatureF
        ExternalTemperatureF.Info
The BCM shall store the fault as "Open Circuit or Short Circuit
</t>
    </r>
    <r>
      <rPr>
        <b/>
        <sz val="8"/>
        <color rgb="FF1F497D"/>
        <rFont val="Arial"/>
        <family val="2"/>
      </rPr>
      <t xml:space="preserve">}
</t>
    </r>
  </si>
  <si>
    <t>P0460-11</t>
  </si>
  <si>
    <t>Fuel Level Sensor 1-Circuit Short to Ground</t>
  </si>
  <si>
    <t>VF002</t>
  </si>
  <si>
    <t>PrimaryFuelSensor</t>
  </si>
  <si>
    <t>FUEL_LEVEL_1</t>
  </si>
  <si>
    <t>E10</t>
  </si>
  <si>
    <t>N4</t>
  </si>
  <si>
    <t>EC1: Ignition Status - IGN_RUN
EC2:  Local Voltage – 9V to 16V
EC6: I/O Device Configuration Status – Hybrid_Type != Battery Electric Vehicles &amp; [Vehicle_Line_Configuration= 126 (KM74 / 7E Hex) or 127 (LB / 7F Hex)]</t>
  </si>
  <si>
    <t xml:space="preserve">
BCM detects the logical state of the input to be Short to Ground.</t>
  </si>
  <si>
    <r>
      <rPr>
        <b/>
        <sz val="8"/>
        <color theme="4"/>
        <rFont val="Arial"/>
        <family val="2"/>
      </rPr>
      <t xml:space="preserve">VF002 IDXX Primary Fuel Sensor Shorted-Circuit Detection
{
</t>
    </r>
    <r>
      <rPr>
        <sz val="8"/>
        <color rgb="FF000000"/>
        <rFont val="Arial"/>
        <family val="2"/>
      </rPr>
      <t xml:space="preserve">If the BCM accumulates 10 seconds continuous of primary fuel sensor reads less than or equal to the low fuel voltage limit, fuel volt Analog-to-Digital counts &lt;= 5, BCM shall set ChkFuelLevelSts = "Chk_Code_2" and consider the primary tank's volume to be equal to 0.
During the acquiring time for the maturing the fault, the BCM shall continue to send FUEL_VOLT signal as actual Analog-to-Digital raw voltage with max clip to 254 [FEh].
If the fuel level sensor voltage returns to valid range of 6 to 249 Analog-to-Digital counts in continuous 10 seconds, the fuel system shall return to non-faulted operation and set ChkFuelLevelSts = "Fault_Not_Present".
In the dual tank two sensor system, the secondary sensor shall continue to be used and the average fuel level output is based on the functioning sensor.
</t>
    </r>
    <r>
      <rPr>
        <b/>
        <sz val="8"/>
        <color theme="4"/>
        <rFont val="Arial"/>
        <family val="2"/>
      </rPr>
      <t>}</t>
    </r>
    <r>
      <rPr>
        <b/>
        <sz val="8"/>
        <color rgb="FF1F497D"/>
        <rFont val="Arial"/>
        <family val="2"/>
      </rPr>
      <t xml:space="preserve">
</t>
    </r>
  </si>
  <si>
    <t>KM74
LB
26KM74
26LB</t>
  </si>
  <si>
    <t>P0460-15</t>
  </si>
  <si>
    <t>Fuel Level Sensor 1-Circuit Short to Battery or Open</t>
  </si>
  <si>
    <t xml:space="preserve">
PrimaryFuelSensor</t>
  </si>
  <si>
    <t xml:space="preserve">
BCM detects the logical state of the input to be Short to Battery or Open.</t>
  </si>
  <si>
    <t>BCM detects the logical state of the input no longer as Short to Battery or Open.</t>
  </si>
  <si>
    <r>
      <rPr>
        <b/>
        <sz val="8"/>
        <color theme="4"/>
        <rFont val="Arial"/>
        <family val="2"/>
      </rPr>
      <t xml:space="preserve">VF002 IDXX Primary Fuel Sensor Open-Circuit Detection
{
</t>
    </r>
    <r>
      <rPr>
        <sz val="8"/>
        <color rgb="FF000000"/>
        <rFont val="Arial"/>
        <family val="2"/>
      </rPr>
      <t xml:space="preserve">If the BCM accumulates 10 seconds continuous of primary fuel sensor readings greater or equal to the fuel voltage limit, fuel volt Analog-to-Digital counts &gt;= 250, the BCM shall set ChkFuelLevelSts = "Chk_Code_1" and consider the primary tank's volume to be equal to 0.
During the acquiring time for the maturing the fault, the BCM shall continue to send FUEL_VOLT signal as actual Analog-to-Digital raw voltage with max clip to 254 [FEh].
If the fuel level sensor voltage returns to valid range of 6 to 249 Analog-to-Digital counts in continuous 10 seconds, the fuel system shall return to non-faulted operation and set ChkFuelLevelSts = "Fault_Not_Present".
In the dual tank two sensor system, the secondary sensor shall continue to be used and the average fuel level output is based on the functioning sensor
</t>
    </r>
    <r>
      <rPr>
        <b/>
        <sz val="8"/>
        <color theme="4"/>
        <rFont val="Arial"/>
        <family val="2"/>
      </rPr>
      <t>}</t>
    </r>
  </si>
  <si>
    <t>P084F-11</t>
  </si>
  <si>
    <t>Park/Neutral Switch Output-Circuit Short to Ground</t>
  </si>
  <si>
    <t>VF537_V1 No ID Reference</t>
  </si>
  <si>
    <t>GatedParkPLG.Info</t>
  </si>
  <si>
    <t>SPIDER-HSD</t>
  </si>
  <si>
    <t>HS7C</t>
  </si>
  <si>
    <t>F34</t>
  </si>
  <si>
    <t>T823</t>
  </si>
  <si>
    <t>EC2:  Local Voltage – 9V to 16V
EC6: I/O Device Configuration Status – Trunk_Door_Kind = Powered Lift Gate</t>
  </si>
  <si>
    <t>BCM detected overcurrent when the output is ON
Note:
* Retry counter: 3;
* DTC is matured after 3 retries.</t>
  </si>
  <si>
    <t xml:space="preserve">26KM
26LB
</t>
  </si>
  <si>
    <t>P084F-15</t>
  </si>
  <si>
    <t>Park/Neutral Switch Output-Circuit Short to Battery or Open</t>
  </si>
  <si>
    <t>EC2:  Local Voltage – 9V to 16V
EC6: I/O Device Configuration Status – Trunk_Door_Kind = Powered Lift Gate
EC7: Enable Condition Timer - 5 sec</t>
  </si>
  <si>
    <t>P1276-12</t>
  </si>
  <si>
    <t>Starter Control 2-Circuit Short to Battery</t>
  </si>
  <si>
    <t>Powertrain</t>
  </si>
  <si>
    <t>VF401</t>
  </si>
  <si>
    <t>*VF401 ID6.0</t>
  </si>
  <si>
    <t>StartRelay inoperative</t>
  </si>
  <si>
    <t>1. Wiring Shorted
2. Harness Shorted
3. Defective Relay
4. Internal Short</t>
  </si>
  <si>
    <t>BCMStarter.Cmd</t>
  </si>
  <si>
    <t>LSD</t>
  </si>
  <si>
    <t>LS60/HS62</t>
  </si>
  <si>
    <t>B11</t>
  </si>
  <si>
    <t>K88</t>
  </si>
  <si>
    <t>EC2:  Local Voltage – 9V to 16V
EC6: I/O Device Configuration Status – Hybrid_Type != Battery Electric Vehicle
EC7: Enable Condition Timer - 5 seconds</t>
  </si>
  <si>
    <t>Fault Detection Condition:
BCM should detect Short to Battery  when the HSD/LSD is commanded ON</t>
  </si>
  <si>
    <t>Healing Condition:
BCM no longer detects Short to Battery  when the LSD//HSD is commanded ON</t>
  </si>
  <si>
    <r>
      <rPr>
        <b/>
        <sz val="8"/>
        <color theme="4"/>
        <rFont val="Arial"/>
        <family val="2"/>
      </rPr>
      <t>* VF401 ID6.0</t>
    </r>
    <r>
      <rPr>
        <sz val="8"/>
        <color theme="1"/>
        <rFont val="Arial"/>
        <family val="2"/>
      </rPr>
      <t xml:space="preserve"> - The BCM shall set the StartRelayBCMFault = Present.</t>
    </r>
  </si>
  <si>
    <t>P141D-00</t>
  </si>
  <si>
    <t>Starter Relay Feedback Open Circuit Performance-</t>
  </si>
  <si>
    <t>*VF401 ID5.1
*VF401 ID7.1
This VF was removed for EJ</t>
  </si>
  <si>
    <t>Replace the ECM/BCM Starter Relay</t>
  </si>
  <si>
    <t>EC1: Ignition Status - IGN_RUN
EC3: System Voltage - 10V to 16V
EC6: I/O Device Configuration Status 
Always True</t>
  </si>
  <si>
    <t>StartRelayECMFeedbackFault == True
OR
StartRelayBCMFeedbackFault == True</t>
  </si>
  <si>
    <t>StartRelayECMFeedbackFault == False
AND
StartRelayBCMFeedbackFault == False</t>
  </si>
  <si>
    <r>
      <rPr>
        <b/>
        <sz val="8"/>
        <color theme="4"/>
        <rFont val="Arial"/>
        <family val="2"/>
      </rPr>
      <t xml:space="preserve">*VF401_V1 ID 5.1: </t>
    </r>
    <r>
      <rPr>
        <b/>
        <sz val="8"/>
        <color rgb="FF1F497D"/>
        <rFont val="Arial"/>
        <family val="2"/>
      </rPr>
      <t xml:space="preserve">
{
</t>
    </r>
    <r>
      <rPr>
        <sz val="8"/>
        <color rgb="FF000000"/>
        <rFont val="Arial"/>
        <family val="2"/>
      </rPr>
      <t xml:space="preserve">The BCM shall set BCMStarter.Cmd = Not_Active.
</t>
    </r>
    <r>
      <rPr>
        <b/>
        <sz val="8"/>
        <color rgb="FF1F497D"/>
        <rFont val="Arial"/>
        <family val="2"/>
      </rPr>
      <t xml:space="preserve">}
</t>
    </r>
    <r>
      <rPr>
        <b/>
        <sz val="8"/>
        <color theme="4"/>
        <rFont val="Arial"/>
        <family val="2"/>
      </rPr>
      <t>*VF401_V1 ID 7.1: None.</t>
    </r>
  </si>
  <si>
    <t>P2065-11</t>
  </si>
  <si>
    <t xml:space="preserve">Fuel Level Sensor 2-Circuit Short to Ground </t>
  </si>
  <si>
    <t xml:space="preserve">
SecondaryFuelSensor</t>
  </si>
  <si>
    <t>FUEL_LEVEL_2</t>
  </si>
  <si>
    <t>E14</t>
  </si>
  <si>
    <t>N5</t>
  </si>
  <si>
    <r>
      <rPr>
        <b/>
        <sz val="8"/>
        <color theme="4"/>
        <rFont val="Arial"/>
        <family val="2"/>
      </rPr>
      <t xml:space="preserve">VF002 IDXX Secondary Fuel Sensor Shorted-Circuit Detection
{
</t>
    </r>
    <r>
      <rPr>
        <sz val="8"/>
        <color rgb="FF000000"/>
        <rFont val="Arial"/>
        <family val="2"/>
      </rPr>
      <t xml:space="preserve">From VF002_V1:If the BCM accumulates 10 seconds continuous of secondary fuel sensor reads less than or equal to the low fuel voltage limit, fuel volt A/D counts &lt;= 5, BCM shall set ChkFuelLevelSts2 = "Chk_Code_2" and consider the secondary tank's volume to be equal to 0.
During the acquiring time for the maturing the fault, the BCM shall continue to send FUEL_VOLT2 signal as actual Analog-to-Digital raw voltage with max clip to 254 [FEh].
If the fuel level sensor voltage returns to valid range of 6 to 249 Analog-to-Digital counts in a continuous 10 seconds, the fuel system shall return to non-faulted operation and set ChkFuelLevelSts2 = "Fault_Not_Present".
In the dual tank two sensor system, the primary sensor shall continue to be used and the average fuel level output is based on the functioning sensor.
</t>
    </r>
    <r>
      <rPr>
        <b/>
        <sz val="8"/>
        <color rgb="FF1F497D"/>
        <rFont val="Arial"/>
        <family val="2"/>
      </rPr>
      <t>}</t>
    </r>
  </si>
  <si>
    <t>P2065-15</t>
  </si>
  <si>
    <t xml:space="preserve">Fuel Level Sensor 2-Circuit Short to Battery or Open  </t>
  </si>
  <si>
    <r>
      <rPr>
        <b/>
        <sz val="8"/>
        <color theme="4"/>
        <rFont val="Arial"/>
        <family val="2"/>
      </rPr>
      <t xml:space="preserve">VF002 IDXX Secondary Fuel Sensor Open-Circuit Detection
{
</t>
    </r>
    <r>
      <rPr>
        <sz val="8"/>
        <color rgb="FF000000"/>
        <rFont val="Arial"/>
        <family val="2"/>
      </rPr>
      <t xml:space="preserve">If the BCM accumulates 10 seconds continuous of secondary fuel sensor reads greater or equal to the high fuel voltage limit, fuel volt A/D counts &gt;= 250, BCM shall set ChkFuelLevelSts2 = "Chk_Code_1" and consider the secondary tank's volume to be equal to 0.
During the acquiring time for the maturing the fault, the BCM shall continue to send  FUEL_VOLT2 signal as actual Analog-to-Digital raw voltage with max clip to 254 [FEh].
If the fuel level sensor voltage returns to valid range of 6 to 249 Analog-to-Digital counts in continuous 10 seconds, the fuel system shall return to non-faulted operation and set ChkFuelLevelSts2 = "Fault_Not_Present".
In the dual tank two sensor system, the primary sensor shall continue to be used and the average fuel level output is based on the functioning sensor.
</t>
    </r>
    <r>
      <rPr>
        <b/>
        <sz val="8"/>
        <color theme="4"/>
        <rFont val="Arial"/>
        <family val="2"/>
      </rPr>
      <t>}</t>
    </r>
  </si>
  <si>
    <t>U0001-00</t>
  </si>
  <si>
    <t>CAN C Bus-</t>
  </si>
  <si>
    <t>Network Electrical</t>
  </si>
  <si>
    <t>Node Mute.</t>
  </si>
  <si>
    <t>CAN Bus message transmission has been disrupted and the ECU is logically disabled from the communication network</t>
  </si>
  <si>
    <t xml:space="preserve">Internal CAN Bus failure. </t>
  </si>
  <si>
    <t>EC1: Ignition Status - IGN_RUN
EC3: System Voltage - 10V to 16V
EC7: Enable Condition Timer - 1 seconds</t>
  </si>
  <si>
    <t>C1-CAN controller status in error passive or warning (transmit error counter &gt;= 96) &amp;&amp; no acknowledge from other ECUs for 1s.</t>
  </si>
  <si>
    <t xml:space="preserve">BCM can transmit messages correctly on C1-CAN </t>
  </si>
  <si>
    <t>U0002-00</t>
  </si>
  <si>
    <t>CAN C Bus Off Performance-</t>
  </si>
  <si>
    <t xml:space="preserve">CS.00099
</t>
  </si>
  <si>
    <t xml:space="preserve">
The CAN controller's Transmit Error Counter exceeds 255 or Receive Error Counter exceeds 255.</t>
  </si>
  <si>
    <t>CAN Bus message transmission has been disrupted and the ECU is logically disabled from the communication network
The CAN controller's Transmit Error Counter exceeds 255 or Receive Error Counter exceeds 255.</t>
  </si>
  <si>
    <t>C-CAN Controller Status in BUS OFF (transmit error counter &gt;= 255)</t>
  </si>
  <si>
    <t>U0011-00</t>
  </si>
  <si>
    <t>CAN Interior Bus Off Performance-</t>
  </si>
  <si>
    <t>The CAN controller's Transmit Error Counter exceeds 255 or Receive Error Counter exceeds 255.</t>
  </si>
  <si>
    <t>CAN Interior Network Communication down</t>
  </si>
  <si>
    <t>BH-CAN Controller Status (transmit error counter &gt;= 255)</t>
  </si>
  <si>
    <t>Healing Condition- BCM Can Transmit Messages Correctly on BH-CAN</t>
  </si>
  <si>
    <t>U0019-00</t>
  </si>
  <si>
    <t>CAN B Bus-</t>
  </si>
  <si>
    <t>EC1: Ignition Status - IGN_RUN
EC3: System Voltage - 10V to 16V
EC7: Enable Condition Timer - 5 seconds</t>
  </si>
  <si>
    <t>BH-CAN controller status in error passive or warning (transmit error counter &gt;= 96) &amp;&amp; no acknowledge from other ECUs for 1s.</t>
  </si>
  <si>
    <t xml:space="preserve">BCM can transmit messages correctly on BH-CAN </t>
  </si>
  <si>
    <t>U0100-00</t>
  </si>
  <si>
    <t>Lost Communication With ECM/PCM "A"-</t>
  </si>
  <si>
    <t>VF078
VF401
VF406
VF646
VF521
VF430
VF651</t>
  </si>
  <si>
    <t>*VF078 ID 1.9
* VF401 ID 11.0
* VF406_V1 ID2.0
* VF406_V3 ID2.0
* VF646_V1 IDx.x
* VF521_V2 ID1.0
* VF430_V1 IDx.x
*VF651_V5 ID1.0</t>
  </si>
  <si>
    <t>No Start</t>
  </si>
  <si>
    <t>EC1: Ignition Status - IGN_LK or IGN_RUN and BCM_FD_2.RemStActvSts = 00
EC3: System Voltage - 10V to 16V
EC4: Network Configuration Status - Can configuration.CAN Node ID 1 = Present(0x01) and Hybrid_Type != BEV 
EC5: Bus Physical Status - No Bus physical/ Bus Off DTC FD3 Active
EC7: Enable Condition Timer - 5 seconds</t>
  </si>
  <si>
    <r>
      <rPr>
        <sz val="8"/>
        <color rgb="FF000000"/>
        <rFont val="Arial"/>
        <family val="2"/>
      </rPr>
      <t>* FAULT 1: FD-CAN3.ENGINE_FD_2 Message Missing</t>
    </r>
    <r>
      <rPr>
        <b/>
        <sz val="8"/>
        <color rgb="FF000000"/>
        <rFont val="Arial"/>
        <family val="2"/>
      </rPr>
      <t> </t>
    </r>
    <r>
      <rPr>
        <sz val="8"/>
        <color rgb="FF000000"/>
        <rFont val="Arial"/>
        <family val="2"/>
      </rPr>
      <t xml:space="preserve">                            * FAULT 2: FD-CAN3.ENGINE_FD_8 Message Missing                                                                 * FAULT 3: FD-CAN3.ENGINE_FD_6 Message Missing                                                           *FAULT 4: FD-CAN3.ENGINE_FD_3 Message Missing"</t>
    </r>
  </si>
  <si>
    <t>FAULT1- (3500)
FAULT2- (5000)
FAULT3 - (5000)
FAULT4 - (5000)</t>
  </si>
  <si>
    <r>
      <rPr>
        <sz val="8"/>
        <color rgb="FF000000"/>
        <rFont val="Arial"/>
      </rPr>
      <t xml:space="preserve">FAULT1:
{ 
</t>
    </r>
    <r>
      <rPr>
        <b/>
        <sz val="8"/>
        <color rgb="FF4F81BD"/>
        <rFont val="Arial"/>
      </rPr>
      <t>VF078 ID1.9</t>
    </r>
    <r>
      <rPr>
        <sz val="8"/>
        <color rgb="FF4F81BD"/>
        <rFont val="Arial"/>
      </rPr>
      <t>:</t>
    </r>
    <r>
      <rPr>
        <sz val="8"/>
        <color rgb="FF000000"/>
        <rFont val="Arial"/>
      </rPr>
      <t xml:space="preserve"> BCM shall behave as when  PrplsnSysAtv == "ACTIVE" (like is ECM shall be   FDCAN3::ENGINE_FD_2::PowertrainPrplsnActv== "Active" )
</t>
    </r>
    <r>
      <rPr>
        <sz val="8"/>
        <color rgb="FF4F81BD"/>
        <rFont val="Arial"/>
      </rPr>
      <t>L</t>
    </r>
    <r>
      <rPr>
        <b/>
        <sz val="8"/>
        <color rgb="FF4F81BD"/>
        <rFont val="Arial"/>
      </rPr>
      <t>B26 VF078 ID 1.10</t>
    </r>
    <r>
      <rPr>
        <b/>
        <sz val="8"/>
        <color rgb="FF000000"/>
        <rFont val="Arial"/>
      </rPr>
      <t xml:space="preserve"> </t>
    </r>
    <r>
      <rPr>
        <sz val="8"/>
        <color rgb="FF000000"/>
        <rFont val="Arial"/>
      </rPr>
      <t>BCM shall behave as if EngineSts_W = Engine_ON
LB only</t>
    </r>
    <r>
      <rPr>
        <b/>
        <sz val="8"/>
        <color rgb="FF000000"/>
        <rFont val="Arial"/>
      </rPr>
      <t xml:space="preserve"> </t>
    </r>
    <r>
      <rPr>
        <b/>
        <sz val="8"/>
        <color rgb="FF1F497D"/>
        <rFont val="Arial"/>
      </rPr>
      <t>VF406_V1 ID 2.0</t>
    </r>
    <r>
      <rPr>
        <sz val="8"/>
        <color rgb="FF000000"/>
        <rFont val="Arial"/>
      </rPr>
      <t xml:space="preserve">: BCM shall set STATUS_CCAN3.EngineSts = SNA, and set STATUS_CCAN5.EngineSpeed from BCM = SNA
</t>
    </r>
    <r>
      <rPr>
        <b/>
        <sz val="8"/>
        <color rgb="FF4F81BD"/>
        <rFont val="Arial"/>
      </rPr>
      <t>(LB only) VF401_V1 ID 11</t>
    </r>
    <r>
      <rPr>
        <sz val="8"/>
        <color rgb="FF4F81BD"/>
        <rFont val="Arial"/>
      </rPr>
      <t>:</t>
    </r>
    <r>
      <rPr>
        <sz val="8"/>
        <color rgb="FF000000"/>
        <rFont val="Arial"/>
      </rPr>
      <t xml:space="preserve"> The BCM shall set BCMStarter.Cmd = Not_Active.
}
FAULT2 (KM74 only):
{
</t>
    </r>
    <r>
      <rPr>
        <b/>
        <sz val="8"/>
        <color rgb="FF4F81BD"/>
        <rFont val="Arial"/>
      </rPr>
      <t>VF521_V2_R1 ID1.0</t>
    </r>
    <r>
      <rPr>
        <b/>
        <sz val="8"/>
        <color rgb="FF1F497D"/>
        <rFont val="Arial"/>
      </rPr>
      <t>:</t>
    </r>
    <r>
      <rPr>
        <sz val="8"/>
        <color rgb="FF000000"/>
        <rFont val="Arial"/>
      </rPr>
      <t xml:space="preserve"> When OperationalModeSts = Ignition_Off the BCM shall set BCM_FD_2.RefuelRequest=0, the stay awake reasons "Refuel Event Pending" and "Refuel Event in Process" shall be considered as not active and go to deep sleep (Powerdown) when there is no other request to stay active. 
}
FAULT3(KM74 only):
{
</t>
    </r>
    <r>
      <rPr>
        <b/>
        <sz val="8"/>
        <color rgb="FF4F81BD"/>
        <rFont val="Arial"/>
      </rPr>
      <t>VF646_V1 IDXX(1.0)</t>
    </r>
    <r>
      <rPr>
        <b/>
        <sz val="8"/>
        <color rgb="FF1F497D"/>
        <rFont val="Arial"/>
      </rPr>
      <t xml:space="preserve"> </t>
    </r>
    <r>
      <rPr>
        <sz val="8"/>
        <color rgb="FF000000"/>
        <rFont val="Arial"/>
      </rPr>
      <t xml:space="preserve">: When FDCAN1::BCM::BCM_FD_10::CmdIgnSts= IGN_LK the BCM shall considered the stay awake reason “Fuel Tank Leak Test in Progress” as not active and go to deep sleep (Powerdown) when there is no other request to stay active.
}
FAULT4 
{
</t>
    </r>
    <r>
      <rPr>
        <b/>
        <sz val="8"/>
        <color rgb="FF4F81BD"/>
        <rFont val="Arial"/>
      </rPr>
      <t>VF430_V1/V2_R1 IDXX  BCM Requirements</t>
    </r>
    <r>
      <rPr>
        <sz val="8"/>
        <color rgb="FF4F81BD"/>
        <rFont val="Arial"/>
      </rPr>
      <t>:</t>
    </r>
    <r>
      <rPr>
        <sz val="8"/>
        <color rgb="FF000000"/>
        <rFont val="Arial"/>
      </rPr>
      <t xml:space="preserve"> The BCM shall use last known values of the DistOilLifeRst, HoursOilLifeRst, RevOilLifeRst.
}</t>
    </r>
  </si>
  <si>
    <t>25KM74
25LB
26KM74
26LB</t>
  </si>
  <si>
    <t>U0101-00</t>
  </si>
  <si>
    <t>Lost Communication with TCM-</t>
  </si>
  <si>
    <t>VF241_V1
VF150_V2</t>
  </si>
  <si>
    <t>VF241_V1 No ID in VF
used in GW
VF150_V2 ID NA</t>
  </si>
  <si>
    <t>EC1: Ignition Status - IGN_RUN
EC3: System Voltage - 10V to 16V
EC4: Network Configuration Status - CAN node 11 (MTA/TCM/DCTM)   = Present(0x01) 
EC5: Bus Physical Status - No Bus physical/ Bus Off DTC FD3 Active
EC6: I/O Device Configuration Status  - Vehicle_Line_Configuration = 127 LB (7F Hex)
EC7: Enable Condition Timer - 5 seconds</t>
  </si>
  <si>
    <t xml:space="preserve">FD-CAN3.TRANSM_FD_4
Message Missing
</t>
  </si>
  <si>
    <r>
      <rPr>
        <b/>
        <sz val="8"/>
        <color theme="4"/>
        <rFont val="Arial"/>
        <family val="2"/>
      </rPr>
      <t>VF150_V2 PRND ID XX (in Neutral Wipe-Inhibit)</t>
    </r>
    <r>
      <rPr>
        <b/>
        <sz val="8"/>
        <color rgb="FF1F497D"/>
        <rFont val="Arial"/>
        <family val="2"/>
      </rPr>
      <t xml:space="preserve">
</t>
    </r>
    <r>
      <rPr>
        <b/>
        <sz val="8"/>
        <color theme="4"/>
        <rFont val="Arial"/>
        <family val="2"/>
      </rPr>
      <t>{</t>
    </r>
    <r>
      <rPr>
        <b/>
        <sz val="8"/>
        <color rgb="FF1F497D"/>
        <rFont val="Arial"/>
        <family val="2"/>
      </rPr>
      <t xml:space="preserve">
</t>
    </r>
    <r>
      <rPr>
        <b/>
        <sz val="8"/>
        <color rgb="FF000000"/>
        <rFont val="Arial"/>
        <family val="2"/>
      </rPr>
      <t xml:space="preserve"> </t>
    </r>
    <r>
      <rPr>
        <sz val="8"/>
        <color rgb="FF000000"/>
        <rFont val="Arial"/>
        <family val="2"/>
      </rPr>
      <t xml:space="preserve">Wiper Shall Not be Suppressed
</t>
    </r>
    <r>
      <rPr>
        <b/>
        <sz val="8"/>
        <color theme="4"/>
        <rFont val="Arial"/>
        <family val="2"/>
      </rPr>
      <t>}</t>
    </r>
  </si>
  <si>
    <t>U0102-00</t>
  </si>
  <si>
    <t>Lost Communication With Transfer Case Control Module / AWD-</t>
  </si>
  <si>
    <t>VF449
VF639</t>
  </si>
  <si>
    <t>* VF449_V1 ID8.0(KM/26LB)
 VF449_V1 ID13.0(LB)
*VF639_V1 ID 11.0(KM)</t>
  </si>
  <si>
    <t>EC1: Ignition Status - IGN_RUN and BCM_FD_2.RemStActvSts = 00
EC3: System Voltage – 10V to 16V
EC4: Network Configuration Status - Can configuration - CAN Node ID 67 = Present(0x01)
EC6: I/O Device Configuration Status – Axle_Locker_Presence= Rear axle locker (0x01) OR = Front and Rear Axle Locker (0x02)
EC5: Bus Physical Status - No Bus physical/ Bus Off DTC FD3 Active
EC7: Enable Condition Timer - 5 seconds</t>
  </si>
  <si>
    <t>* FD-CAN3.DRIVETRAIN_FD_2, OR
* FD-CAN3.DRIVETRAIN_FD_3
Message Missing</t>
  </si>
  <si>
    <r>
      <t>*</t>
    </r>
    <r>
      <rPr>
        <sz val="8"/>
        <color theme="4"/>
        <rFont val="Arial"/>
        <family val="2"/>
      </rPr>
      <t xml:space="preserve"> </t>
    </r>
    <r>
      <rPr>
        <b/>
        <sz val="8"/>
        <color theme="4"/>
        <rFont val="Arial"/>
        <family val="2"/>
      </rPr>
      <t>VF449_V1 ID8.0(KM only)</t>
    </r>
    <r>
      <rPr>
        <sz val="8"/>
        <color rgb="FF000000"/>
        <rFont val="Arial"/>
        <family val="2"/>
      </rPr>
      <t xml:space="preserve"> -  covered by CS.00112 &amp; BCM shall set following LIN signals as "SNA": 
-BCM_ASBM_A1.TerSt_SWITCH1
-BCM_ASBM_A1.TerSt_SWITCH2
* </t>
    </r>
    <r>
      <rPr>
        <b/>
        <sz val="8"/>
        <color theme="4"/>
        <rFont val="Arial"/>
        <family val="2"/>
      </rPr>
      <t>VF639_V1 ID11.0</t>
    </r>
    <r>
      <rPr>
        <sz val="8"/>
        <color theme="4"/>
        <rFont val="Arial"/>
        <family val="2"/>
      </rPr>
      <t xml:space="preserve"> -</t>
    </r>
    <r>
      <rPr>
        <b/>
        <sz val="8"/>
        <color theme="4"/>
        <rFont val="Arial"/>
        <family val="2"/>
      </rPr>
      <t>(KM only)</t>
    </r>
    <r>
      <rPr>
        <sz val="8"/>
        <color rgb="FF000000"/>
        <rFont val="Arial"/>
        <family val="2"/>
      </rPr>
      <t xml:space="preserve"> BCM shall set LIN signal </t>
    </r>
    <r>
      <rPr>
        <b/>
        <sz val="8"/>
        <color rgb="FF000000"/>
        <rFont val="Arial"/>
        <family val="2"/>
      </rPr>
      <t>BCM_ASBM_A2.RrAxleLkIndRq_ASBM</t>
    </r>
    <r>
      <rPr>
        <sz val="8"/>
        <color rgb="FF000000"/>
        <rFont val="Arial"/>
        <family val="2"/>
      </rPr>
      <t xml:space="preserve">  = “OFF”</t>
    </r>
  </si>
  <si>
    <t>25KM
26KM74
26LB</t>
  </si>
  <si>
    <t>U0103-00</t>
  </si>
  <si>
    <t>Lost Communication With Electric Gear Shift Module-</t>
  </si>
  <si>
    <t>EC1: Ignition Status - IGN_RUN
EC3: System Voltage - 10V to 16V
EC4: Network Configuration Status - CAN Node ID 22 = Present(0x01)
EC5: Bus Physical Status - No Bus physical/ Bus Off DTC FD3 Active
EC7: Enable Condition Timer - 5 seconds</t>
  </si>
  <si>
    <t xml:space="preserve">* FD-CAN3.AGSM_FD_2
Message Missing
</t>
  </si>
  <si>
    <t xml:space="preserve">KM
LB
25EJ
26LB
26KM
26EJ
</t>
  </si>
  <si>
    <t>U0122-00</t>
  </si>
  <si>
    <t>Lost Communication With Vehicle Dynamics Control Module-</t>
  </si>
  <si>
    <t>VF440_V4</t>
  </si>
  <si>
    <t>VF440_V4 ID 27
VF440_V2 ID 18</t>
  </si>
  <si>
    <t>EC1: Ignition Status - IGN_RUN
EC3: System Voltage - 10V to 16V
EC4: CAN node ID 85 (VDCM) = Present (0x01)
EC5: Bus Physical Status - No Bus physical/ Bus Off DTC FD3 Active
EC7: Enable Condition Timer - 5 seconds</t>
  </si>
  <si>
    <t>FD-CAN3.ASCM_FD2 Message missing</t>
  </si>
  <si>
    <t>FD-CAN3.ASCM_FD_2 Message Received</t>
  </si>
  <si>
    <r>
      <rPr>
        <b/>
        <sz val="8"/>
        <color theme="4"/>
        <rFont val="Arial"/>
        <family val="2"/>
      </rPr>
      <t>VF440_V2 ID 18:</t>
    </r>
    <r>
      <rPr>
        <sz val="8"/>
        <color theme="1"/>
        <rFont val="Arial"/>
        <family val="2"/>
      </rPr>
      <t xml:space="preserve">
Set the specific gated VDCM signals to "SNA" for as long as the "Missing Message" condition remains True.</t>
    </r>
  </si>
  <si>
    <t>26LB</t>
  </si>
  <si>
    <t>U0129-00</t>
  </si>
  <si>
    <t>Lost Communication With Brake System Control Module 1-</t>
  </si>
  <si>
    <t>VF529
VF431
VF113
VF352
VF057
VF032</t>
  </si>
  <si>
    <r>
      <rPr>
        <sz val="8"/>
        <color rgb="FF000000"/>
        <rFont val="Arial"/>
        <family val="2"/>
      </rPr>
      <t xml:space="preserve">Fault 1 - 
* VF529_V4, ID 5.0-4.0(LB27-LB26)
</t>
    </r>
    <r>
      <rPr>
        <b/>
        <sz val="8"/>
        <color rgb="FF000000"/>
        <rFont val="Arial"/>
        <family val="2"/>
      </rPr>
      <t xml:space="preserve">* VF431_V12 ID 2.0
</t>
    </r>
    <r>
      <rPr>
        <sz val="8"/>
        <color rgb="FF000000"/>
        <rFont val="Arial"/>
        <family val="2"/>
      </rPr>
      <t xml:space="preserve">* VF113_V2, ID 1.0
* VF057_V1, ID 1.0
Fault 2 - 
VF032_V1
Fault 3 - 
* VF352_V2, ID 37.0
</t>
    </r>
  </si>
  <si>
    <t>EC1: Ignition Status - IGN_RUN and BCM_FD_2.RemStActvSts = 00
EC2: Local Voltage – 9V to 16V
EC4: Network Configuration Status - Can configuration.CAN node 6 (BSM) = Present
EC5: Bus Physical Status - No Bus physical/ Bus Off DTC FD3 Active
EC7: Enable Condition Timer - 5 seconds</t>
  </si>
  <si>
    <t xml:space="preserve">Fault 1 - 
* FD-CAN3.BRAKE_FD_2 Message Missing
Fault 2 - 
* FD-CAN3.BRAKE_FD_5 Message Missing
Fault 3 - 
* FD-CAN3.BRAKE_FD_4 
Message Missing
</t>
  </si>
  <si>
    <t>Fault1 - (5000)
Fault 2 - (2500)
Fault3 -(5000)</t>
  </si>
  <si>
    <t>All Missed Messages Received</t>
  </si>
  <si>
    <t xml:space="preserve">Fault 1 - KM  
{
VF057 ID1.0 -  
IF Additional_Tail_Light == Absent  AND the last value received was BRAKE_FD_2.Brk_Stat = BRAKING AND RedundancyToTailLight.Info = NOT SET:
    * The BCM shall set L_StopTurnLight.Cmd = SET AND R_StopTurnLight.Cmd = SET
Else if Additional_Tail_Light == Present AND the last value received was BRAKE_FD_2.Brk_Stat = BRAKING AND RedundancyToTailLight.Info = NOT SET: 
   * The BCM shall set BCM_SLM_A1.RL_StopLight_Req = ON AND     BCM_SLM_A1.RR_StopLight_Req = ON AND RL_Stop_Cmd_HW = SET AND RR_Stop_Cmd_HW = SET until BRAKE_FD_2.Brk_Stat is received correctly.
Until BRAKE_FD_2.Brk_Stat is received correctly.
* VF113 ID1.0 - BCM shall set VSO_Regeneration.Info to low digital level
}
Fault 1: LB, and EJ
{
VF057 ID1.0 -  
IF Additional_Tail_Light == Present AND the last value received was BRAKE_FD_2.Brk_Stat = BRAKING AND RedundancyToTailLight.Info = NOT SET:
*the BCM shall set BCM_SLM_A1.RL_StopLight_Req = ON AND BCM_SLM_A1.RR_StopLight_Req = ON AND RL_Stop_Cmd_HW = SET AND RR_Stop_Cmd_HW = SET until BRAKE_FD_2.Brk_Stat is received correctly
VF113 ID1.0 - BCM shall store DTC Code in internal memory and force the output signal VSO_Regeneration.Info to low digital level
}
Fault 2 - VF032_V1 Gateway Managment Requirement FD3 to Lin1
{
(KM&amp;EJ):
set  BCM_ASBM_A1.HDC_SSC_LED_Cmd= "SNA" while ALL of the following conditions are met:
·	 BRAKE_FD_5_MM = TRUE
·	ADAS_FD_HMI_MM = TRUE
BCM shall set BCM_ASBM_A1.HDC_SSC_LED_Cmd= "SNA" and    (internal signal) BRAKE_FD_5_MM  = TRUE until FD-CAN3.BRAKE_FD_5  is received then set BRAKE_FD_5_MM  = FALSE 
}
Fault 3 -
{
VF352_V2, ID 37.0-  Set BCM_FD_9.ParkBrakeSts="OFF"
Note&gt; SW team please review https://polarionprod1.aptiv.com/polarion/redirect/project/STELLANTIS_MegaBCM/workitem?id=MBCM-1420748 for Fault2 to not implement the same limp in action two times. 
}
</t>
  </si>
  <si>
    <t>U0131-00</t>
  </si>
  <si>
    <t>Lost Communication With Power Steering Control Module "A"-</t>
  </si>
  <si>
    <t>VF241_V1
VF379_V5</t>
  </si>
  <si>
    <t>No VF Reference
used in GW</t>
  </si>
  <si>
    <t>EC1: Ignition Status - IGN_RUN
EC3: System Voltage - 10V to 16V
EC4: Network Configuration Status - CAN node 2 (EPS) = Present(0x01)
EC5: Bus Physical Status - No Bus physical/ Bus Off DTC FD2 Active
EC7: Enable Condition Timer - 5 seconds</t>
  </si>
  <si>
    <t>FD-CAN2.EPS_FD_1
Message Missing</t>
  </si>
  <si>
    <t xml:space="preserve">KM
LB
EJ
26KM
26LB
26EJ
</t>
  </si>
  <si>
    <t>U0139-00</t>
  </si>
  <si>
    <t>Lost Communication with Active Damping Control Module-</t>
  </si>
  <si>
    <t>VF440</t>
  </si>
  <si>
    <t xml:space="preserve">
VF440_V2 ID17.0 LB
VF440_V2 ID18.0 KM</t>
  </si>
  <si>
    <t>Malfunctioning Active Damping Control Module</t>
  </si>
  <si>
    <t>Repair or replace ADCM</t>
  </si>
  <si>
    <t>EC1: Ignition Status - IGN_RUN and BCM_FD_2.RemStActvSts = 00
EC3: System Voltage – 10V to 16V
EC4: Network Configuration Status - CAN node 37 (DCM/ADCM) = 0x1 (Present)
EC5: Bus Physical Status - No Bus physical/ Bus Off DTC FD1 Active
EC7: Enable Condition Timer - 5 seconds</t>
  </si>
  <si>
    <t>* FD-CAN1.ASCM_FD_2
Message Missing</t>
  </si>
  <si>
    <t>* FD-CAN1.ASCM_FD_2
Message Received</t>
  </si>
  <si>
    <r>
      <rPr>
        <b/>
        <sz val="8"/>
        <color theme="4"/>
        <rFont val="Arial"/>
        <family val="2"/>
      </rPr>
      <t xml:space="preserve">VF440_V2 ID17.0 LB/VF440_V2 ID18.0 KM
{
</t>
    </r>
    <r>
      <rPr>
        <sz val="8"/>
        <color rgb="FF000000"/>
        <rFont val="Arial"/>
        <family val="2"/>
      </rPr>
      <t xml:space="preserve">Set the specific gated ADCM signals to "SNA" for as long as the "Missing Message" condition remains True
</t>
    </r>
    <r>
      <rPr>
        <b/>
        <sz val="8"/>
        <color theme="4"/>
        <rFont val="Arial"/>
        <family val="2"/>
      </rPr>
      <t>}</t>
    </r>
  </si>
  <si>
    <t>KM
LB
26KM
26LB</t>
  </si>
  <si>
    <t>U013F-00</t>
  </si>
  <si>
    <t xml:space="preserve"> Lost Communication With Pedestrian Alert Control Module-</t>
  </si>
  <si>
    <t>VF371_V1 ID3.0</t>
  </si>
  <si>
    <t>Bus</t>
  </si>
  <si>
    <t>EC1: Ignition Status - IGN_RUN and BCM_FD_2.RemStActvSts = 00
EC2: Local Voltage – 9V to 16V
EC5: Bus Physical Status - No Bus physical/ Bus Off DTC LIN3 Active
EC6: I/O Device Configuration Status – Car_Configuration_36.QVPM_Configuration != Absent 
EC7: Enable Condition Timer - 5 seconds</t>
  </si>
  <si>
    <t>For NON_NAFTA:
(PROXI Country_Code != United States of America or Canada or Mexico) AND Gear_Pos != P AND QVPM2_Veh_Speed between 0 to 20 km/h AND Message QVPM2_STAT_GLOBAL not received.
For NAFTA:
(PROXI Country_Code = United States of America or Canada or Mexico) AND Gear_Pos != P AND QVPM2_Veh_Speed between 0 to 30 km/h AND Message QVPM2_STAT_GLOBAL not received.</t>
  </si>
  <si>
    <t>For NON_NAFTA:
(PROXI Country_Code != United States of America or Canada or Mexico) AND
Gear_Pos = P OR QVPM2_Veh_Speed between 0 to 20 km/h AND Message QVPM2_STAT_GLOBAL received.
For NAFTA:
(PROXI Country_Code = United States of America or Canada or Mexico) AND
Gear_Pos = P OR QVPM2_Veh_Speed between 0 to 30 km/h AND Message QVPM2_STAT_GLOBAL received.</t>
  </si>
  <si>
    <r>
      <rPr>
        <b/>
        <sz val="8"/>
        <color rgb="FF4F81BD"/>
        <rFont val="Arial"/>
        <family val="2"/>
      </rPr>
      <t xml:space="preserve">VF371 ID 3.0
{
</t>
    </r>
    <r>
      <rPr>
        <sz val="8"/>
        <color rgb="FF000000"/>
        <rFont val="Arial"/>
        <family val="2"/>
      </rPr>
      <t>BCM shall continue to send the message to QVPM2
}</t>
    </r>
  </si>
  <si>
    <t>U0147-00</t>
  </si>
  <si>
    <t>Lost Communication With Telematics Gateway-</t>
  </si>
  <si>
    <t>Malfunctioning TBM-RTCU</t>
  </si>
  <si>
    <t>Repair or replace RTCU-TBM</t>
  </si>
  <si>
    <t>EC1: Ignition Status - IGN_RUN and BCM_FD_2.RemStActvSts = 00
EC3: System Voltage - 10V to 16V
EC4: Network Configuration Status - Can configuration CAN node CAN node 35 (TBM/FTM/RTCU)= Present(0x01)
EC5: Bus Physical Status - No Bus physical/ Bus Off DTC  FDCAN3
EC7: Enable Condition Timer - 5 seconds</t>
  </si>
  <si>
    <t>*FD-CAN3.TBM_SCHEDULE_FD_2
Message Missing</t>
  </si>
  <si>
    <t>*FD-CAN3.TBM_SCHEDULE_FD_2
Message Received</t>
  </si>
  <si>
    <t>25KM
25EJ
25LB
26EJ
26KM
26LB</t>
  </si>
  <si>
    <t>U014D-00</t>
  </si>
  <si>
    <t>Lost Communication with Mirror Control Module "B"-</t>
  </si>
  <si>
    <t>VF572
VF128</t>
  </si>
  <si>
    <t>* VF572_V1 ID1.0
* VF128_V2 ID 2.0</t>
  </si>
  <si>
    <t>EC1: Ignition Status - IGN_RUN and BCM_FD_2.RemStActvSts = 00
EC2: Local Voltage – 9V to 16V
EC3: System Voltage - 10V to 16V- RVDM_Presence = Present(0x01)
EC5: Bus Physical Status - No Bus physical/ Bus Off DTC LIN6 Active
EC6: I/O Device Configuration Status – EC_Mirror = True
EC7: Enable Condition Timer - 5 seconds</t>
  </si>
  <si>
    <t>* LIN6:RVDM_A1
Message Missing</t>
  </si>
  <si>
    <t>U0151-00</t>
  </si>
  <si>
    <t>Lost Communication with Occupant Restraint Controller (ORC)-</t>
  </si>
  <si>
    <t>VF431</t>
  </si>
  <si>
    <t>*VF431 ID 1.0</t>
  </si>
  <si>
    <t>EC1: Ignition Status - IGN_RUN
EC3: System Voltage - 10V to 16V
EC4: Network Configuration Status - CAN Node ID 26 = Present(0x01)
EC5: Bus Physical Status - No Bus physical/ Bus Off DTC FD2 Active
EC7: Enable Condition Timer - 5 seconds</t>
  </si>
  <si>
    <t xml:space="preserve">
* FD-CAN2.IMPACT_INFO
Message Missing
</t>
  </si>
  <si>
    <t xml:space="preserve">
FD-CAN2.IMPACT_INFO
Message Received</t>
  </si>
  <si>
    <t>U0154-00</t>
  </si>
  <si>
    <t>Lost Communication With Occupant Classification Module-</t>
  </si>
  <si>
    <t>EC1: Ignition Status - IGN_RUN and BCM_FD_2.RemStActvSts = 00
EC3: System Voltage - 10V to 16V
EC4: Network Configuration Status - CAN node 78 (OCM)  = Present(0x01)
EC5: Bus Physical Status - No (Bus physical/ Bus Off  CCAN DTC Active)
EC7: Enable Condition Timer - 5 seconds</t>
  </si>
  <si>
    <t>* C-CAN1.STATUS_OCM
Message Missing</t>
  </si>
  <si>
    <t>* C-CAN1.STATUS_OCM
Message received</t>
  </si>
  <si>
    <t>U0155-00</t>
  </si>
  <si>
    <t>Lost Communication With Cluster/CCN-</t>
  </si>
  <si>
    <t>VF413_V1
VF529_V4
VF569_V1
VF568_V1</t>
  </si>
  <si>
    <t>VF413_V1 No ID VF Reference
VF529_V4 No ID VF Reference
VF569_V1 No ID VF Reference
VF568_V1 ID 8</t>
  </si>
  <si>
    <t>EC1: Ignition Status - IGN_RUN and BCM_FD_2.RemStActvSts = 00
EC3: System Voltage - 10V to 16V
EC4: Network Configuration Status - CAN Node ID 3 = Present(0x01) 
EC5: Bus Physical Status - No Bus physical/ Bus Off DTC FD3 Active
EC7: Enable Condition Timer - 5 seconds</t>
  </si>
  <si>
    <t>Fault 1:
FD-CAN3.IPC_FD_1 
Message Missing
Fault 2 (KM &amp; EJ):
FD-CAN3.IIPC_VEHICLE_SETUP
Message Missing</t>
  </si>
  <si>
    <r>
      <rPr>
        <sz val="8"/>
        <color rgb="FF000000"/>
        <rFont val="Arial"/>
        <family val="2"/>
      </rPr>
      <t xml:space="preserve">CAN node 79 (NVPM) = [Present]
{
</t>
    </r>
    <r>
      <rPr>
        <b/>
        <sz val="8"/>
        <color rgb="FF4F81BD"/>
        <rFont val="Arial"/>
        <family val="2"/>
      </rPr>
      <t>KM 49 VF569_V1 IDXX(BCM Functional Requirements):</t>
    </r>
    <r>
      <rPr>
        <sz val="8"/>
        <color rgb="FF4F81BD"/>
        <rFont val="Arial"/>
        <family val="2"/>
      </rPr>
      <t xml:space="preserve"> </t>
    </r>
    <r>
      <rPr>
        <sz val="8"/>
        <color rgb="FF000000"/>
        <rFont val="Arial"/>
        <family val="2"/>
      </rPr>
      <t xml:space="preserve">The BCM shall transmit CAN-C1 CLUSTER1.IPC_NV_DISP_STAT = [DISP_NV_SCREEN] 
}
</t>
    </r>
    <r>
      <rPr>
        <b/>
        <sz val="8"/>
        <color rgb="FF4F81BD"/>
        <rFont val="Arial"/>
        <family val="2"/>
      </rPr>
      <t xml:space="preserve">VF568_V1 ID 8 (KM&amp;EJ):
</t>
    </r>
    <r>
      <rPr>
        <sz val="8"/>
        <color rgb="FF000000"/>
        <rFont val="Arial"/>
        <family val="2"/>
      </rPr>
      <t>The BCM shall Utilize the last known valid value of the IPC_VEHICLE_SETUP.Steer_Feel signal</t>
    </r>
  </si>
  <si>
    <t xml:space="preserve">KM
EJ
26KM
26LB
26EJ
</t>
  </si>
  <si>
    <t>U0159-00</t>
  </si>
  <si>
    <t xml:space="preserve">Lost Communication With Parking Assist Control Module-
</t>
  </si>
  <si>
    <t>VF179
VF505_V5</t>
  </si>
  <si>
    <t>VF179_V4 No ID VF Reference
VF179_V14 No ID VF Reference
VF505_V5  No ID VF Reference</t>
  </si>
  <si>
    <t>EC1: Ignition Status - IGN_RUN and BCM_FD_2.RemStActvSts = 00
EC3: System Voltage - 10V to 16V
EC4: Network Configuration Status - Can configuration.CAN Node ID 24 (PAM/CVADAS) = Present(0x01) OR CVPAM_Presence = Present(0x01)
EC5: Bus Physical Status - No Bus physical/ Bus Off DTC FD2 Active
EC7: Enable Condition Timer - 5 seconds</t>
  </si>
  <si>
    <t xml:space="preserve">FD-CAN2.CVPAM_FD_Control or 
FD-CAN2.CVPAM_FD_Info
Missing Message
</t>
  </si>
  <si>
    <t>FD-CAN2.CVPAM_FD_Control or 
FD-CAN2.CVPAM_FD_Info received</t>
  </si>
  <si>
    <r>
      <rPr>
        <b/>
        <sz val="8"/>
        <color theme="4"/>
        <rFont val="Arial"/>
        <family val="2"/>
      </rPr>
      <t xml:space="preserve">"VF179_V4 &amp; VF179_V14 ID XX - BCM Algorithm Requirement </t>
    </r>
    <r>
      <rPr>
        <sz val="8"/>
        <color rgb="FF000000"/>
        <rFont val="Arial"/>
        <family val="2"/>
      </rPr>
      <t xml:space="preserve">BCM_ASBM2_A1.PAM_LedControlSts==""SNA"" 
</t>
    </r>
    <r>
      <rPr>
        <sz val="8"/>
        <color theme="4"/>
        <rFont val="Arial"/>
        <family val="2"/>
      </rPr>
      <t xml:space="preserve">
</t>
    </r>
    <r>
      <rPr>
        <b/>
        <sz val="8"/>
        <color theme="4"/>
        <rFont val="Arial"/>
        <family val="2"/>
      </rPr>
      <t xml:space="preserve">VF505  IDXX- BCM Algorithm Requirement
</t>
    </r>
    <r>
      <rPr>
        <sz val="8"/>
        <color rgb="FF000000"/>
        <rFont val="Arial"/>
        <family val="2"/>
      </rPr>
      <t>CVPAM_FD_Info.SPM_LedControlSts = ""OFF""
Already covered by CS.00104"</t>
    </r>
  </si>
  <si>
    <t>U015C-00</t>
  </si>
  <si>
    <t>Lost Communication With Automated Driving System Control Module "A"-</t>
  </si>
  <si>
    <t>VF247
VF032
VF533</t>
  </si>
  <si>
    <t>VF247 ID 3.0
VF032 _V1 ID No Reference in the VF
VF032 _V2  ID No Reference in the VF
VF533_V7 ID 19.0</t>
  </si>
  <si>
    <t>EC1: Ignition Status - IGN_RUN and BCM_FD_2.RemStActvSts = 00
EC3: System Voltage - 10V to 16V
EC4: Network Configuration Status - Can configuration.CAN Node  34(MPAD) = Present(0x01) or  Node ID 28 (ADCAM)
EC5: Bus Physical Status - No Bus physical/ Bus Off DTC FD3 Active
EC7: Enable Condition Timer - 5 seconds</t>
  </si>
  <si>
    <t>Fault1: Proxi ADCAM=Present(0x01) (KM, LB, EJ) : 
* FD-CAN3.ADAS_FD_INFO2
Message Missing
Fault 2: Proxi MPAD= Present(0x01) MPAD(KM,EJ)
* FD-CAN3.ADAS_FD_HMI
Message Missing</t>
  </si>
  <si>
    <t>Fault 1:
* FD-CAN3.ADAS_FD_INFO2
Message Received
Fault 2:
* FD-CAN3.ADAS_FD_HMI
Message Received</t>
  </si>
  <si>
    <t xml:space="preserve">
Fault 1:(KM, LB, EJ)
* VF247 ID3.0 
BCM shall not follow requirements in the "Automatic High Beam Deactivation" section and sets BCM_FD_9.AHBFeature = NOT SET
Fault 2 (KM&amp;EJ) MPAD only
VF032 V1-V2 IDXX Gateway Management Requirements -FD3 to LIN1
BCM shall Set BCM_ASBM_A1.HDC_SSC_LED_Cmd= "SNA" and ADAS_FD_HMI_MM = TRUE until  FD-CAN3.ADAS_FD_HMI is received then Set ADAS_FD_HMI_MM= FALSE
</t>
  </si>
  <si>
    <t>U015D-00</t>
  </si>
  <si>
    <t>Lost Communication With Automated Driving System Control Module "B"-</t>
  </si>
  <si>
    <t>EC1: Ignition Status - IGN_RUN
EC2: Local Voltage – 9V to 16V
EC3: System Voltage - 10V to 16V  
EC4: Network Configuration Status - CAN node 38 (MPAD2)  = Present(0x01)
EC5: Bus Physical Status - No Bus physical/ Bus Off DTC FD2 Active
EC7: Enable Condition Timer - 5 seconds</t>
  </si>
  <si>
    <t xml:space="preserve">* FD-CAN2.ADAS_FD_INFO_C2
Message Missing
</t>
  </si>
  <si>
    <t xml:space="preserve">25KM
26KM
26EJ
</t>
  </si>
  <si>
    <t>U0164-00</t>
  </si>
  <si>
    <t>Lost Communication With HVAC Control Module-</t>
  </si>
  <si>
    <t>VF212
VF403</t>
  </si>
  <si>
    <t>*VF212_V4 ID7.0
*VF212_V8 ID7.0
*VF403_V3 No ID 4, ID 5 &amp; ID 6
*VF126_V1 No ID Reference</t>
  </si>
  <si>
    <t>EC1: Ignition Status - IGN_RUN
EC3: System Voltage - 10V to 16V
EC4: Network Configuration Status - CAN Node ID 10 (ECC/ACM/MCM/MHM)= Present(0x01)
EC5: Bus Physical Status - No Bus physical/ Bus Off DTC BH Active
EC7: Enable Condition Timer - 5 seconds</t>
  </si>
  <si>
    <t xml:space="preserve">* FAULT1 -  BH-CAN.STATUS_CLIMATE
Message Missing
* FAULT2 -  BH-CAN.STATUS_CLIMATE4
Message Missing
* FAULT3 -  BH-CAN.STATUS_CLIMATE5
Message Missing
</t>
  </si>
  <si>
    <r>
      <rPr>
        <b/>
        <sz val="8"/>
        <color theme="4"/>
        <rFont val="Arial"/>
        <family val="2"/>
      </rPr>
      <t xml:space="preserve">VF126_V1 IDXX Functional Requirements-Rear Defrost Normal Operation
{
</t>
    </r>
    <r>
      <rPr>
        <sz val="8"/>
        <color rgb="FF000000"/>
        <rFont val="Arial"/>
        <family val="2"/>
      </rPr>
      <t xml:space="preserve">BCM Shall,
a) Set BODY_CNTRL3.EBL_Stat and BCM_FD_27.EBL_Stat and BCM_ASBM4_A1.HVACRearDef_Sts to "SNA"
</t>
    </r>
    <r>
      <rPr>
        <sz val="8"/>
        <color theme="4"/>
        <rFont val="Arial"/>
        <family val="2"/>
      </rPr>
      <t>}</t>
    </r>
  </si>
  <si>
    <t>U0183-00</t>
  </si>
  <si>
    <t>Lost Communication with Smart Lighting Module Rear Right 1-</t>
  </si>
  <si>
    <t>* VF051 V1 ID 9.0</t>
  </si>
  <si>
    <t>EC1: Ignition Status - IGN_RUN and BCM_FD_2.RemStActvSts = 0
EC3: System Voltage - 10V to 16V
EC4: Network Configuration Status - Additional_Tail_Light = Present
EC5: Bus Physical Status - No Bus physical/ Bus Off DTC LIN8 Active
EC7: Enable Condition Timer - 5 seconds</t>
  </si>
  <si>
    <t>"* LIN8:SLMRR_A1
Message Missing"</t>
  </si>
  <si>
    <t>* LIN8:SLMRR_A1
Message Received</t>
  </si>
  <si>
    <r>
      <rPr>
        <b/>
        <sz val="8"/>
        <color theme="4"/>
        <rFont val="Arial"/>
        <family val="2"/>
      </rPr>
      <t xml:space="preserve">VF051 ID9.0 :
{
</t>
    </r>
    <r>
      <rPr>
        <sz val="8"/>
        <color rgb="FF000000"/>
        <rFont val="Arial"/>
        <family val="2"/>
      </rPr>
      <t xml:space="preserve">     IF BCM_FD_2.TurnSignalCmd == RIGHT 
THEN the BCM shall double the frequency of  BCM_FD_26.R_TurnCluster until this event is completed (FD-CAN signal BCM_FD_2.TurnEvent_Indication != RIGHT)
IF BCM_FD_2.TurnSignalCmd == (RIGHT OR BOTH) 
THEN the BCM shall
·	set BCM_FD_26.RRTurnLampFault = SET
until this event is completed (FD-CAN signal BCM_FD_2.TurnEvent_Indication = LEFT or OFF)
</t>
    </r>
    <r>
      <rPr>
        <b/>
        <sz val="8"/>
        <color theme="4"/>
        <rFont val="Arial"/>
        <family val="2"/>
      </rPr>
      <t>}</t>
    </r>
  </si>
  <si>
    <t xml:space="preserve">KM
LB
EJ
26KM49
26LB
26EJ
</t>
  </si>
  <si>
    <t>U0186-00</t>
  </si>
  <si>
    <t>Lost Communication With Audio Amplifier-</t>
  </si>
  <si>
    <t>Malfunctioning Aplifier Module</t>
  </si>
  <si>
    <t>Repair or replace Amplifier Module</t>
  </si>
  <si>
    <t>EC1: Ignition Status - IGN_RUN and BCM_FD_2.RemStActvSts = 00
EC3: System Voltage - 10V to 16V
EC4: Network Configuration Status - CAN node 46 (AMP)= Present(0x01)
EC5: Bus Physical Status - No (Bus physical/ Bus Off DTC BHCAN Active)
EC7: Enable Condition Timer - 5 seconds</t>
  </si>
  <si>
    <t>* BH-CAN.STATUS_AMP
Message Missing</t>
  </si>
  <si>
    <t>BH-CAN.STATUS_AMP
Message Missing</t>
  </si>
  <si>
    <t>U0191-00</t>
  </si>
  <si>
    <t>Lost Communication With Digital Television Module-</t>
  </si>
  <si>
    <t>Malfunctioning DTV</t>
  </si>
  <si>
    <t>Repair or replace DPDM</t>
  </si>
  <si>
    <t>EC1: Ignition Status - IGN_RUN and BCM_FD_2.RemStActvSts = 00
EC3: System Voltage - 10V to 16V
EC4: Network Configuration Status - Can configuration CAN node 100 (DTV)= Present(0x01)
EC5: Bus Physical Status - No Bus physical/ Bus Off DTC  FDCAN3
EC7: Enable Condition Timer - 5 seconds</t>
  </si>
  <si>
    <t>*FD-CAN3.PDC_INFO_FD_DTV
Message Missing</t>
  </si>
  <si>
    <t>*FD-CAN3.PDC_INFO_FD_DTV
Message Received</t>
  </si>
  <si>
    <t>25KM74
25EJ
26EJ
26KM74</t>
  </si>
  <si>
    <t>U0199-00</t>
  </si>
  <si>
    <t>Lost Communication With Driver Door Module-</t>
  </si>
  <si>
    <t>VF087_V2
VF092_V20
VF092_V21</t>
  </si>
  <si>
    <t>EC1: Ignition Status - IGN_RUN
EC3: System Voltage - 10V to 16V
EC4: Network Configuration Status - CAN Node ID 8 (DDM/DMM/FDM/UDM)= Present(0x01)
EC5: Bus Physical Status - No Bus physical/ Bus Off DTC BH Active
EC7: Enable Condition Timer - 5 seconds</t>
  </si>
  <si>
    <t>* BH-CAN.DRIVER_DOOR
Message Missing</t>
  </si>
  <si>
    <t>U01B4-00</t>
  </si>
  <si>
    <t>Lost Communication with Brake System Control Module 2-</t>
  </si>
  <si>
    <t>EC1: Ignition Status - IGN_RUN
EC3: System Voltage - 10V to 16V
EC4: Network Configuration Status - CAN Node 62 (BSM2)= Present(0x01)
EC5: Bus Physical Status - No Bus physical/ Bus Off DTC FD2 Active
EC7: Enable Condition Timer - 5 seconds</t>
  </si>
  <si>
    <t xml:space="preserve">* FD-CAN2.BRAKE2_FD_1
Missing Message
</t>
  </si>
  <si>
    <t xml:space="preserve">KM
EJ
26KM
26 EJ
</t>
  </si>
  <si>
    <t>U01EB-00</t>
  </si>
  <si>
    <t>Lost Communication With Key Control Module-</t>
  </si>
  <si>
    <t>EC1: Ignition Status - IGN_RUN
EC3: System Voltage - 10V to 16V
EC4: Network Configuration Status - CAN Node ID 40 (SPAAK)= Present(0x01)
EC5: Bus Physical Status - No Bus physical/ Bus Off DTC FD1 Active
EC7: Enable Condition Timer - 5 seconds</t>
  </si>
  <si>
    <t>* FD-CAN1.PDC_INFO_FD_SPAAK
Message missing</t>
  </si>
  <si>
    <t xml:space="preserve">KM
LB
25EJ
26KM
26LB
26EJ
</t>
  </si>
  <si>
    <t>U0200-00</t>
  </si>
  <si>
    <t>Lost Communication With Passenger Door Module-</t>
  </si>
  <si>
    <t>EC1: Ignition Status - IGN_RUN
EC3: System Voltage - 10V to 16V
EC4: Network Configuration Status - CAN Node ID 17 (PDM) = Present(0x01)
EC5: Bus Physical Status - No Bus physical/ Bus Off DTC BH Active
EC7: Enable Condition Timer - 5 seconds</t>
  </si>
  <si>
    <t xml:space="preserve">* BH-CAN.PASS_DOOR
Message Missing
</t>
  </si>
  <si>
    <t>U0206-00</t>
  </si>
  <si>
    <t>Lost Communication With Power Top Control Module-</t>
  </si>
  <si>
    <t>VF507</t>
  </si>
  <si>
    <t>VF507_V1 No ID reference</t>
  </si>
  <si>
    <t>EC1: Ignition Status - IGN_RUN
EC3: System Voltage - 10V to 16V
EC4: Network Configuration Status - CAN node 101 (PTCM)= Present(0x01)
EC5: Bus Physical Status - No Bus physical/ Bus Off DTC BH Active
EC7: Enable Condition Timer - 5 seconds</t>
  </si>
  <si>
    <t>BH-CAN.PTCM_1 missing message</t>
  </si>
  <si>
    <t>EJ
26EJ</t>
  </si>
  <si>
    <t>U0212-00</t>
  </si>
  <si>
    <t>Lost Communication With Steering Column Control Module-</t>
  </si>
  <si>
    <t>EC1: Ignition Status - IGN_RUN
EC3: System Voltage - 10V to 16V
EC4: Network Configuration Status - CAN Node ID 53 (SCCM)= Present(0x01)
EC5: Bus Physical Status - No Bus physical/ Bus Off DTC CCAN1 Active
EC7: Enable Condition Timer - 5 seconds</t>
  </si>
  <si>
    <t xml:space="preserve">* C-CAN1.STEERING_COLUMN
Message Missing
</t>
  </si>
  <si>
    <t>U0213-00</t>
  </si>
  <si>
    <t>Lost Communication with Interior Mirror Control Module "A"-</t>
  </si>
  <si>
    <t>*VF128_V1 ID2.0</t>
  </si>
  <si>
    <r>
      <rPr>
        <b/>
        <sz val="8"/>
        <color rgb="FF000000"/>
        <rFont val="Arial"/>
        <family val="2"/>
      </rPr>
      <t xml:space="preserve">
</t>
    </r>
    <r>
      <rPr>
        <sz val="8"/>
        <color rgb="FF000000"/>
        <rFont val="Arial"/>
        <family val="2"/>
      </rPr>
      <t xml:space="preserve">EC1: Ignition Status - IGN_RUN and BCM_FD_2.RemStActvSts = 00
</t>
    </r>
    <r>
      <rPr>
        <b/>
        <sz val="8"/>
        <color rgb="FF000000"/>
        <rFont val="Arial"/>
        <family val="2"/>
      </rPr>
      <t xml:space="preserve">EC3: System Voltage - 10V to 16V
</t>
    </r>
    <r>
      <rPr>
        <sz val="8"/>
        <color rgb="FF000000"/>
        <rFont val="Arial"/>
        <family val="2"/>
      </rPr>
      <t>EC4: Network Configuration Status - 
CRVMM_Presence = Present(0x01)
EC5: Bus Physical Status - No Bus physical/ Bus Off DTC LIN6 Active
EC6: I/O Device Configuration Status – EC_Mirror = True
EC7: Enable Condition Timer - 5 seconds</t>
    </r>
  </si>
  <si>
    <t>* LIN6.CRVMM_A1
Message Missing</t>
  </si>
  <si>
    <t>U0224-00</t>
  </si>
  <si>
    <t>Lost Communication With Door Window Motor "C"-</t>
  </si>
  <si>
    <t>VF529</t>
  </si>
  <si>
    <t>*VF529_V4, ID3.0</t>
  </si>
  <si>
    <t>Rear left Window not operational</t>
  </si>
  <si>
    <t>EC1: Ignition Status - IGN_RUN and BCM_FD_2.RemStActvSts = 00
EC3: System Voltage - 10V to 16V
EC5: Bus Physical Status - No Bus physical/ Bus Off DTC(KM/LB: LIN3 OR EJ: LIN 9) Active
EC6: I/O Device Configuration - PROXI Number_of_doors = 4
EC7: Enable Condition Timer - 5 seconds</t>
  </si>
  <si>
    <t>EJ: LIN 9.RLWSMToBCMFeedback missing message
KM, LB: LIN3. RLWSMToBCMFeedback missing message</t>
  </si>
  <si>
    <t>U0225-00</t>
  </si>
  <si>
    <t>Lost Communication With Door Window Motor "D"-</t>
  </si>
  <si>
    <t>*VF529_V4, ID4.0</t>
  </si>
  <si>
    <t>Rear Right Window not operational</t>
  </si>
  <si>
    <t>EC1: Ignition Status - IGN_RUN and BCM_FD_2.RemStActvSts = 00
EC3: System Voltage - 10V to 16V
EC5: Bus Physical Status - No Bus physical/ Bus Off DTC (KM/LB: LIN3 OR EJ: LIN 10) Active
EC6: I/O Device Configuration - PROXI Number_of_doors = 4
EC7: Enable Condition Timer - 5 seconds</t>
  </si>
  <si>
    <t>EJ: LIN10.RRWSMToBCMFeedback missing message
KM, LB: LIN3. RRWSMToBCMFeedback missing message</t>
  </si>
  <si>
    <t>U0230-00</t>
  </si>
  <si>
    <t>Lost Communication With Power Liftgate Module-</t>
  </si>
  <si>
    <t>Malfunctioning PHM</t>
  </si>
  <si>
    <t>Repair or replace Power Lift Gate PHM</t>
  </si>
  <si>
    <t>EC1: Ignition Status - IGN_RUN and BCM_FD_2.RemStActvSts = 00
EC3: System Voltage - 10V to 16V
EC4: Network Configuration Status - CAN node 122 (PHM) = Present(0x01)
EC5: Bus Physical Status - No Bus physical/ Bus Off DTC FD Active
EC7: Enable Condition Timer - 5 seconds</t>
  </si>
  <si>
    <t>* BH-CAN.PLGM_A1
Message Missing</t>
  </si>
  <si>
    <t>BH-CAN.PLGM_A1
Message received</t>
  </si>
  <si>
    <t>U0231-00</t>
  </si>
  <si>
    <t>Lost Communication With Rain Sensing Module-</t>
  </si>
  <si>
    <t>VF041
VF150
VF247</t>
  </si>
  <si>
    <t>*VF041 ID 1.6
*VF150 ID NA
*VF247 ID 2.0</t>
  </si>
  <si>
    <t>IP dimming not responding to ambient light changes.</t>
  </si>
  <si>
    <t>Check for Blown Fuse. 
Repair Module Communication or Replace HRLS Module</t>
  </si>
  <si>
    <t>EC1: Ignition Status - IGN_RUN and BCM_FD_2.RemStActvSts = 00
EC3: System Voltage - 10V to 16V
EC4: Network Configuration Status -Always True
EC5: Bus Physical Status - No Bus physical/ Bus Off DTC LIN6 Active
EC7: Enable Condition Timer - 5 seconds</t>
  </si>
  <si>
    <t>Fault Detection Condtion:
LIN6.HRLS_A1 Message Missing</t>
  </si>
  <si>
    <t>Healing Condition:
Message Received</t>
  </si>
  <si>
    <r>
      <rPr>
        <b/>
        <sz val="8"/>
        <color rgb="FF4F81BD"/>
        <rFont val="Arial"/>
        <family val="2"/>
      </rPr>
      <t xml:space="preserve">VF041 ID 1.6
</t>
    </r>
    <r>
      <rPr>
        <sz val="8"/>
        <color rgb="FF000000"/>
        <rFont val="Arial"/>
        <family val="2"/>
      </rPr>
      <t xml:space="preserve">  - BCM Shall Behave as DAY_LGT_MD = "NIGHT"(1000ms)
</t>
    </r>
    <r>
      <rPr>
        <b/>
        <sz val="8"/>
        <color rgb="FF4F81BD"/>
        <rFont val="Arial"/>
        <family val="2"/>
      </rPr>
      <t xml:space="preserve">VF150 ID XX NA HRLS Recovery
</t>
    </r>
    <r>
      <rPr>
        <sz val="8"/>
        <color rgb="FF000000"/>
        <rFont val="Arial"/>
        <family val="2"/>
      </rPr>
      <t xml:space="preserve">  - BCM Shall Activate BCM_FD_9.RainSensorFailSts Signal 
  -  * As defined in Wiper_HRLS.PNG - Commands the Wiper Motor as Follows: with the Last Valid value LIN6:HRLS_A1:WiperSpeed, if the CCAN1:STEERING_COLUMN:WprSw6Posn=INTERVAL=1or 2 or 3 or 4 
* Limp action defined from VF150 HRLS recovery diagnostics and Recovery description. 
</t>
    </r>
    <r>
      <rPr>
        <b/>
        <sz val="8"/>
        <color rgb="FF4F81BD"/>
        <rFont val="Arial"/>
        <family val="2"/>
      </rPr>
      <t xml:space="preserve">VF247 ID 2.0
</t>
    </r>
    <r>
      <rPr>
        <sz val="8"/>
        <color rgb="FF000000"/>
        <rFont val="Arial"/>
        <family val="2"/>
      </rPr>
      <t xml:space="preserve">  - BCM Shall Set the Signals and Outputs as Described in "Lights Management" as the Internal Variable MainLightSelector = Low Beams</t>
    </r>
  </si>
  <si>
    <t>U0236-00</t>
  </si>
  <si>
    <t>Lost Communication With Electronic Steering Column Lock Module-</t>
  </si>
  <si>
    <t>VF526</t>
  </si>
  <si>
    <t>VF526_V1 ID23.0</t>
  </si>
  <si>
    <t>Rear Sound Emitter</t>
  </si>
  <si>
    <r>
      <rPr>
        <sz val="8"/>
        <color rgb="FF000000"/>
        <rFont val="Arial"/>
        <family val="2"/>
      </rPr>
      <t xml:space="preserve">EC1: Ignition Status - IGN_LK or IGN_RUN
</t>
    </r>
    <r>
      <rPr>
        <b/>
        <sz val="8"/>
        <color rgb="FF000000"/>
        <rFont val="Arial"/>
        <family val="2"/>
      </rPr>
      <t xml:space="preserve">EC3: System Voltage - 10V to 16V
</t>
    </r>
    <r>
      <rPr>
        <sz val="8"/>
        <color rgb="FF000000"/>
        <rFont val="Arial"/>
        <family val="2"/>
      </rPr>
      <t>EC4: Network Configuration Status - CAN node 21 (ESL) = Present
EC5: Bus Physical Status - No Bus physical/ Bus Off DTC FD3 Active
EC7: Enable Condition Timer - 5 seconds</t>
    </r>
  </si>
  <si>
    <t>FD-CAN3.STEER_LOCK_FD_1
Message Missing</t>
  </si>
  <si>
    <t>U0247-00</t>
  </si>
  <si>
    <t>Lost Communication With Comfort Seat Module 1-</t>
  </si>
  <si>
    <t>VF524_V1</t>
  </si>
  <si>
    <t>VF524_V1 No ID reference</t>
  </si>
  <si>
    <t>EC1: Ignition Status - IGN_RUN
EC3: System Voltage - 10V to 16V
EC4: Network Configuration Status - CAN Node ID 18  (DSM)= Present(0x01)
EC5: Bus Physical Status - No Bus physical/ Bus Off DTC BH Active
EC7: Enable Condition Timer - 5 seconds</t>
  </si>
  <si>
    <t xml:space="preserve">
* BH-CAN.MEM_SEAT1
Message Missing  
                                                                                                                                            </t>
  </si>
  <si>
    <t>U0255-00</t>
  </si>
  <si>
    <t>Lost Communication With Front Display Interface Module-</t>
  </si>
  <si>
    <t>Malfunctioning MIM</t>
  </si>
  <si>
    <t>Repair or replace MIM</t>
  </si>
  <si>
    <t>EC1: Ignition Status - IGN_RUN and BCM_FD_2.RemStActvSts = 00
EC3: System Voltage - 10V to 16V
EC4: Network Configuration Status - Can configuration CAN node CAN node 123 (MIM) = Present(0x01)
EC5: Bus Physical Status - No Bus physical/ Bus Off DTC  FDCAN3
EC7: Enable Condition Timer - 5 seconds</t>
  </si>
  <si>
    <t>*FD-CAN3.PDC_INFO_FD_MIM
Message Missing</t>
  </si>
  <si>
    <t>*FD-CAN3.PDC_INFO_FD_MIM
Message Received</t>
  </si>
  <si>
    <t xml:space="preserve">
26LB</t>
  </si>
  <si>
    <t>U0275-00</t>
  </si>
  <si>
    <t>Lost Communication With Smart Lighting Module Grille-</t>
  </si>
  <si>
    <t>Malfunctioning of SLMG</t>
  </si>
  <si>
    <t>Repair or replace SLGM</t>
  </si>
  <si>
    <t>EC1: Ignition Status - IGN_RUN or IGN_START and BCM_FD_2.RemStActvSts = 00
EC3: System Voltage - 10V to 16V
EC4: Network Configuration Status -CAN Node 114 (SLMG) = Present(0x01)
EC5: Bus Physical Status - No (Bus physical/ Bus Off FDCAN4)
EC7: Enable Condition Timer - 5 seconds</t>
  </si>
  <si>
    <t>Missing message
1) FD_CAN4.PDC_INFO_FD_SLMG</t>
  </si>
  <si>
    <t xml:space="preserve">Message Received
1) FD_CAN4.PDC_INFO_FD_SLMG
</t>
  </si>
  <si>
    <t xml:space="preserve">
25EJ
25LB
26LB
26EJ
</t>
  </si>
  <si>
    <t>U02B3-00</t>
  </si>
  <si>
    <t>Lost Communication With Driver Monitoring System Module-</t>
  </si>
  <si>
    <t>EC1: Ignition Status - IGN_RUN
EC3: System Voltage - 10V to 16V
EC4: Network Configuration Status - CAN Node 75 (DMSM) = Present(0x01) 
EC5: Bus Physical Status - No Bus physical/ Bus Off DTC FD3 Active
EC7: Enable Condition Timer - 5 seconds</t>
  </si>
  <si>
    <t>* FD-CAN3.PDC_INFO_FD_DMSM
Message Missing</t>
  </si>
  <si>
    <t xml:space="preserve">25KM
25EJ
26KM
26EJ
</t>
  </si>
  <si>
    <t>U02B4-00</t>
  </si>
  <si>
    <t>Lost Communication With Front Radar Module "A"-</t>
  </si>
  <si>
    <t>EC1: Ignition Status - IGN_RUN and BCM_FD_2.RemStActvSts = 00
EC3: System Voltage - 10V to 16V
EC4: Network Configuration Status - Can configuration.CAN node 115 (LRRF) = Present(0x01)
EC5: Bus Physical Status - No Bus physical/ Bus Off DTC FD1 Active
EC7: Enable Condition Timer - 5 seconds</t>
  </si>
  <si>
    <t>*FD_CAN1.PDC_INFO_FD_LRRF 
Missing Message</t>
  </si>
  <si>
    <t xml:space="preserve">25 KM
25LB
25EJ
26KM
26LB
26EJ
</t>
  </si>
  <si>
    <t>U02BC-00</t>
  </si>
  <si>
    <t>Lost Communication With Localization and Mapping Module-</t>
  </si>
  <si>
    <t>EC1: Ignition Status - IGN_RUN
EC3: System Voltage - 10V to 16V
EC4: Network Configuration Status - CAN Node 60 (GNMM) = Present(0x01)
EC5: Bus Physical Status - No Bus physical/ Bus Off DTC FD3 Active
EC7: Enable Condition Timer - 5 seconds</t>
  </si>
  <si>
    <t xml:space="preserve">* FD-CAN3.PDC_INFO_FD_GNMM
Message Missing
</t>
  </si>
  <si>
    <t>U02BD-00</t>
  </si>
  <si>
    <t>Lost Communication With Night Vision Control Module-</t>
  </si>
  <si>
    <t>VF569</t>
  </si>
  <si>
    <t>VF569_V1 ID 11.0</t>
  </si>
  <si>
    <t>EC1: Ignition Status - IGN_RUN
EC3: System Voltage - 10V to 16V
EC4: Network Configuration Status - CAN Node ID 79 (NVPM)= Present(0x01)
EC5: Bus Physical Status - No Bus physical/ Bus Off DTC Active
EC7: Enable Condition Timer - 5 seconds</t>
  </si>
  <si>
    <t>C-CAN1.NIGHT_VISION missing message</t>
  </si>
  <si>
    <r>
      <rPr>
        <b/>
        <sz val="8"/>
        <color theme="4"/>
        <rFont val="Arial"/>
        <family val="2"/>
      </rPr>
      <t xml:space="preserve">VF569 V1 IDXX BCM Functional Requirement-VF569_V1 ID 11.0
{
</t>
    </r>
    <r>
      <rPr>
        <sz val="8"/>
        <color rgb="FF000000"/>
        <rFont val="Arial"/>
        <family val="2"/>
      </rPr>
      <t xml:space="preserve">The BCM shall transmit below values on CAN-FD:
1) BCM_FD_23.NV_ScreenDisp_Info = [DISP_1]    
2) BCM_FD_23.NV_PopupDisp_Info = [DISP_1]    
3) BCM_FD_23.NV_Detection_Stat = [OFF]     
4) BCM_FD_23.NV_Telltale_Stat= [OFF]     
5) BCM_FD_23.NV_Screen_Reqst = [No_Request]
</t>
    </r>
    <r>
      <rPr>
        <b/>
        <sz val="8"/>
        <color theme="4"/>
        <rFont val="Arial"/>
        <family val="2"/>
      </rPr>
      <t>}</t>
    </r>
  </si>
  <si>
    <t>U02BF-00</t>
  </si>
  <si>
    <t>Lost Communication With Interior Lighting Control Module "B"-</t>
  </si>
  <si>
    <t>Malfunctioning ILM</t>
  </si>
  <si>
    <t>Repair or Replace ILM</t>
  </si>
  <si>
    <t>EC1: Ignition Status - IGN_RUN and BCM_FD_2.RemStActvSts = 00
EC3: System Voltage - 10V to 16V
EC4: Network Configuration Status - Always True
EC5: Bus Physical Status - No Bus physical/ Bus Off DTC LIN1 Active
EC7: Enable Condition Timer - 5 seconds</t>
  </si>
  <si>
    <t>*LIN1.ILM1_A1 Message Missing</t>
  </si>
  <si>
    <t>U0401-00</t>
  </si>
  <si>
    <t>Implausible Data Received From ECM/PCM "A"-</t>
  </si>
  <si>
    <t>VF078_V1
VF412_V1</t>
  </si>
  <si>
    <t>VF078_V1 ID 1.10
VF412_V1 ID NA</t>
  </si>
  <si>
    <t>Wrong Data Received</t>
  </si>
  <si>
    <t>Malfunction  ECM module</t>
  </si>
  <si>
    <t>Repair or replace ECM</t>
  </si>
  <si>
    <t>EC1: Ignition Status - IGN_LK or IGN_RUN and BCM_FD_2.RemStActvSts = 00
EC3: System Voltage - 10V to 16V 
EC4: Network Configuration Status - Can configuration.CAN Node ID 1 = Present(0x01) and Hybrid_Type != BEV  
EC5: Bus Physical Status - No Bus physical/ Bus Off DTC FD3 Active
EC7: Enable Condition Timer - 5 seconds</t>
  </si>
  <si>
    <t>Fault 1:
ENGINE_FD_2.EngineSts_W=SNA  
Fault2:
ENGINE_FD_6.EngineWaterTemp= SNA</t>
  </si>
  <si>
    <t>Fault 1:
 ENGINE_FD_2.EngineSts_W != SNA 
Fault 2:
ENGINE_FD_6.EngineWaterTemp != SNA</t>
  </si>
  <si>
    <r>
      <rPr>
        <sz val="8"/>
        <color rgb="FF000000"/>
        <rFont val="Arial"/>
        <family val="2"/>
      </rPr>
      <t xml:space="preserve">Fault 1:
 </t>
    </r>
    <r>
      <rPr>
        <b/>
        <sz val="8"/>
        <color rgb="FF4F81BD"/>
        <rFont val="Arial"/>
        <family val="2"/>
      </rPr>
      <t>VF078 ID 1.10</t>
    </r>
    <r>
      <rPr>
        <sz val="8"/>
        <color rgb="FF000000"/>
        <rFont val="Arial"/>
        <family val="2"/>
      </rPr>
      <t xml:space="preserve"> BCM shall behave as if EngineSts_W = Engine_ON
Fault 2:
</t>
    </r>
    <r>
      <rPr>
        <b/>
        <sz val="8"/>
        <color rgb="FF4F81BD"/>
        <rFont val="Arial"/>
        <family val="2"/>
      </rPr>
      <t xml:space="preserve">VF412_V1 XX External Temperature- Not Valid:
</t>
    </r>
    <r>
      <rPr>
        <sz val="8"/>
        <color rgb="FF000000"/>
        <rFont val="Arial"/>
        <family val="2"/>
      </rPr>
      <t xml:space="preserve"> ENGINE_FD_6.EngineWaterTemp shall be assumed to be [EngineHot] degrees</t>
    </r>
  </si>
  <si>
    <t>U0403-00</t>
  </si>
  <si>
    <t>Implausible Data Received From T-Case-</t>
  </si>
  <si>
    <t>Malfunctioning DTCM</t>
  </si>
  <si>
    <t>Repair or replace DTCM</t>
  </si>
  <si>
    <t>EC1: Ignition Status - IGN_RUN and BCM_FD_2.RemStActvSts = 00
EC3: System Voltage - 10V to 16V
EC4: Network Configuration Status - Can configuration.CAN Node ID 67  = Present(0x01)
EC5: Bus Physical Status - No Bus physical/ Bus Off DTC FD3 Active
EC7: Enable Condition Timer - 5 seconds</t>
  </si>
  <si>
    <r>
      <rPr>
        <sz val="8"/>
        <color rgb="FF000000"/>
        <rFont val="Arial"/>
        <family val="2"/>
      </rPr>
      <t>* FD-CAN3.DRIVETRAIN_FD_2</t>
    </r>
    <r>
      <rPr>
        <b/>
        <sz val="8"/>
        <color rgb="FF000000"/>
        <rFont val="Arial"/>
        <family val="2"/>
      </rPr>
      <t>(KM only),</t>
    </r>
    <r>
      <rPr>
        <sz val="8"/>
        <color rgb="FF000000"/>
        <rFont val="Arial"/>
        <family val="2"/>
      </rPr>
      <t xml:space="preserve"> OR
* FD-CAN3.DRIVETRAIN_FD_3
has DLC less than specified in DBC file:</t>
    </r>
  </si>
  <si>
    <r>
      <rPr>
        <sz val="8"/>
        <color rgb="FF000000"/>
        <rFont val="Arial"/>
        <family val="2"/>
      </rPr>
      <t>FD-CAN3.DRIVETRAIN_FD_2 AND</t>
    </r>
    <r>
      <rPr>
        <b/>
        <sz val="8"/>
        <color rgb="FF000000"/>
        <rFont val="Arial"/>
        <family val="2"/>
      </rPr>
      <t xml:space="preserve">(KM only)
</t>
    </r>
    <r>
      <rPr>
        <sz val="8"/>
        <color rgb="FF000000"/>
        <rFont val="Arial"/>
        <family val="2"/>
      </rPr>
      <t xml:space="preserve"> FD-CAN3.DRIVETRAIN_FD_3
received with correct DLC</t>
    </r>
  </si>
  <si>
    <t xml:space="preserve">25LB
26LB
26KM74
</t>
  </si>
  <si>
    <t>U0418-00</t>
  </si>
  <si>
    <t>Implausible Data Received From Brake System Control Module 1-</t>
  </si>
  <si>
    <t>VF032
CS0099
VF412_V1</t>
  </si>
  <si>
    <t>VF032_V1 No VF ID Reference
VF032_V2 No VF ID Reference
CS0099
VF412_V1 No VF ID Reference</t>
  </si>
  <si>
    <t>Malfunctioning Module</t>
  </si>
  <si>
    <t>Repair or replace BSM module</t>
  </si>
  <si>
    <t>Fault 1 (KM &amp; EJ):
FDCAN3 BRAKE_FD_5.HDCUserFdBck = "SNA"
Fault 2:
FDCAN3 BRAKE_FD_5
has DLC less than specified in DBC file
Fault 3:
BRAKE_FD_2.VehicleSpeedVSOSig = SNA</t>
  </si>
  <si>
    <t>Fault 1 (KM &amp;EJ):
FDCAN3 BRAKE_FD_5.HDCUserFdBck != "SNA"
Fault 2:
FDCAN3 BRAKE_FD_5
Message received with correct DLC
Fault 3:
BRAKE_FD_2.VehicleSpeedVSOSig != SNA</t>
  </si>
  <si>
    <r>
      <t xml:space="preserve">Fault 1 (KM &amp; EJ):VF
</t>
    </r>
    <r>
      <rPr>
        <b/>
        <sz val="8"/>
        <color theme="4"/>
        <rFont val="Arial"/>
        <family val="2"/>
      </rPr>
      <t>VF032 IDXX-Gateway Management Requirements BCM Algorithm Requirement-FD3 to LIN1</t>
    </r>
    <r>
      <rPr>
        <b/>
        <sz val="8"/>
        <color rgb="FF1F497D"/>
        <rFont val="Arial"/>
        <family val="2"/>
      </rPr>
      <t xml:space="preserve">
</t>
    </r>
    <r>
      <rPr>
        <sz val="8"/>
        <color rgb="FF000000"/>
        <rFont val="Arial"/>
        <family val="2"/>
      </rPr>
      <t>The BCM shall set  BCM_ASBM_A1.HDC_SSC_LED_Cmd= "SNA"
Fault 2:
Not Limp action defined.
Fault 3</t>
    </r>
    <r>
      <rPr>
        <sz val="8"/>
        <color theme="4"/>
        <rFont val="Arial"/>
        <family val="2"/>
      </rPr>
      <t>:</t>
    </r>
    <r>
      <rPr>
        <b/>
        <sz val="8"/>
        <color theme="4"/>
        <rFont val="Arial"/>
        <family val="2"/>
      </rPr>
      <t>VF412_V1 IDXX Diagnosis and Recovery-External Temperature - Not Valid</t>
    </r>
    <r>
      <rPr>
        <b/>
        <sz val="8"/>
        <color rgb="FF1F497D"/>
        <rFont val="Arial"/>
        <family val="2"/>
      </rPr>
      <t xml:space="preserve">
</t>
    </r>
    <r>
      <rPr>
        <sz val="8"/>
        <color rgb="FF000000"/>
        <rFont val="Arial"/>
        <family val="2"/>
      </rPr>
      <t>BRAKE_FD_2.VehicleSpeedVSOSig shall be assumed to be [0] MPH</t>
    </r>
  </si>
  <si>
    <t xml:space="preserve">25KM
25EJ
26KM
26LB
26EJ
</t>
  </si>
  <si>
    <t>U0420-00</t>
  </si>
  <si>
    <t>Invalid Data Received from Power Steering Control Module "A"-</t>
  </si>
  <si>
    <t>CS099</t>
  </si>
  <si>
    <t>Steering Feel setting information on display doesn´t change.</t>
  </si>
  <si>
    <t>Malfunctioning Steering Feel Module or IPC</t>
  </si>
  <si>
    <t>Repair or replace Steering Module / IPC</t>
  </si>
  <si>
    <t>EC1: Ignition Status - IGN_RUN or IGN_START and BCM_FD_2.RemStActvSts = 00
EC3: System Voltage - 10V to 16V
EC4: Network Configuration Status - CAN node 2 (EPS) = Present (0x01)
EC5: Bus Physical Status - No Bus physical/ Bus Off DTC C1 Active
EC7: Enable Condition Timer - 5 seconds</t>
  </si>
  <si>
    <t>The BCM detects an invalid value of EPS_FD_1.Message_Counter_EPS1 OR EPS_FD_1.CRC_EPS1</t>
  </si>
  <si>
    <t>The BCM detects a valid value of EPS_FD_1.Message_Counter_EPS1 and EPS_FD_1.CRC_EPS1</t>
  </si>
  <si>
    <t xml:space="preserve">25KM
25LB
25EJ
26LB
26KM
</t>
  </si>
  <si>
    <t>U0423-00</t>
  </si>
  <si>
    <t>Implausible Data Received from Cluster/CCN-</t>
  </si>
  <si>
    <t>Instrument Panel Cluster information on display doesn´t change.</t>
  </si>
  <si>
    <t>Malfunctioning of IPC</t>
  </si>
  <si>
    <t>Repair or replace IPC</t>
  </si>
  <si>
    <t>EC1: Ignition Status - IGN_RUN or IGN_START and BCM_FD_2.RemStActvSts = 00
EC3: System Voltage - 10V to 16V
EC4: Network Configuration Status -CAN Node ID 3 (IPC)= Present(0x01)
EC5:  Bus Physical Status - No (Bus physical/ Bus Off FDCAN3) 
EC7: Enable Condition Timer - 5 seconds</t>
  </si>
  <si>
    <t xml:space="preserve">The BCM detects an invalid value of 
IPC_FD_1.Message_Counter_IPC1 or IPC_FD_1_.CRC_IPC1 </t>
  </si>
  <si>
    <t xml:space="preserve">The BCM detects a  valid value of 
IPC_FD_1.Message_Counter_IPC1 or
IPC_FD_1_.CRC_IPC1 </t>
  </si>
  <si>
    <t>25KM
25LB
KM26
25EJ
26EJ
26LB</t>
  </si>
  <si>
    <t>U0424-00</t>
  </si>
  <si>
    <t>Implausible Data Received From HVAC Control Module-</t>
  </si>
  <si>
    <t>EC1: Ignition Status - IGN_RUN and BCM_FD_2.RemStActvSts = 00
EC3: System Voltage - 10V to 16V
EC4: Network Configuration Status - CAN Node ID 10 (ECC/ACM/MCM/MHM)= Present(0x01) = Present(0x01)
EC5: Bus Physical Status - No (Bus physical/ Bus Off DTC BHCAN Active)
EC7: Enable Condition Timer - 5 seconds</t>
  </si>
  <si>
    <t>* BH-CAN.STATUS_CLIMATE, OR
* BH-CAN.STATUS_CLIMATE4, OR
* BH-CAN.STATUS_CLIMATE5
has DLC less than specified in DBC file:</t>
  </si>
  <si>
    <t>* BH-CAN.STATUS_CLIMATE, AND
* BH-CAN.STATUS_CLIMATE4, AND
* BH-CAN.STATUS_CLIMATE5
Message received with correct DLC</t>
  </si>
  <si>
    <t>U0429-00</t>
  </si>
  <si>
    <t>Implausible Data Received from Steering Column Control Module-</t>
  </si>
  <si>
    <r>
      <rPr>
        <sz val="8"/>
        <color rgb="FF000000"/>
        <rFont val="Arial"/>
        <family val="2"/>
      </rPr>
      <t xml:space="preserve">EC1: Ignition Status - IGN_RUN or IGN_START and BCM_FD_2.RemStActvSts = 00
EC3: System Voltage - 10V to 16V
EC4: Network Configuration Status -CAN Node ID 53 (SCCM)= Present(0x01)
EC5: Bus Physical Status - No Bus physical/ Bus Off DTC </t>
    </r>
    <r>
      <rPr>
        <b/>
        <sz val="8"/>
        <color rgb="FF000000"/>
        <rFont val="Arial"/>
        <family val="2"/>
      </rPr>
      <t>C1</t>
    </r>
    <r>
      <rPr>
        <sz val="8"/>
        <color rgb="FF000000"/>
        <rFont val="Arial"/>
        <family val="2"/>
      </rPr>
      <t xml:space="preserve"> Active
EC7: Enable Condition Timer - 5 seconds</t>
    </r>
  </si>
  <si>
    <t>The BCM detects a valid value of STEERING_COLUMN_.Message_Counter_SC OR STEERING_COLUMN_.CRC_SC</t>
  </si>
  <si>
    <t>The BCM detects an valid value of STEERING_COLUMN_.Message_Counter_SC and STEERING_COLUMN_.CRC_</t>
  </si>
  <si>
    <t>U043A-00</t>
  </si>
  <si>
    <t>Invalid Data Received From Active Damping Control Module-</t>
  </si>
  <si>
    <t>Malfunctioning of ADCM</t>
  </si>
  <si>
    <t>EC1: Ignition Status - IGN_RUN or IGN_START and BCM_FD_2.RemStActvSts = 00
EC3: System Voltage - 10V to 16V
EC4: Network Configuration Status - CAN node 37 (DCM/ADCM) = Present(0x01)
EC5: Bus Physical Status - No Bus physical/ Bus Off  FD2 Active
EC7: Enable Condition Timer - 5 seconds</t>
  </si>
  <si>
    <t>The BCM detects an invalid value of ASCM_FD_2.CRC_ASCM2 OR ASCM_FD_2.MessageCounter_ASCM2</t>
  </si>
  <si>
    <t>The BCM detects a valid value of ASCM_FD_2.CRC_ASCM2 and ASCM_FD_2.MessageCounter_ASCM2</t>
  </si>
  <si>
    <t>U0440-00</t>
  </si>
  <si>
    <t xml:space="preserve">Invalid Data Received From Pedestrian Alert Control Module- </t>
  </si>
  <si>
    <t>VF371_V1 ID2.0</t>
  </si>
  <si>
    <t>Malfunctioning Pedestrian Alert Control Module</t>
  </si>
  <si>
    <t>Replace or Repair Pedestrian Alert Control Module</t>
  </si>
  <si>
    <t xml:space="preserve">EC1: Ignition Status - IGN_RUN
EC3: System Voltage - 10V to 16V
EC5: Bus Physical Status - No Bus physical/ Bus Off DTC LIN3 Active
EC6: I/O Device Configuration Status – Car_Configuration_36.QVPM_Configuration != Absent 
EC7: Enable Condition Timer - 5 sec
</t>
  </si>
  <si>
    <t>CBC_QVPM2_REQ_GLOBAL.Gear_Pos != P;
QVPM2_Veh_Speed between 0 to 20 km/h (NON-NAFTA) or 0 to 30km/h (NAFTA) AND
QVPM2_STAT_GLOBAL.QVPM2_Sts = 1</t>
  </si>
  <si>
    <t>QVPM2_STAT_GLOBAL.QVPM2_Sts != 1</t>
  </si>
  <si>
    <r>
      <rPr>
        <b/>
        <sz val="8"/>
        <color rgb="FF4F81BD"/>
        <rFont val="Arial"/>
        <family val="2"/>
      </rPr>
      <t>VF371 ID 2.0</t>
    </r>
    <r>
      <rPr>
        <sz val="8"/>
        <color rgb="FF000000"/>
        <rFont val="Arial"/>
        <family val="2"/>
      </rPr>
      <t xml:space="preserve"> 27KM
{
set the BCM_FD_11.AVASFail = Fail_Present
}</t>
    </r>
  </si>
  <si>
    <t>U044A-00</t>
  </si>
  <si>
    <t>Implausible Data Received from Security Gateway-</t>
  </si>
  <si>
    <t>VF439_V3
VF439_V6</t>
  </si>
  <si>
    <t>* VF439_V3 ID1.0 (LB)
* VF439_V3 ID2.0
* VF439_V6 ID 5.0</t>
  </si>
  <si>
    <t>Malfunctioning SGW</t>
  </si>
  <si>
    <t>Repair or replace SGW</t>
  </si>
  <si>
    <t>EC1: Ignition Status - IGN_RUN or IGN_START and BCM_FD_2.RemStActvSts = 00
EC3: System Voltage - 10V to 16V
EC5: Bus Physical Status - No Bus physical/ Bus Off DTC FD3 Active
EC7: Enable Condition Timer - 5 seconds</t>
  </si>
  <si>
    <t>FAULT1 - FD-CAN3.TELEMATIC_FD_5.GlobDrvMdRq == SNA
FAULT2 - FD_CAN3.TELEMATIC_FD_14.Trns_DrvMdReq == SNA</t>
  </si>
  <si>
    <r>
      <rPr>
        <sz val="8"/>
        <color rgb="FF000000"/>
        <rFont val="Arial"/>
        <family val="2"/>
      </rPr>
      <t>* FAULT1 - FD-CAN</t>
    </r>
    <r>
      <rPr>
        <b/>
        <sz val="8"/>
        <color rgb="FF000000"/>
        <rFont val="Arial"/>
        <family val="2"/>
      </rPr>
      <t>3</t>
    </r>
    <r>
      <rPr>
        <sz val="8"/>
        <color rgb="FF000000"/>
        <rFont val="Arial"/>
        <family val="2"/>
      </rPr>
      <t>.TELEMATIC_FD_5.GlobDrvMdRq != SNA
* FAULT2 - FD_CAN</t>
    </r>
    <r>
      <rPr>
        <b/>
        <sz val="8"/>
        <color rgb="FF000000"/>
        <rFont val="Arial"/>
        <family val="2"/>
      </rPr>
      <t>3</t>
    </r>
    <r>
      <rPr>
        <sz val="8"/>
        <color rgb="FF000000"/>
        <rFont val="Arial"/>
        <family val="2"/>
      </rPr>
      <t>.TELEMATIC_FD_14.Trns_DrvMdReq != SNA</t>
    </r>
  </si>
  <si>
    <r>
      <rPr>
        <sz val="8"/>
        <color rgb="FF000000"/>
        <rFont val="Arial"/>
        <family val="2"/>
      </rPr>
      <t xml:space="preserve">*FAULT1:
</t>
    </r>
    <r>
      <rPr>
        <b/>
        <sz val="8"/>
        <color theme="4"/>
        <rFont val="Arial"/>
        <family val="2"/>
      </rPr>
      <t>VF439_V3 ID1.0</t>
    </r>
    <r>
      <rPr>
        <b/>
        <sz val="8"/>
        <color rgb="FF000000"/>
        <rFont val="Arial"/>
        <family val="2"/>
      </rPr>
      <t xml:space="preserve">
</t>
    </r>
    <r>
      <rPr>
        <sz val="8"/>
        <color rgb="FF000000"/>
        <rFont val="Arial"/>
        <family val="2"/>
      </rPr>
      <t xml:space="preserve">BCM shall,
- Ignore TELEMATIC_FD_5.GlobDrvMdRq signal.
</t>
    </r>
  </si>
  <si>
    <t>24LB</t>
  </si>
  <si>
    <t>U0455-00</t>
  </si>
  <si>
    <t>Implausible Data Received From Occupant Classification Module-</t>
  </si>
  <si>
    <t>EC1: Ignition Status - IGN_RUN and BCM_FD_2.RemStActvSts = 00
EC3: System Voltage - 10V to 16V
EC4: Network Configuration Status - CAN node 78 (OCM)  = Present(0x01)
EC5: Bus Physical Status - No (Bus physical/ Bus Off CCAN DTC Active)
EC7: Enable Condition Timer - 5 seconds</t>
  </si>
  <si>
    <t>* C-CAN1.STATUS_OCM
has DLC less than specified in DBC file:</t>
  </si>
  <si>
    <t>C-CAN1.STATUS_OCM
Message received with correct DLC</t>
  </si>
  <si>
    <t>U045A-00</t>
  </si>
  <si>
    <t>Implausible Data Received From Parking Assist Module-</t>
  </si>
  <si>
    <t>Malfunctioning (PAM/CVADAS)</t>
  </si>
  <si>
    <t xml:space="preserve">Repair or replace (PAM/CVADAS) </t>
  </si>
  <si>
    <t>EC1: Ignition Status - IGN_RUN and BCM_FD_2.RemStActvSts = 00
EC3: System Voltage - 10V to 16V
EC4: Network Configuration Status - Can configuration.CAN Node ID 24 (PAM/CVADAS) = Present(0x01)
EC5: Bus Physical Status - No Bus physical/ Bus Off DTC FD2 Active
EC7: Enable Condition Timer - 5 seconds</t>
  </si>
  <si>
    <t>* FD-CAN2.CVPAM_FD_Control or
FD-CAN2.CVPAM_FD_Info
have DLC less than specified in DBC file:</t>
  </si>
  <si>
    <t>* FD-CAN2.CVPAM_FD_Control and
FD-CAN2.CVPAM_FD_Info received with correct DLC</t>
  </si>
  <si>
    <t>U045D-00</t>
  </si>
  <si>
    <t>Invalid Data Received From Automated Driving System Control Module "A"-</t>
  </si>
  <si>
    <t>VF533</t>
  </si>
  <si>
    <t>VF533_V7 ID 36.0
CS0099 CRC and MC</t>
  </si>
  <si>
    <t>Malfunctioning MPAD/ADCAM</t>
  </si>
  <si>
    <t>Repair or replace MPAD/ADCAM</t>
  </si>
  <si>
    <t>EC1: Ignition Status - IGN_RUN and BCM_FD_2.RemStActvSts = 00
EC3: System Voltage – 10V to 16V
EC4: Network Configuration Status - Can configuration.CAN Node 34 (MPAD))= Present(0x01) or CAN Node 28(ADCAM)
EC5: Bus Physical Status - No Bus physical/ Bus Off DTC FD3 Active
EC7: Enable Condition Timer - 5 seconds</t>
  </si>
  <si>
    <t>Fault 1:
* FD-CAN3.ADAS_FD_INFO
has DLC less than specified in DBC file:
Fault 2(KM &amp; EJ):
BCM detects ADAS_FD_HMI.RRCC_LEDSts = "SNA"
Fault3:
Internal signal BCM_CRC_MCFailSts.Info = "ADAS_FD_HMI_MC_Fail" OR BCM_CRC_MCFailSts.Info = "ADAS_FD_HMI_CRC_Fail"</t>
  </si>
  <si>
    <t>Fault 1:
Message received with correct DLC
Fault 2(KM &amp; EJ):
BCM detects ADAS_FD_HMI.RRCC_LEDSts != "SNA"
Fault3:
Internal signal BCM_CRC_MCFailSts.Info != "ADAS_FD_HMI_MC_Fail" AND BCM_CRC_MCFailSts.Info != "ADAS_FD_HMI_CRC_Fail"</t>
  </si>
  <si>
    <t xml:space="preserve">25KM
26LB
25EJ
26KM
26EJ
</t>
  </si>
  <si>
    <t>U0470-00</t>
  </si>
  <si>
    <t xml:space="preserve">Implausible Data Received From Automated Driving System Control Module "C"-
</t>
  </si>
  <si>
    <t>Malfunctioning MPAD2</t>
  </si>
  <si>
    <t>Repair or replace MPAD2</t>
  </si>
  <si>
    <t>EC1: Ignition Status - IGN_RUN and BCM_FD_2.RemStActvSts = 00
EC3: System Voltage - 10V to 16V
EC4: Network Configuration Status - Can configuration.CAN node 61 (CADM2) OR CAN node 38 (MPAD2) = Present(0x01)
EC5: Bus Physical Status - No Bus physical/ Bus Off DTC FD2 Active
EC7: Enable Condition Timer - 5 seconds</t>
  </si>
  <si>
    <t>* FD-CAN2.ADAS_FD_INFO_C2
has DLC less than specified in DBC file:</t>
  </si>
  <si>
    <t xml:space="preserve">
Message received with correct DLC</t>
  </si>
  <si>
    <t>U0484-00</t>
  </si>
  <si>
    <t>Implausible Data Received From Smart Lighting Module Rear Right 1-</t>
  </si>
  <si>
    <t>VF057
VF247</t>
  </si>
  <si>
    <t xml:space="preserve">VF057 ID 9.0
VF247_V1 ID 23.0
</t>
  </si>
  <si>
    <t>Malfunctioning Front Right Smart Lighting Module</t>
  </si>
  <si>
    <t>EC1: Ignition Status - IGN_RUN
EC3: System Voltage - 10V to 16V
EC4: Network Configuration Status - Additional_Tail_Light = Present
EC5: Bus Physical Status - No Bus physical/ Bus Off DTC LIN 8 Active
EC7: Enable Condition Timer - 5 Seconds</t>
  </si>
  <si>
    <t>Fault Detection Condtion: SLMRR_A1.RH_BSA_Lamp_Outage_Signal = Faulted</t>
  </si>
  <si>
    <t>Healing Condtion:
SLMRR_A1.RH_BSA_Lamp_Outage_Signal = No Faults</t>
  </si>
  <si>
    <r>
      <rPr>
        <b/>
        <sz val="8"/>
        <color rgb="FF4F81BD"/>
        <rFont val="Arial"/>
        <family val="2"/>
      </rPr>
      <t xml:space="preserve">VF057 ID 9.0
</t>
    </r>
    <r>
      <rPr>
        <b/>
        <sz val="8"/>
        <color rgb="FF1F497D"/>
        <rFont val="Arial"/>
        <family val="2"/>
      </rPr>
      <t xml:space="preserve">{
</t>
    </r>
    <r>
      <rPr>
        <sz val="8"/>
        <color rgb="FF000000"/>
        <rFont val="Arial"/>
        <family val="2"/>
      </rPr>
      <t xml:space="preserve">KM, LB &amp; EJ
  FD-CAN2 signal BCM_FD_9.StopLightFault = True
  FD-CAN3 signal BCM_FD_9.StopLightFault = True
</t>
    </r>
    <r>
      <rPr>
        <b/>
        <sz val="8"/>
        <color rgb="FF4F81BD"/>
        <rFont val="Arial"/>
        <family val="2"/>
      </rPr>
      <t xml:space="preserve">KM
{
</t>
    </r>
    <r>
      <rPr>
        <sz val="8"/>
        <color rgb="FF000000"/>
        <rFont val="Arial"/>
        <family val="2"/>
      </rPr>
      <t xml:space="preserve">BCM shall set internal signal RStopTurnLightFLT = SET
</t>
    </r>
    <r>
      <rPr>
        <b/>
        <sz val="8"/>
        <color rgb="FF4F81BD"/>
        <rFont val="Arial"/>
        <family val="2"/>
      </rPr>
      <t>}</t>
    </r>
  </si>
  <si>
    <t xml:space="preserve">KM
LB
EJ
26LB
26KM
26EJ
</t>
  </si>
  <si>
    <t>U0487-00</t>
  </si>
  <si>
    <t>Implausible Data Received From Audio Amplifier-</t>
  </si>
  <si>
    <t>* BH-CAN.STATUS_AMP
has DLC less than specified in DBC file:</t>
  </si>
  <si>
    <t>BH-CAN.STATUS_AMP
Message received with correct DLC</t>
  </si>
  <si>
    <t>U0492-00</t>
  </si>
  <si>
    <t>Implausible Data Received from Digital Television Module-</t>
  </si>
  <si>
    <t>EC1: Ignition Status - IGN_RUN and BCM_FD_2.RemStActvSts = 00
EC3: System Voltage - 10V to 16V
EC4: Network Configuration Status - Can configuration CAN node  CAN node 100 (DTV)= Present(0x01))
EC5: Bus Physical Status - No Bus physical/ Bus Off DTC  FDCAN3
EC7: Enable Condition Timer - 5 seconds</t>
  </si>
  <si>
    <t>* PDC_INFO_FD_DTV
has DLC less than specified in DBC file:</t>
  </si>
  <si>
    <t>PDC_INFO_FD_DTV
Message received with correct DLC</t>
  </si>
  <si>
    <t>U0499-00</t>
  </si>
  <si>
    <t>Invalid Data Received From Telematic Control Module "A"-</t>
  </si>
  <si>
    <t>EC1: Ignition Status - IGN_RUN and BCM_FD_2.RemStActvSts = 00
EC3: System Voltage - 10V to 16V
EC4: Network Configuration Status - Can configuration  CAN node 35 (TBM/FTM/RTCU)= Present(0x01) 
EC5: Bus Physical Status - No Bus physical/ Bus Off DTC  FDCAN3
EC7: Enable Condition Timer - 5 seconds</t>
  </si>
  <si>
    <t>Fault 1: * TBM_SCHEDULE_FD_2
has DLC less than specified in DBC file:
Fault2: LB and KM
The BCM detects an invalid value of 
TBM_SCHEDULE_FD_2.Message_Counter__TBMS2  or
TBM_SCHEDULE_FD_2.CRC__TBMS2 or</t>
  </si>
  <si>
    <t>Fault1: TBM_SCHEDULE_FD_2
Message received with correct DLC
Fault2: LB and KM
The BCM detects a valid value of 
TBM_SCHEDULE_FD_2.Message_Counter__TBMS2  or
TBM_SCHEDULE_FD_2.CRC__TBMS2 or</t>
  </si>
  <si>
    <t>U049A-00</t>
  </si>
  <si>
    <t>Implausible Data Received from Driver Door Module-</t>
  </si>
  <si>
    <t>EC1: Ignition Status - IGN_RUN and BCM_FD_2.RemStActvSts = 00
EC3: System Voltage - 10V to 16V
EC4: Network Configuration Status - CAN node 8 (DDM/DMM/FDM/UDM) = Present(0x01)
EC5: Bus Physical Status - No (Bus physical/ Bus Off BHCAN DTC Active)
EC7: Enable Condition Timer - 5 seconds</t>
  </si>
  <si>
    <t>* BH-CAN.DRIVER_DOOR
has DLC less than specified in DBC file:</t>
  </si>
  <si>
    <t>* BH-CAN.DRIVER_DOOR
Message received with correct DLC</t>
  </si>
  <si>
    <t>U04B5-00</t>
  </si>
  <si>
    <t>Invalid Data Received from Brake System Control Module 2-</t>
  </si>
  <si>
    <t>Malfunctioning of BSM2</t>
  </si>
  <si>
    <t>Repair or replace BSM2</t>
  </si>
  <si>
    <r>
      <rPr>
        <sz val="8"/>
        <color rgb="FF000000"/>
        <rFont val="Arial"/>
        <family val="2"/>
      </rPr>
      <t xml:space="preserve">EC1: Ignition Status - IGN_RUN or IGN_START and BCM_FD_2.RemStActvSts = 00
EC3: System Voltage - 10V to 16V
EC4: Network Configuration Status -CAN Node  62 (BSM2)= Present(0x01)
EC5: Bus Physical Status - No (Bus physical/ Bus Off </t>
    </r>
    <r>
      <rPr>
        <b/>
        <sz val="8"/>
        <color rgb="FF000000"/>
        <rFont val="Arial"/>
        <family val="2"/>
      </rPr>
      <t>(FDCAN2)</t>
    </r>
    <r>
      <rPr>
        <sz val="8"/>
        <color rgb="FF000000"/>
        <rFont val="Arial"/>
        <family val="2"/>
      </rPr>
      <t xml:space="preserve"> 
EC7: Enable Condition Timer - 5 seconds</t>
    </r>
  </si>
  <si>
    <t xml:space="preserve">The BCM detects an invalid value of BRAKE2_FD_1.Message_Counter_BRAKE2_1 OR
BRAKE2_FD_2.Message_Counter_BRAKE2_2 OR 
BRAKE2_FD_1.CRC_BRAKE2_1 OR
BRAKE2_FD_2.CRC_BRAKE2_2
</t>
  </si>
  <si>
    <t xml:space="preserve">The BCM detects a valid value of BRAKE2_FD_1.Message_Counter_BRAKE2_1 AND
BRAKE2_FD_2.Message_Counter_BRAKE2_2 AND BRAKE2_FD_1.CRC_BRAKE2_1 AND
BRAKE2_FD_2.CRC_BRAKE2_2
</t>
  </si>
  <si>
    <t>U04EC-00</t>
  </si>
  <si>
    <t>Implausible Data Received From Key Control Module-</t>
  </si>
  <si>
    <t>Malfunctioning Digital  Key Control Module</t>
  </si>
  <si>
    <t>Repair or replace SPAAK</t>
  </si>
  <si>
    <r>
      <rPr>
        <sz val="8"/>
        <color rgb="FF000000"/>
        <rFont val="Arial"/>
        <family val="2"/>
      </rPr>
      <t xml:space="preserve">EC1: Ignition Status - IGN_RUN and BCM_FD_2.RemStActvSts = 00
EC3: System Voltage - 10V to 16V
EC4: Network Configuration Status - Can configuration.CAN Node ID 40 = Present(0x01)
EC5: Bus Physical Status - No Bus physical/ Bus Off DTC </t>
    </r>
    <r>
      <rPr>
        <b/>
        <sz val="8"/>
        <color rgb="FF000000"/>
        <rFont val="Arial"/>
        <family val="2"/>
      </rPr>
      <t xml:space="preserve">FD1 </t>
    </r>
    <r>
      <rPr>
        <sz val="8"/>
        <color rgb="FF000000"/>
        <rFont val="Arial"/>
        <family val="2"/>
      </rPr>
      <t>Active
EC7: Enable Condition Timer - 5 seconds</t>
    </r>
  </si>
  <si>
    <t>* FD-CAN1.PDC_INFO_FD_SPAAK
has DLC less than specified in DBC file.</t>
  </si>
  <si>
    <t>U0501-00</t>
  </si>
  <si>
    <t>Implausible Data Received from Passenger Door Module-</t>
  </si>
  <si>
    <t>EC1: Ignition Status - IGN_RUN and BCM_FD_2.RemStActvSts = 00
EC3: System Voltage - 10V to 16V
EC4: Network Configuration Status - CAN Node ID 17 (PDM) = Present(0x01)
EC5: Bus Physical Status - No (Bus physical/ Bus Off DTC BHCAN Active)
EC7: Enable Condition Timer - 5 seconds</t>
  </si>
  <si>
    <t>* BH-CAN.PASS_DOOR
has DLC less than specified in DBC file:</t>
  </si>
  <si>
    <t>* BH-CAN.PASS_DOOR
Message received with correct DLC</t>
  </si>
  <si>
    <t>U0507-00</t>
  </si>
  <si>
    <t>Invalid Data Received From Power Top Control Module-</t>
  </si>
  <si>
    <t>EC1: Ignition Status - IGN_RUN and BCM_FD_2.RemStActvSts = 00
EC3: System Voltage - 10V to 16V
EC4: Network Configuration Status - CAN node 101 (PTCM)= Present(0x01)
EC5: Bus Physical Status - No (Bus physical/ Bus Off BHCAN DTC Active)
EC7: Enable Condition Timer - 5 seconds</t>
  </si>
  <si>
    <t>* BH-CAN.PTCM_1
has DLC less than specified in DBC file:</t>
  </si>
  <si>
    <t>* BH-CAN.PTCM_1
Message received with correct DLC</t>
  </si>
  <si>
    <t>U0531-00</t>
  </si>
  <si>
    <t>Implausible Data Received from Power Liftgate Module-</t>
  </si>
  <si>
    <t>EC1: Ignition Status - IGN_RUN and BCM_FD_2.RemStActvSts = 00
EC3: System Voltage - 10V to 16V
EC4: Network Configuration Status - CAN node 122 (PHM) = Present(0x01)
EC5: Bus Physical Status - No (Bus physical/ Bus Off BHCAN DTC FD Active)
EC7: Enable Condition Timer - 5 seconds</t>
  </si>
  <si>
    <t>* BH-CAN.PLGM_A1
has DLC less than specified in DBC file:</t>
  </si>
  <si>
    <t>BH-CAN.PLGM_A1
Message received with correct DLC</t>
  </si>
  <si>
    <t>U054B-00</t>
  </si>
  <si>
    <t>Implausible Data Received From Ambient Light Module-</t>
  </si>
  <si>
    <t>Malfunctioning Ambient Light
Module</t>
  </si>
  <si>
    <t>Repair or replace Ambient Light
Module</t>
  </si>
  <si>
    <t>EC1: Ignition Status - IGN_RUN and BCM_FD_2.RemStActvSts = 00
EC3: System Voltage - 10V to 16V
EC4: Network Configuration Status - CAN node 90 (ALM)  = Present(0x01)
EC5: Bus Physical Status - No (Bus physical/ Bus Off BHCAN DTC Active)
EC7: Enable Condition Timer - 5 seconds</t>
  </si>
  <si>
    <t>* BH-CAN.CFG_DATA_CODE_RSP_ALM
has DLC less than specified in DBC file:</t>
  </si>
  <si>
    <t>BH-CAN.CFG_DATA_CODE_RSP_ALM
Message received with correct DLC</t>
  </si>
  <si>
    <t xml:space="preserve">
25LB
25EJ
26KM49
26LB
26EJ
</t>
  </si>
  <si>
    <t>U0556-8B</t>
  </si>
  <si>
    <t>Invalid Data Received From Front Display Interface Module-Invalid Message Structure / Length</t>
  </si>
  <si>
    <t>EC1: Ignition Status - IGN_RUN and BCM_FD_2.RemStActvSts = 00
EC3: System Voltage - 10V to 16V
EC4: Network Configuration Status - Can configuration CAN node CAN node 123 (MIM)= Present(0x01) 
EC5: Bus Physical Status - No Bus physical/ Bus Off DTC  FDCAN3
EC7: Enable Condition Timer - 5 seconds</t>
  </si>
  <si>
    <t>* FD-CAN3.PDC_INFO_FD_MIM
has DLC less than specified in DBC file:</t>
  </si>
  <si>
    <t>FD-CAN3.PDC_INFO_FD_MIM
Message received with correct DLC</t>
  </si>
  <si>
    <t>U0574-00</t>
  </si>
  <si>
    <t>Invalid Data Received From Smart Lighting Module Left-</t>
  </si>
  <si>
    <t>VF015_V1</t>
  </si>
  <si>
    <t>VF015_V1 ID 7.0</t>
  </si>
  <si>
    <t>EC1: Ignition Status - IGN_RUN
EC2: Local Voltage – 9V to 16V
EC4: Network Configuration Status - 
CAN node 29 (AFLM/SLML)  = Present(0x01) 
EC5: Bus Physical Status - No Bus physical/ Bus Off DTC FD4 Active
EC7: Enable Condition Timer - 5 seconds</t>
  </si>
  <si>
    <t>SLML_STATUS_FD.AFLMSts_L= Fault</t>
  </si>
  <si>
    <t>SLML_STATUS_FD.AFLMSts_L  != Fault</t>
  </si>
  <si>
    <r>
      <rPr>
        <b/>
        <sz val="8"/>
        <color theme="4"/>
        <rFont val="Arial"/>
        <family val="2"/>
      </rPr>
      <t xml:space="preserve">VF015_V1 ID 7.0
{
</t>
    </r>
    <r>
      <rPr>
        <sz val="8"/>
        <color rgb="FF000000"/>
        <rFont val="Arial"/>
        <family val="2"/>
      </rPr>
      <t xml:space="preserve">AFLM_A1.AFLM_Fault == Present
</t>
    </r>
    <r>
      <rPr>
        <b/>
        <sz val="8"/>
        <color theme="4"/>
        <rFont val="Arial"/>
        <family val="2"/>
      </rPr>
      <t>}</t>
    </r>
  </si>
  <si>
    <t>U0575-00</t>
  </si>
  <si>
    <t>Invalid Data Received From Smart Lighting Module Right-</t>
  </si>
  <si>
    <t>VF015_V1 ID8.0</t>
  </si>
  <si>
    <r>
      <rPr>
        <sz val="8"/>
        <color rgb="FF000000"/>
        <rFont val="Arial"/>
        <family val="2"/>
      </rPr>
      <t>EC1: Ignition Status - IGN_RUN
EC3: System Voltage – 10V to 16V
EC4: Network Configuration Status -
CAN Node ID 126 (SLMR</t>
    </r>
    <r>
      <rPr>
        <b/>
        <sz val="8"/>
        <color rgb="FF000000"/>
        <rFont val="Arial"/>
        <family val="2"/>
      </rPr>
      <t xml:space="preserve">) </t>
    </r>
    <r>
      <rPr>
        <sz val="8"/>
        <color rgb="FF000000"/>
        <rFont val="Arial"/>
        <family val="2"/>
      </rPr>
      <t xml:space="preserve"> = Present(0x01)
EC5: Bus Physical Status - No Bus physical/ Bus Off DTC FD4 Active
EC7: Enable Condition Timer - 5 seconds</t>
    </r>
  </si>
  <si>
    <t>SLMR_STATUS_FD.AFLMSts_R= Fault</t>
  </si>
  <si>
    <t xml:space="preserve">
SLMR_STATUS_FD.AFLMSts_R!= Fault</t>
  </si>
  <si>
    <r>
      <rPr>
        <b/>
        <sz val="8"/>
        <color theme="4"/>
        <rFont val="Arial"/>
        <family val="2"/>
      </rPr>
      <t xml:space="preserve">VF015_V1 ID8.0: 
{  
</t>
    </r>
    <r>
      <rPr>
        <sz val="8"/>
        <color rgb="FF000000"/>
        <rFont val="Arial"/>
        <family val="2"/>
      </rPr>
      <t xml:space="preserve">  AFLM_A1.AFLM_Fault = Present
</t>
    </r>
    <r>
      <rPr>
        <b/>
        <sz val="8"/>
        <color theme="4"/>
        <rFont val="Arial"/>
        <family val="2"/>
      </rPr>
      <t>}</t>
    </r>
  </si>
  <si>
    <t>U0576-00</t>
  </si>
  <si>
    <t>Implausible Data Received From Smart Lighting Module Grille-</t>
  </si>
  <si>
    <t xml:space="preserve">FD_CAN4.PDC_INFO_FD_SLMG
has DLC less than specified in DBC </t>
  </si>
  <si>
    <t xml:space="preserve">Message received with correct DLC 
</t>
  </si>
  <si>
    <t>U057E-00</t>
  </si>
  <si>
    <t>IImplausible Data Received From Driver Seat Control Switch Module-</t>
  </si>
  <si>
    <t>EC1: Ignition Status - IGN_RUN and BCM_FD_2.RemStActvSts = 00
EC3: System Voltage - 10V to 16V
EC4: Network Configuration Status - CAN node 18 (DSM) = Present(0x01)
EC5: Bus Physical Status - No (Bus physical/ Bus Off  BHCAN DTC Active)
EC7: Enable Condition Timer - 5 seconds</t>
  </si>
  <si>
    <t>* BH-CAN.MEM_SEAT1
has DLC less than specified in DBC file:</t>
  </si>
  <si>
    <t>BH-CAN.MEM_SEAT1
Message received with correct DLC</t>
  </si>
  <si>
    <t>U057F-00</t>
  </si>
  <si>
    <t>Implausible Data Received From Passenger Seat Control Switch Module-</t>
  </si>
  <si>
    <t>EC1: Ignition Status - IGN_RUN and BCM_FD_2.RemStActvSts = 00
EC3: System Voltage - 10V to 16V
EC4: Network Configuration Status - CAN node 23 (PSM) = Present(0x01)
EC5: Bus Physical Status -No (Bus physical/ Bus Off DTC BHCAN Active)
EC7: Enable Condition Timer - 5 seconds</t>
  </si>
  <si>
    <t>* BH-CAN.CFG_DATA_CODE_RSP_PSM
has DLC less than specified in DBC file:</t>
  </si>
  <si>
    <t>BH-CAN.CFG_DATA_CODE_RSP_PSM
Message received with correct DLC</t>
  </si>
  <si>
    <t xml:space="preserve">25KM
25LB
26KM
26LB
</t>
  </si>
  <si>
    <t>U0592-00</t>
  </si>
  <si>
    <t xml:space="preserve">Invalid Data Received From Gear Shift Control Module "B"-
</t>
  </si>
  <si>
    <t>Malfunctioning AGSM</t>
  </si>
  <si>
    <t>Repair or replace AGSM</t>
  </si>
  <si>
    <t>EC1: Ignition Status - IGN_RUN and BCM_FD_2.RemStActvSts = 00
EC3: System Voltage - 10V to 16V
EC4: Network Configuration Status - Can configuration.CAN Node ID 22 = Present(0x01)
EC5: Bus Physical Status - No Bus physical/ Bus Off DTC FD3 Active
EC7: Enable Condition Timer - 5 seconds</t>
  </si>
  <si>
    <t>* FD-CAN3.AGSM_FD_2
has DLC less than specified in DBC file:</t>
  </si>
  <si>
    <t>U05B4-00</t>
  </si>
  <si>
    <t>Invalid Data Received From Driver Monitoring System Module-</t>
  </si>
  <si>
    <t>Malfunctioning of DMSM</t>
  </si>
  <si>
    <t>Repair or replace DMSM</t>
  </si>
  <si>
    <t>EC1: Ignition Status - IGN_RUN or IGN_START and BCM_FD_2.RemStActvSts = 00
EC3: System Voltage - 10V to 16V
EC4: Network Configuration Status -CAN Node  75 (DMSM)= Present(0x01)
EC5: Bus Physical Status - No (Bus physical/ Bus Off FDCAN3
EC7: Enable Condition Timer - 5 seconds</t>
  </si>
  <si>
    <t xml:space="preserve">FD-CAN3.DRV_MONITOR1_FD
has DLC less than specified in DBC 
</t>
  </si>
  <si>
    <t xml:space="preserve">25KM
26KM
25EJ
26EJ
</t>
  </si>
  <si>
    <t>U05B5-00</t>
  </si>
  <si>
    <t>Invalid Data Received From Front Radar Module "A"-</t>
  </si>
  <si>
    <t>Malfunctioning LRRF</t>
  </si>
  <si>
    <t>Repair or replace LRRF</t>
  </si>
  <si>
    <t>*FD_CAN1.PDC_INFO_FD_LRRF 
has DLC less than specified in DBC file:</t>
  </si>
  <si>
    <t>U05BD-00</t>
  </si>
  <si>
    <t>Invalid Data Received From Localization and Mapping Module-</t>
  </si>
  <si>
    <t>Malfunctioning of GNMM</t>
  </si>
  <si>
    <t>Repair or replace GNMM</t>
  </si>
  <si>
    <t>EC1: Ignition Status - IGN_RUN or IGN_START and BCM_FD_2.RemStActvSts = 00
EC3: System Voltage - 10V to 16V
EC4: Network Configuration Status -CAN Node  60 (GNMM) = Present(0x01)
EC5: Bus Physical Status - No (Bus physical/ Bus Off FDCAN3) 
EC7: Enable Condition Timer - 5 seconds</t>
  </si>
  <si>
    <t xml:space="preserve">The BCM detects an invalid value of GLOB_NAV_FD.MessageCounter_GLOB_NAV
OR 
GLOB_NAV_FD.CRC_GLOB_NAV
</t>
  </si>
  <si>
    <t xml:space="preserve">The BCM detects a valid value of GLOB_NAV_FD.MessageCounter_GLOB_NAV 
and 
GLOB_NAV_FD.CRC_GLOB_NAV
</t>
  </si>
  <si>
    <t>U05BE-00</t>
  </si>
  <si>
    <t>Invalid Data Received From Night Vision Control Module-</t>
  </si>
  <si>
    <t>EC1: Ignition Status - IGN_RUN
EC3: System Voltage - 10V to 16V
EC4: Network Configuration Status - CAN Node 79 (NVPM)= Present(0x01)
EC5: Bus Physical Status - No (Bus physical/ Bus Off CCAN DTC Active)
EC7: Enable Condition Timer - 5 seconds</t>
  </si>
  <si>
    <t>C-CAN1.NIGHT_VISION missing message
has DLC less than specified in DBC file:</t>
  </si>
  <si>
    <t>C-CAN1.NIGHT_VISION missing message
Message received with correct DLC</t>
  </si>
  <si>
    <t>KM
26KM49</t>
  </si>
  <si>
    <t>U06A9-00</t>
  </si>
  <si>
    <t xml:space="preserve">Lost Communication with Smart Lighting Module Rear Left 1-
</t>
  </si>
  <si>
    <t>* VF247_V1 ID 22.0
* VF051_V1 ID 8.0</t>
  </si>
  <si>
    <t>* LIN8:SLMRL_A1
Message Missing</t>
  </si>
  <si>
    <r>
      <rPr>
        <sz val="8"/>
        <color rgb="FF1F497D"/>
        <rFont val="Arial"/>
        <family val="2"/>
      </rPr>
      <t xml:space="preserve">
</t>
    </r>
    <r>
      <rPr>
        <b/>
        <sz val="8"/>
        <color theme="4"/>
        <rFont val="Arial"/>
        <family val="2"/>
      </rPr>
      <t xml:space="preserve">VF051 ID8.0 </t>
    </r>
    <r>
      <rPr>
        <b/>
        <sz val="8"/>
        <color rgb="FF1F497D"/>
        <rFont val="Arial"/>
        <family val="2"/>
      </rPr>
      <t xml:space="preserve">
{
</t>
    </r>
    <r>
      <rPr>
        <sz val="8"/>
        <color rgb="FF000000"/>
        <rFont val="Arial"/>
        <family val="2"/>
      </rPr>
      <t xml:space="preserve">     - Until BCM_FD_2.TurnEvent_Indication != Left
       BCM shall double the frequency of BCM_FD_26.R_TurnCluster.
       BCM_FD_26.RRTurnLampFault = SET.
</t>
    </r>
    <r>
      <rPr>
        <b/>
        <sz val="8"/>
        <color rgb="FF1F497D"/>
        <rFont val="Arial"/>
        <family val="2"/>
      </rPr>
      <t>}</t>
    </r>
  </si>
  <si>
    <t xml:space="preserve">KM
LB
EJ
26KM49
26LB
26EJ
</t>
  </si>
  <si>
    <t>U1008-00</t>
  </si>
  <si>
    <t>LIN 1 Bus-</t>
  </si>
  <si>
    <t>Modules on LIN bus not responsive</t>
  </si>
  <si>
    <t>EC1: Ignition Status - IGN_RUN
EC3: System Voltage - 10V to 16V
EC6: I/O Device Configuration Status – Always True
EC7: Enable Condition Timer - 1 seconds</t>
  </si>
  <si>
    <t>All LIN 1 BUS slave messages missing for the defined mature time</t>
  </si>
  <si>
    <t>Any LIN 1 BUS slave message received.</t>
  </si>
  <si>
    <t>U1009-00</t>
  </si>
  <si>
    <t>LIN 2 Bus-</t>
  </si>
  <si>
    <t>All LIN 2 BUS slave messages missing for the defined mature time</t>
  </si>
  <si>
    <t>Any LIN 2 BUS slave message received.</t>
  </si>
  <si>
    <t>U102B-00</t>
  </si>
  <si>
    <t>High Speed FD-CAN1 Communication Bus Performance-</t>
  </si>
  <si>
    <r>
      <rPr>
        <sz val="8"/>
        <color rgb="FF000000"/>
        <rFont val="Arial"/>
        <family val="2"/>
      </rPr>
      <t xml:space="preserve">EC1: Ignition Status - IGN_RUN
EC3: System Voltage - 10V to 16V
EC7: Enable Condition Timer - </t>
    </r>
    <r>
      <rPr>
        <b/>
        <sz val="8"/>
        <color rgb="FF000000"/>
        <rFont val="Arial"/>
        <family val="2"/>
      </rPr>
      <t>1</t>
    </r>
    <r>
      <rPr>
        <sz val="8"/>
        <color rgb="FF000000"/>
        <rFont val="Arial"/>
        <family val="2"/>
      </rPr>
      <t xml:space="preserve"> seconds</t>
    </r>
  </si>
  <si>
    <t>FD-CAN1 Controller Status in BUS OFF (transmit error counter &gt;= 255)</t>
  </si>
  <si>
    <t>BCM can transmit messages correctly on FD-CAN1</t>
  </si>
  <si>
    <t>U1045-00</t>
  </si>
  <si>
    <t>LIN 3 Bus-</t>
  </si>
  <si>
    <r>
      <rPr>
        <sz val="8"/>
        <color rgb="FF000000"/>
        <rFont val="Arial"/>
        <family val="2"/>
      </rPr>
      <t xml:space="preserve">EC1: Ignition Status - IGN_RUN
EC3: System Voltage - 10V to 16V
</t>
    </r>
    <r>
      <rPr>
        <b/>
        <sz val="8"/>
        <color rgb="FF000000"/>
        <rFont val="Arial"/>
        <family val="2"/>
      </rPr>
      <t xml:space="preserve">EC6: I/O Device Configuration - PROXI Number_of_doors = 4
</t>
    </r>
    <r>
      <rPr>
        <sz val="8"/>
        <color rgb="FF000000"/>
        <rFont val="Arial"/>
        <family val="2"/>
      </rPr>
      <t>EC7: Enable Condition Timer - 1 seconds</t>
    </r>
  </si>
  <si>
    <t>All LIN 3 BUS slave messages missing for the defined mature time</t>
  </si>
  <si>
    <t>Any LIN 3 BUS slave message received.</t>
  </si>
  <si>
    <t>U1046-00</t>
  </si>
  <si>
    <t>LIN 4 Bus-</t>
  </si>
  <si>
    <t>VF628</t>
  </si>
  <si>
    <t> *VF628_V1 ID 6.0</t>
  </si>
  <si>
    <t>All LIN 4 BUS slave messages missing for the defined mature time</t>
  </si>
  <si>
    <t>Any LIN 4 BUS slave message received.</t>
  </si>
  <si>
    <r>
      <rPr>
        <b/>
        <sz val="8"/>
        <color theme="4"/>
        <rFont val="Arial"/>
        <family val="2"/>
      </rPr>
      <t>VF628_V1 ID 6.0:</t>
    </r>
    <r>
      <rPr>
        <b/>
        <sz val="8"/>
        <color rgb="FF000000"/>
        <rFont val="Arial"/>
        <family val="2"/>
      </rPr>
      <t xml:space="preserve">
</t>
    </r>
    <r>
      <rPr>
        <sz val="8"/>
        <color rgb="FF000000"/>
        <rFont val="Arial"/>
        <family val="2"/>
      </rPr>
      <t>The BCM shall not send out BCM_FD_13 until reception is recovered</t>
    </r>
  </si>
  <si>
    <t>U1047-00</t>
  </si>
  <si>
    <t>LIN 5 Bus-</t>
  </si>
  <si>
    <t>All LIN 5 BUS slave messages missing for the defined mature time</t>
  </si>
  <si>
    <t>Any LIN 5 BUS slave message received.</t>
  </si>
  <si>
    <t>U1048-00</t>
  </si>
  <si>
    <t>LIN 6 Bus-</t>
  </si>
  <si>
    <t>Any LIN 6 BUS slave messages missing for the defined mature time</t>
  </si>
  <si>
    <t>Any LIN 6 BUS slave message received.</t>
  </si>
  <si>
    <t>U1049-00</t>
  </si>
  <si>
    <t>LIN 7 Bus-</t>
  </si>
  <si>
    <r>
      <rPr>
        <sz val="8"/>
        <color rgb="FF000000"/>
        <rFont val="Arial"/>
        <family val="2"/>
      </rPr>
      <t>EC1: Ignition Status - IGN_RUN
EC3: System Voltage - 10V to 16V
EC6: I/O Device Configuration Status - Autonomy_Level = Level 2 Plus</t>
    </r>
    <r>
      <rPr>
        <b/>
        <sz val="8"/>
        <color rgb="FF000000"/>
        <rFont val="Arial"/>
        <family val="2"/>
      </rPr>
      <t xml:space="preserve"> 
</t>
    </r>
    <r>
      <rPr>
        <sz val="8"/>
        <color rgb="FF000000"/>
        <rFont val="Arial"/>
        <family val="2"/>
      </rPr>
      <t>EC7: Enable Condition Timer - 1 Seconds</t>
    </r>
  </si>
  <si>
    <t>All LIN 7 BUS slave messages missing for the defined mature time</t>
  </si>
  <si>
    <t>Any LIN 7 BUS slave message received.</t>
  </si>
  <si>
    <t>U104E-00</t>
  </si>
  <si>
    <t>High Speed FD-CAN2 Communication Bus Performance-</t>
  </si>
  <si>
    <t>CS.00099
VF139_V1 ID24.0</t>
  </si>
  <si>
    <t>FD-CAN2 Controller Status (transmit error counter &gt;= 255)</t>
  </si>
  <si>
    <t>BCM can transmit messages correctly on FD-CAN2</t>
  </si>
  <si>
    <t>U1057-00</t>
  </si>
  <si>
    <t>High Speed FD-CAN3 Communication Bus Performance-</t>
  </si>
  <si>
    <t>EC3: System Voltage - 10V to 16V
EC7: Enable Condition Timer - 1 seconds</t>
  </si>
  <si>
    <t>FD-CAN3 Controller Status (transmit error counter &gt;= 255)</t>
  </si>
  <si>
    <t>BCM can transmit messages correctly on FD-CAN3</t>
  </si>
  <si>
    <t>U105F-00</t>
  </si>
  <si>
    <t>High Speed FD-CAN4 Communication Bus Performance-</t>
  </si>
  <si>
    <t>FD-CAN4 Controller Status (transmit error counter &gt;= 255)</t>
  </si>
  <si>
    <t>BCM can transmit messages correctly on FD-CAN4</t>
  </si>
  <si>
    <t>U1071-00</t>
  </si>
  <si>
    <t>LIN 8 Bus-</t>
  </si>
  <si>
    <t xml:space="preserve">            N.A</t>
  </si>
  <si>
    <t>EC1: Ignition Status - IGN_RUN                           
EC3: System Voltage – 10V to 16V                       
EC6: I/O Device Configuration Status – Always True 
EC4: Network Configuration Status - Can configuration.Additional_Tail_Light = PRESENT   
EC7: Enable Condition Timer - 1 Seconds</t>
  </si>
  <si>
    <t>All LIN 8 BUS slave messages missing for the defined mature time</t>
  </si>
  <si>
    <t>Any LIN slave message received.</t>
  </si>
  <si>
    <t>U107D-00</t>
  </si>
  <si>
    <t xml:space="preserve">LIN 9 Bus-
</t>
  </si>
  <si>
    <t>EC1: Ignition Status - IGN_RUN
EC3:  System Voltage – 10V to 16V
EC6: I/O Device Configuration Status – Vehicle_Line_Configuration= 128 EJ (80 Hex)
EC7: Enable Condition Timer - 1 seconds</t>
  </si>
  <si>
    <t>* All LIN 9 BUS slave messages missing for the defined mature time</t>
  </si>
  <si>
    <t>Any LIN 9 slave message received.</t>
  </si>
  <si>
    <t>U107E-00</t>
  </si>
  <si>
    <t>LIN 10 Bus-</t>
  </si>
  <si>
    <t>EC1: Ignition Status - IGN_RUN
EC2:  Local Voltage – 9V to 16V
EC6: I/O Device Configuration Status – Vehicle_Line_Configuration= 128 EJ (80 Hex)
EC7: Enable Condition Timer - 1 seconds</t>
  </si>
  <si>
    <t>* All LIN 10 BUS slave messages missing for the defined mature time</t>
  </si>
  <si>
    <t>Any LIN 10 slave message received.</t>
  </si>
  <si>
    <t>U1122-00</t>
  </si>
  <si>
    <t>Lost Communication With LIN ECU 2-</t>
  </si>
  <si>
    <t>VF529_V4</t>
  </si>
  <si>
    <t>VF529_V4 No ID Reference
(Switch Bank Module Rear Left)</t>
  </si>
  <si>
    <r>
      <rPr>
        <sz val="8"/>
        <color rgb="FF000000"/>
        <rFont val="Arial"/>
        <family val="2"/>
      </rPr>
      <t xml:space="preserve">EC1: Ignition Status - IGN_RUN and BCM_FD_2.RemStActvSts = 00
EC3: System Voltage - 10V to 16V
EC4: Network Configuration Status - Always True
EC5: Bus Physical Status - No Bus physical/ Bus Off DTC </t>
    </r>
    <r>
      <rPr>
        <b/>
        <sz val="8"/>
        <color rgb="FF000000"/>
        <rFont val="Arial"/>
        <family val="2"/>
      </rPr>
      <t>LIN3/LIN9</t>
    </r>
    <r>
      <rPr>
        <sz val="8"/>
        <color rgb="FF000000"/>
        <rFont val="Arial"/>
        <family val="2"/>
      </rPr>
      <t xml:space="preserve"> Active
</t>
    </r>
    <r>
      <rPr>
        <b/>
        <sz val="8"/>
        <color rgb="FF000000"/>
        <rFont val="Arial"/>
        <family val="2"/>
      </rPr>
      <t xml:space="preserve">EC6: I/O Device Configuration - PROXI Number_of_doors = 4
</t>
    </r>
    <r>
      <rPr>
        <sz val="8"/>
        <color rgb="FF000000"/>
        <rFont val="Arial"/>
        <family val="2"/>
      </rPr>
      <t>EC7: Enable Condition Timer - 5 seconds</t>
    </r>
  </si>
  <si>
    <t xml:space="preserve">	KMB/LB/26LB:
LIN3.SBMRL_A1
Message Missing
EJ/26EJ:
LIN9.SBMRL_A1
Message Missing</t>
  </si>
  <si>
    <t>KMB/LB/26LB:
LIN3.SBMRL_A1
Message Received
​​
EJ:
LIN9.SBMRL_A1
Message Received</t>
  </si>
  <si>
    <t>U1123-00</t>
  </si>
  <si>
    <t>Lost Communication With LIN ECU 3-</t>
  </si>
  <si>
    <t>VF529_V4 No ID Reference
(Switch Bank Module Rear Right)</t>
  </si>
  <si>
    <t>EC1: Ignition Status - IGN_RUN and BCM_FD_2.RemStActvSts = 00
EC3: System Voltage - 10V to 16V
EC4: Network Configuration Status - Always True
EC5: Bus Physical Status - No Bus physical/ Bus Off DTC LIN3/LIN10 Active
EC6: I/O Device Configuration - PROXI Number_of_doors = 4
EC7: Enable Condition Timer - 5 seconds</t>
  </si>
  <si>
    <t>KMB/LB/26LB:
LIN3.SBMRR_A1
Message Missing
EJ:
LIN10.SBMRR_A1
Message Missing</t>
  </si>
  <si>
    <t>KMB/LB/26LB:
LIN3.SBMRR_A1
Message Received
EJ/26EJ:
LIN10.SBMRR_A1
Message Received</t>
  </si>
  <si>
    <t>U1124-00</t>
  </si>
  <si>
    <t>Lost Communication With LIN ECU 4-</t>
  </si>
  <si>
    <t>EC1: Ignition Status - IGN_RUN and BCM_FD_2.RemStActvSts = 00
EC3: System Voltage - 10V to 16V
EC4: Network Configuration Status - SWSM_Presence= Present(0x01)
EC5: Bus Physical Status - No Bus physical/ Bus Off DTC LIN4 Active
EC7: Enable Condition Timer - 5 seconds</t>
  </si>
  <si>
    <t>* LIN4:SWSM_1
Message Missing</t>
  </si>
  <si>
    <t>U112D-00</t>
  </si>
  <si>
    <t>Lost Communication with EVIC Steering Wheel Switches-</t>
  </si>
  <si>
    <t>VF439</t>
  </si>
  <si>
    <t xml:space="preserve">V439_V3 ID 5.0(LB)
</t>
  </si>
  <si>
    <t>EC1: Ignition Status - IGN_RUN or IGN_START and BCM_FD_2.RemStActvSts = 00
EC3:  System Voltage – 10V to 16V
EC4: Network Configuration Status - Always True
EC5: Bus Physical Status - No Bus physical/ Bus Off DTC LIN2 Active
EC7: Enable Condition Timer - 5 seconds</t>
  </si>
  <si>
    <t>LIN2:SWS_8L
Message Missing</t>
  </si>
  <si>
    <r>
      <t xml:space="preserve">
</t>
    </r>
    <r>
      <rPr>
        <b/>
        <sz val="8"/>
        <color theme="4"/>
        <rFont val="Arial"/>
        <family val="2"/>
      </rPr>
      <t xml:space="preserve">VF439_V3 ID 5.0: Below limphome behavior applicable only for LB:
{
</t>
    </r>
    <r>
      <rPr>
        <sz val="8"/>
        <color rgb="FF000000"/>
        <rFont val="Arial"/>
        <family val="2"/>
      </rPr>
      <t xml:space="preserve"> BCM shall retain the previous known Terrain mode AND
BCM_FD_12.Left_Button_BCM= 'SNA' AND
BCM_FD_12.Right_Button_BCM= 'SNA' AND
TerrainModeInterfaceButton_BCM= 'SNA'
</t>
    </r>
    <r>
      <rPr>
        <b/>
        <sz val="8"/>
        <color theme="4"/>
        <rFont val="Arial"/>
        <family val="2"/>
      </rPr>
      <t>}</t>
    </r>
    <r>
      <rPr>
        <b/>
        <sz val="8"/>
        <color rgb="FF1F497D"/>
        <rFont val="Arial"/>
        <family val="2"/>
      </rPr>
      <t xml:space="preserve">
</t>
    </r>
  </si>
  <si>
    <t>U1131-00</t>
  </si>
  <si>
    <t>Invalid Data Received From Vehicle Dynamics Control Module-</t>
  </si>
  <si>
    <r>
      <rPr>
        <sz val="8"/>
        <color rgb="FF000000"/>
        <rFont val="Arial"/>
        <family val="2"/>
      </rPr>
      <t>VF440_V4 ID 2</t>
    </r>
    <r>
      <rPr>
        <b/>
        <sz val="8"/>
        <color rgb="FF000000"/>
        <rFont val="Arial"/>
        <family val="2"/>
      </rPr>
      <t>8</t>
    </r>
  </si>
  <si>
    <t>Malfunctioning VDCM</t>
  </si>
  <si>
    <t>Repair or replace VDCM</t>
  </si>
  <si>
    <t>The BCM detects an invalid value of ASCM_FD_2.Message_Counter_ASCM2 OR ASCM_FD_2.CRC_ASCM2</t>
  </si>
  <si>
    <t>The BCM detects a valid value of ASCM_FD_2.Message_Counter_ASCM2 AND ASCM_FD_2.CRC_ASCM2</t>
  </si>
  <si>
    <t>U113B-00</t>
  </si>
  <si>
    <t>Lost Communication with Switch Bank Module-</t>
  </si>
  <si>
    <t>* VF449_V1 ID9.0
VF639_V1 ID 10.0
VF032 ID 34.0</t>
  </si>
  <si>
    <t>EC1: Ignition Status - IGN_RUN and BCM_FD_2.RemStActvSts = 00
EC3: System Voltage - 10V to 16V
EC4: Network Configuration Status - Always True
EC5: Bus Physical Status - No Bus physical/ Bus Off DTC LIN5 Active 
EC6: I/O Device Configuration Status – ASBM_LIN_Module = Present 
EC7: Enable Condition Timer - 5 seconds</t>
  </si>
  <si>
    <t xml:space="preserve">Message Missing LIN5:ASBM_A1 </t>
  </si>
  <si>
    <r>
      <t>If Variants Vehicle = KM49 or KM74:
{
BCM shall set following CAN signals as "SNA": 
- FD-CAN3:BCM_FD_12:Switch1_Rq</t>
    </r>
    <r>
      <rPr>
        <b/>
        <sz val="8"/>
        <color rgb="FF4F81BD"/>
        <rFont val="Arial"/>
        <family val="2"/>
      </rPr>
      <t xml:space="preserve"> (VF449_V1 ID9.0)
</t>
    </r>
    <r>
      <rPr>
        <sz val="8"/>
        <color rgb="FF000000"/>
        <rFont val="Arial"/>
        <family val="2"/>
      </rPr>
      <t>- FD-CAN3:BCM_FD_12:Switch2_Rq</t>
    </r>
    <r>
      <rPr>
        <b/>
        <sz val="8"/>
        <color rgb="FF000000"/>
        <rFont val="Arial"/>
        <family val="2"/>
      </rPr>
      <t xml:space="preserve"> </t>
    </r>
    <r>
      <rPr>
        <b/>
        <sz val="8"/>
        <color rgb="FF4F81BD"/>
        <rFont val="Arial"/>
        <family val="2"/>
      </rPr>
      <t>( VF449_V1 ID9.0</t>
    </r>
    <r>
      <rPr>
        <b/>
        <sz val="8"/>
        <color rgb="FF000000"/>
        <rFont val="Arial"/>
        <family val="2"/>
      </rPr>
      <t xml:space="preserve"> </t>
    </r>
    <r>
      <rPr>
        <b/>
        <sz val="8"/>
        <color rgb="FF4F81BD"/>
        <rFont val="Arial"/>
        <family val="2"/>
      </rPr>
      <t xml:space="preserve">)
</t>
    </r>
    <r>
      <rPr>
        <sz val="8"/>
        <color rgb="FF000000"/>
        <rFont val="Arial"/>
        <family val="2"/>
      </rPr>
      <t xml:space="preserve">- FD-CAN3.BCM_FD_12.AxleLckrSEL_SW </t>
    </r>
    <r>
      <rPr>
        <b/>
        <sz val="8"/>
        <color rgb="FF4F81BD"/>
        <rFont val="Arial"/>
        <family val="2"/>
      </rPr>
      <t>( VF639_V1 ID10.0</t>
    </r>
    <r>
      <rPr>
        <b/>
        <sz val="8"/>
        <color rgb="FF000000"/>
        <rFont val="Arial"/>
        <family val="2"/>
      </rPr>
      <t xml:space="preserve"> </t>
    </r>
    <r>
      <rPr>
        <sz val="8"/>
        <color rgb="FF000000"/>
        <rFont val="Arial"/>
        <family val="2"/>
      </rPr>
      <t xml:space="preserve">)
}
</t>
    </r>
    <r>
      <rPr>
        <b/>
        <sz val="8"/>
        <color rgb="FF000000"/>
        <rFont val="Arial"/>
        <family val="2"/>
      </rPr>
      <t xml:space="preserve">KM26/27 and EJ26/27
</t>
    </r>
    <r>
      <rPr>
        <sz val="8"/>
        <color rgb="FF000000"/>
        <rFont val="Arial"/>
        <family val="2"/>
      </rPr>
      <t>{
Set  BCM_FD_9.HDCFnRqstSts= SNA</t>
    </r>
    <r>
      <rPr>
        <b/>
        <sz val="8"/>
        <color rgb="FF4F81BD"/>
        <rFont val="Arial"/>
        <family val="2"/>
      </rPr>
      <t>(VF032 V2 ID 34.0</t>
    </r>
    <r>
      <rPr>
        <b/>
        <sz val="8"/>
        <color rgb="FF000000"/>
        <rFont val="Arial"/>
        <family val="2"/>
      </rPr>
      <t xml:space="preserve">)
</t>
    </r>
    <r>
      <rPr>
        <sz val="8"/>
        <color rgb="FF000000"/>
        <rFont val="Arial"/>
        <family val="2"/>
      </rPr>
      <t>}</t>
    </r>
  </si>
  <si>
    <t>25KM
25EJ                       
26KM
26EJ</t>
  </si>
  <si>
    <t>U113E-00</t>
  </si>
  <si>
    <t xml:space="preserve">Lost Communication With Intelligent Battery Sensor "A"-
</t>
  </si>
  <si>
    <t>*VF512_V1 ID1.0
*VF512_V1 ID2.0
*VF512_V1 ID3.0
*VF512_V1 ID4.0</t>
  </si>
  <si>
    <t>Any of below messages missing on LIN1
* IBS_Fast1
* IBS_Fast2
* IBS_Slow1
* IBS_Slow2</t>
  </si>
  <si>
    <t xml:space="preserve">KM 
LB
EJ
26KM
26LB
26EJ
</t>
  </si>
  <si>
    <t>U1147-00</t>
  </si>
  <si>
    <t xml:space="preserve">Additional CAN Interior ECU Detected- </t>
  </si>
  <si>
    <t>This is the DTC that represent a node not required to be present by the PROXI configuration but is present on the CAN bus.</t>
  </si>
  <si>
    <t>There is one or more CAN nodes bits:
Config_CAN_systems = 0x00
AND
Active_CAN_systems = 0x01</t>
  </si>
  <si>
    <t>U114D-87</t>
  </si>
  <si>
    <t>Lost Communication with Hands Free Liftgate Module-Missing Message</t>
  </si>
  <si>
    <t>VF537_V1  No ID Reference</t>
  </si>
  <si>
    <r>
      <rPr>
        <sz val="8"/>
        <color rgb="FF000000"/>
        <rFont val="Arial"/>
        <family val="2"/>
      </rPr>
      <t xml:space="preserve">EC1: Ignition Status - IGN_RUN and BCM_FD_2.RemStActvSts = 00
EC3: System Voltage - 10V to 16V
EC4: Network Configuration Status -
Infotainment_Configuration_20.HFRM_Module= Present (0x01)
EC5: Bus Physical Status - No Bus physical/ Bus Off DTC </t>
    </r>
    <r>
      <rPr>
        <b/>
        <sz val="8"/>
        <color rgb="FF000000"/>
        <rFont val="Arial"/>
        <family val="2"/>
      </rPr>
      <t xml:space="preserve">LIN3 </t>
    </r>
    <r>
      <rPr>
        <sz val="8"/>
        <color rgb="FF000000"/>
        <rFont val="Arial"/>
        <family val="2"/>
      </rPr>
      <t>Active
EC7: Enable Condition Timer - 5 seconds</t>
    </r>
  </si>
  <si>
    <t>LIN3.HFRM_1
Message Missing</t>
  </si>
  <si>
    <t>LIN3.HFRM_1
Message Received</t>
  </si>
  <si>
    <t>U114F-00</t>
  </si>
  <si>
    <t>Lost Communication with LIN Overhead Console-</t>
  </si>
  <si>
    <t>*VF078_V1 ID1.16
*VF078_V1 ID1.17
*VF078_V1 ID1.18</t>
  </si>
  <si>
    <t>Overhead Conolse inoperative</t>
  </si>
  <si>
    <t>EC1: Ignition Status - IGN_RUN and BCM_FD_2.RemStActvSts = 00 
EC3: System Voltage – 10V to 16V
EC4: Network Configuration Status - Always True
EC5: Bus Physical Status - No Bus physical/ Bus Off DTC LIN6 Active
EC7: Enable Condition Timer - 5 seconds</t>
  </si>
  <si>
    <t>* LIN6:OHC_1
Message Missing</t>
  </si>
  <si>
    <t>* LIN6:OHC_1 Message Received</t>
  </si>
  <si>
    <r>
      <rPr>
        <b/>
        <sz val="8"/>
        <color theme="4"/>
        <rFont val="Arial"/>
        <family val="2"/>
      </rPr>
      <t xml:space="preserve">*VF078_V1 ID1.16: 
{
</t>
    </r>
    <r>
      <rPr>
        <sz val="8"/>
        <color rgb="FF000000"/>
        <rFont val="Arial"/>
        <family val="2"/>
      </rPr>
      <t xml:space="preserve">BCM shall behave as if OHC_1.Front_Map_LGT_LT_Sw == "Not Pressed" 
</t>
    </r>
    <r>
      <rPr>
        <b/>
        <sz val="8"/>
        <color theme="4"/>
        <rFont val="Arial"/>
        <family val="2"/>
      </rPr>
      <t xml:space="preserve">}
*VF078_V1 ID1.17: 
{
</t>
    </r>
    <r>
      <rPr>
        <sz val="8"/>
        <color rgb="FF000000"/>
        <rFont val="Arial"/>
        <family val="2"/>
      </rPr>
      <t xml:space="preserve">BCM shall behave as if OHC_1.Front_Map_LGT_RT_Sw == "Not Pressed"
</t>
    </r>
    <r>
      <rPr>
        <b/>
        <sz val="8"/>
        <color theme="4"/>
        <rFont val="Arial"/>
        <family val="2"/>
      </rPr>
      <t xml:space="preserve">}
*VF078_V1 ID1.18: 
{
</t>
    </r>
    <r>
      <rPr>
        <sz val="8"/>
        <color rgb="FF000000"/>
        <rFont val="Arial"/>
        <family val="2"/>
      </rPr>
      <t xml:space="preserve">BCM shall behave as if OHC_1.OHC_DOME_STAT == "Door" 
</t>
    </r>
    <r>
      <rPr>
        <b/>
        <sz val="8"/>
        <color theme="4"/>
        <rFont val="Arial"/>
        <family val="2"/>
      </rPr>
      <t>}</t>
    </r>
    <r>
      <rPr>
        <b/>
        <sz val="8"/>
        <color rgb="FF1F497D"/>
        <rFont val="Arial"/>
        <family val="2"/>
      </rPr>
      <t xml:space="preserve">
</t>
    </r>
  </si>
  <si>
    <t>U1153-00</t>
  </si>
  <si>
    <t>Lost Communication With Windshield Wiper Smart Module-</t>
  </si>
  <si>
    <t>EC1: Ignition Status - IGN_RUN and BCM_FD_2.RemStActvSts = 00
EC3: System Voltage - 10V to 16V
EC4: Network Configuration Status - Always True
EC5: Bus Physical Status - No Bus physical/ Bus Off DTC LIN3 Active
EC6: I/O Device Configuration Status - Car_Configuration_23. Smart_Wiper_Motor = Present (0x01)
EC7: Enable Condition Timer - 5 seconds</t>
  </si>
  <si>
    <t xml:space="preserve">LIN3:WWSM_BCM_1 Message Missing </t>
  </si>
  <si>
    <t xml:space="preserve">LIN3:WWSM_BCM_1 
Message Received </t>
  </si>
  <si>
    <t>U115C-00</t>
  </si>
  <si>
    <t>Lost Communication with ETM-</t>
  </si>
  <si>
    <t>VF491
VF439</t>
  </si>
  <si>
    <r>
      <rPr>
        <sz val="8"/>
        <color rgb="FF000000"/>
        <rFont val="Arial"/>
        <family val="2"/>
      </rPr>
      <t xml:space="preserve">VF491_V1 No ID VF reference
VF439_V3 ID3.0 </t>
    </r>
    <r>
      <rPr>
        <b/>
        <sz val="8"/>
        <color rgb="FF000000"/>
        <rFont val="Arial"/>
        <family val="2"/>
      </rPr>
      <t>(LB)</t>
    </r>
  </si>
  <si>
    <t>EC1: Ignition Status - IGN_RUN and BCM_FD_2.RemStActvSts = 00
EC3: System Voltage - 10V to 16V
EC4: Network Configuration Status - CAN node 36 (LTM/ETM/HTM) = Present(0x01)
EC5: Bus Physical Status - No Bus physical/ Bus Off DTC FD3 Active
EC6: I/O Device Configuration Status  - Always True
EC7: Enable Condition Timer - 5 seconds</t>
  </si>
  <si>
    <t>FD-CAN3.TELEMATIC_FD_5 Message Missing</t>
  </si>
  <si>
    <t>FD-CAN3.TELEMATIC_FD_5 Message Received </t>
  </si>
  <si>
    <r>
      <rPr>
        <b/>
        <sz val="8"/>
        <color rgb="FF4F81BD"/>
        <rFont val="Arial"/>
        <family val="2"/>
      </rPr>
      <t xml:space="preserve">* VF491_V1 ID XX (Loss of Communication):
{
</t>
    </r>
    <r>
      <rPr>
        <sz val="8"/>
        <color rgb="FF000000"/>
        <rFont val="Arial"/>
        <family val="2"/>
      </rPr>
      <t xml:space="preserve"> BCM shall set BCM_FD_11.CMP_DIR = [SNA];
-Description is Diagnosis and Recovery section 
</t>
    </r>
    <r>
      <rPr>
        <b/>
        <sz val="8"/>
        <color rgb="FF4F81BD"/>
        <rFont val="Arial"/>
        <family val="2"/>
      </rPr>
      <t xml:space="preserve">}
</t>
    </r>
    <r>
      <rPr>
        <sz val="8"/>
        <color rgb="FF000000"/>
        <rFont val="Arial"/>
        <family val="2"/>
      </rPr>
      <t xml:space="preserve">
</t>
    </r>
    <r>
      <rPr>
        <b/>
        <sz val="8"/>
        <color rgb="FF000000"/>
        <rFont val="Arial"/>
        <family val="2"/>
      </rPr>
      <t xml:space="preserve">LB
{
</t>
    </r>
    <r>
      <rPr>
        <b/>
        <sz val="8"/>
        <color rgb="FF4F81BD"/>
        <rFont val="Arial"/>
        <family val="2"/>
      </rPr>
      <t>* VF439_V3 ID3.0</t>
    </r>
    <r>
      <rPr>
        <sz val="8"/>
        <color rgb="FF000000"/>
        <rFont val="Arial"/>
        <family val="2"/>
      </rPr>
      <t xml:space="preserve">: BCM shall retain the previous known Terrain mode until the communication is reestablished OR the ignition is cycled OFF and back to RUN. Default to Auto in next Key Cycle.
</t>
    </r>
    <r>
      <rPr>
        <b/>
        <sz val="8"/>
        <color rgb="FF1F497D"/>
        <rFont val="Arial"/>
        <family val="2"/>
      </rPr>
      <t>}</t>
    </r>
  </si>
  <si>
    <t>U115F-00</t>
  </si>
  <si>
    <t>Lost Communication with Driver Presence Detection Module-</t>
  </si>
  <si>
    <t>Malfunctioning DPDM</t>
  </si>
  <si>
    <t>EC1: Ignition Status - IGN_RUN and BCM_FD_2.RemStActvSts = 00
EC3: System Voltage - 10V to 16V
EC4: Network Configuration Status - Can configuration.CAN node 9 (DPDM)= Present(0x01)
EC5: Bus Physical Status - No Bus physical/ Bus Off DTC  CCAN1 Active
EC7: Enable Condition Timer - 5 seconds</t>
  </si>
  <si>
    <t>* C-CAN1.DRIVER_PRESENCE
Message Missing</t>
  </si>
  <si>
    <t>* C-CAN1.DRIVER_PRESENCE
Message Received</t>
  </si>
  <si>
    <t>U116B-00</t>
  </si>
  <si>
    <t>Lost Communication With Trailer Interface Module-</t>
  </si>
  <si>
    <t>VF528_V1</t>
  </si>
  <si>
    <t>EC1: Ignition Status - IGN_RUN
EC3: System Voltage – 10V to 16V
EC4: Network Configuration Status - CAN Node ID 63 (TTM) = Present(0x01)
EC5: Bus Physical Status - No Bus physical/ Bus Off DTC CCAN1 ActiveEC7: Enable Condition Timer - 5 seconds</t>
  </si>
  <si>
    <t>* C-CAN1.STATUS_TTM Message Missing</t>
  </si>
  <si>
    <t>C-CAN1.STATUS_TTM Message Received</t>
  </si>
  <si>
    <t>U116C-00</t>
  </si>
  <si>
    <t>Lost Communication With Intelligent Battery Sensor "B"-</t>
  </si>
  <si>
    <t>*VF512_V2 ID1.0
*VF512_V2 ID2.0
*VF512_V2 ID3.0
*VF512_V2 ID4.0
*VF512_V2 ID5.0</t>
  </si>
  <si>
    <t>EC1: Ignition Status - IGN_RUN and BCM_FD_2.RemStActvSts = 00
EC3: System Voltage – 10V to 16V
EC4: Network Configuration Status - Autonomy_Level = Level 2 Plus
EC5: Bus Physical Status - No Bus physical/ Bus Off DTC LIN7 Active
EC7: Enable Condition Timer - 5 seconds</t>
  </si>
  <si>
    <t>Fault 1 - IBS2 doesn't send IBS_Wakeup_2 during initialization phase.
Fault 2 - Any of below messages missing on LIN7
* IBS_Fast1_2
* IBS_Fast2_2
* IBS_Slow1_2
* IBS_Slow2_2</t>
  </si>
  <si>
    <t>Fault1 - Not Applicable
Fault2 - (2500)</t>
  </si>
  <si>
    <t>Fault 1 - IBS_Wakeup_2 message received Fault 2 - Message Received</t>
  </si>
  <si>
    <t>U1191-00</t>
  </si>
  <si>
    <t>Lost Communication with Switch Bank Module 2-</t>
  </si>
  <si>
    <t xml:space="preserve">VF439
VF382
</t>
  </si>
  <si>
    <r>
      <rPr>
        <sz val="8"/>
        <color rgb="FF000000"/>
        <rFont val="Arial"/>
        <family val="2"/>
      </rPr>
      <t xml:space="preserve">VF439_V3 No ID VF Reference </t>
    </r>
    <r>
      <rPr>
        <b/>
        <sz val="8"/>
        <color rgb="FF000000"/>
        <rFont val="Arial"/>
        <family val="2"/>
      </rPr>
      <t xml:space="preserve">(LB)
</t>
    </r>
    <r>
      <rPr>
        <sz val="8"/>
        <color rgb="FF000000"/>
        <rFont val="Arial"/>
        <family val="2"/>
      </rPr>
      <t>VF382_V2 No ID VF Reference</t>
    </r>
  </si>
  <si>
    <t>EC1: Ignition Status - IGN_RUN and BCM_FD_2.RemStActvSts = 00
EC3: System Voltage – 10V to 16V EC4: Network Configuration Status - Always True 
EC5: Bus Physical Status - No Bus physical/ Bus Off DTC LIN5 Active 
EC7: Enable Condition Timer - 5 seconds</t>
  </si>
  <si>
    <t>*Fault 1: VF439_V3 &amp; VF382_V2:  LIN5:ASBM2_A1 Message Missing</t>
  </si>
  <si>
    <t>U1192-00</t>
  </si>
  <si>
    <t>Lost Communication With Switch Bank Module 3-</t>
  </si>
  <si>
    <t>VF727_V3</t>
  </si>
  <si>
    <t>VF727_V3 No ID Reference</t>
  </si>
  <si>
    <t>EC1: Ignition Status - IGN_RUN and BCM_FD_2.RemStActvSts = 00
EC3: System Voltage - 10V to 16V
EC4: Network Configuration Status - 
EC5: Bus Physical Status - No Bus physical/ Bus Off DTC LIN5 Active
EC6: I/O Device Configuration Status – Vehicle_Line_Configuration = 126 KM74 (7E Hex) OR 127 LB (7F Hex)
EC7: Enable Condition Timer - 5 seconds</t>
  </si>
  <si>
    <t>LIN5:ASBM4_A1 Message Missing</t>
  </si>
  <si>
    <t>LIN5:ASBM4_A1 
Message Received</t>
  </si>
  <si>
    <t>U1196-00</t>
  </si>
  <si>
    <t>Lost Communication With Power TailGate Module-</t>
  </si>
  <si>
    <t>EC1: Ignition Status - IGN_RUN and BCM_FD_2.RemStActvSts = 00
EC2: Local Voltage – 9V to 16V
EC4: Network Configuration Status - CAN node 69 (PLGM)= Present(0x01) 
EC5: Bus Physical Status - No Bus physical/ Bus Off DTC BH Active
EC6: I/O Device Configuration Status  - Trunk_Door_Kind = Powered Lift Gate.
EC7: Enable Condition Timer - 5 seconds</t>
  </si>
  <si>
    <t>* BH-CAN.PLGM_A1
Message missing</t>
  </si>
  <si>
    <t>U11B9-00</t>
  </si>
  <si>
    <t>Lost Communication with RF Hub-</t>
  </si>
  <si>
    <t>VF078_V1 ID 1.15</t>
  </si>
  <si>
    <t>EC1: Ignition Status - IGN_RUN
EC3: System Voltage – 10V to 16V
EC4: Network Configuration Status - CAN Node ID 65 = Present(0x01)
EC5: Bus Physical Status - No Bus physical/ Bus Off DTC FD3 Active
EC7: Enable Condition Timer - 5 seconds</t>
  </si>
  <si>
    <t xml:space="preserve">FD-CAN3.RFHUB_FD_1
Message Missing
</t>
  </si>
  <si>
    <t xml:space="preserve">FD-CAN3.RFHUB_FD_1 Message Received
</t>
  </si>
  <si>
    <r>
      <rPr>
        <b/>
        <sz val="8"/>
        <color theme="4"/>
        <rFont val="Arial"/>
        <family val="2"/>
      </rPr>
      <t xml:space="preserve">VF078_V1 ID 1.15
{
</t>
    </r>
    <r>
      <rPr>
        <sz val="8"/>
        <color rgb="FF000000"/>
        <rFont val="Arial"/>
        <family val="2"/>
      </rPr>
      <t xml:space="preserve">BCM shall behave as if RFFuncReq == "NO_BASIC_REQUEST"
</t>
    </r>
    <r>
      <rPr>
        <b/>
        <sz val="8"/>
        <color theme="4"/>
        <rFont val="Arial"/>
        <family val="2"/>
      </rPr>
      <t>}</t>
    </r>
  </si>
  <si>
    <t>U1202-00</t>
  </si>
  <si>
    <t>Lost Communication with Electric Vehicle Control Module-</t>
  </si>
  <si>
    <t>VF041_V1
VF150_V2
VF568_V3
VF439_V7
VF078_V1
VF639_V3</t>
  </si>
  <si>
    <t>VF041_V1 ID1.5
VF150_V2 ID NA
VF568_V1 ID 3.0
VF439_V6 ID 6.0
VF439_V7 ID 6.0
VF078_V1 ID 1.2
VF639_V3 ID 10</t>
  </si>
  <si>
    <r>
      <rPr>
        <sz val="8"/>
        <color rgb="FF000000"/>
        <rFont val="Arial"/>
        <family val="2"/>
      </rPr>
      <t xml:space="preserve">EC1: Ignition Status - IGN_RUN and BCM_FD_2.RemStActvSts = 00
EC3: System Voltage - 10V to 16V
EC4: Network Configuration - CAN node 64 (EVCU/EVCU2) = "Present"
EC5: Bus Physical Status - No Bus physical/ Bus Off DTC  FD3 Active
EC7: Enable Condition Timer - 5 seconds
26LB { EC6: I/O Device Configuration Status. Hybrid_Type = Battery Electric Vehicle }
</t>
    </r>
    <r>
      <rPr>
        <b/>
        <sz val="8"/>
        <color rgb="FF000000"/>
        <rFont val="Arial"/>
        <family val="2"/>
      </rPr>
      <t xml:space="preserve">
</t>
    </r>
  </si>
  <si>
    <t>Missing message
1) FD_CAN3.PT_SYSTEM_FD_1</t>
  </si>
  <si>
    <t xml:space="preserve">
  FD_CAN3.PT_SYSTEM_FD_1   
Message Received   
</t>
  </si>
  <si>
    <r>
      <rPr>
        <b/>
        <sz val="8"/>
        <color rgb="FF4F81BD"/>
        <rFont val="Arial"/>
        <family val="2"/>
      </rPr>
      <t xml:space="preserve">VF041_V1 ID1.5/VF078_V1 ID 1.2
</t>
    </r>
    <r>
      <rPr>
        <sz val="8"/>
        <color rgb="FF000000"/>
        <rFont val="Arial"/>
        <family val="2"/>
      </rPr>
      <t xml:space="preserve"> - BCM shall behave as when PT_SYSTEM_FD_1.PowertrainPrplsnActv_PT = "ACTIVE"
</t>
    </r>
    <r>
      <rPr>
        <sz val="8"/>
        <color rgb="FF4F81BD"/>
        <rFont val="Arial"/>
        <family val="2"/>
      </rPr>
      <t xml:space="preserve">
</t>
    </r>
    <r>
      <rPr>
        <b/>
        <sz val="8"/>
        <color rgb="FF4F81BD"/>
        <rFont val="Arial"/>
        <family val="2"/>
      </rPr>
      <t xml:space="preserve">VF150_V2: IDXX PRND in Neutral Wipe-Inhibit
</t>
    </r>
    <r>
      <rPr>
        <sz val="8"/>
        <color rgb="FF000000"/>
        <rFont val="Arial"/>
        <family val="2"/>
      </rPr>
      <t xml:space="preserve">- Wiper Shall Not be Suppressed
</t>
    </r>
    <r>
      <rPr>
        <b/>
        <sz val="8"/>
        <color rgb="FF000000"/>
        <rFont val="Arial"/>
        <family val="2"/>
      </rPr>
      <t xml:space="preserve">(KM &amp; EJ only):
</t>
    </r>
    <r>
      <rPr>
        <b/>
        <sz val="8"/>
        <color rgb="FF4F81BD"/>
        <rFont val="Arial"/>
        <family val="2"/>
      </rPr>
      <t>VF439_V6 ID 6.0, VF439_V7 ID 6.0-VF568_V1 ID 3.0</t>
    </r>
    <r>
      <rPr>
        <sz val="8"/>
        <color rgb="FF000000"/>
        <rFont val="Arial"/>
        <family val="2"/>
      </rPr>
      <t>: Then the BCM shall:Retain in the Previous known Terrain mode/</t>
    </r>
    <r>
      <rPr>
        <b/>
        <sz val="8"/>
        <color rgb="FF000000"/>
        <rFont val="Arial"/>
        <family val="2"/>
      </rPr>
      <t>Drive Modes</t>
    </r>
    <r>
      <rPr>
        <sz val="8"/>
        <color rgb="FF000000"/>
        <rFont val="Arial"/>
        <family val="2"/>
      </rPr>
      <t xml:space="preserve">.
26EJ only
{
</t>
    </r>
    <r>
      <rPr>
        <b/>
        <sz val="8"/>
        <color rgb="FF4F81BD"/>
        <rFont val="Arial"/>
        <family val="2"/>
      </rPr>
      <t xml:space="preserve">VF639_V3 ID 10.0
</t>
    </r>
    <r>
      <rPr>
        <sz val="8"/>
        <color rgb="FF000000"/>
        <rFont val="Arial"/>
        <family val="2"/>
      </rPr>
      <t>if PROXI Axle_Locker_Presence = 1 then Set Rear Axle Locker indicator LIN signal RrAxleLkIndRq as "OFF"
}</t>
    </r>
  </si>
  <si>
    <t>U1207-00</t>
  </si>
  <si>
    <t>Lost Communication with Terrain Switch Bank Module-</t>
  </si>
  <si>
    <t>VF439_V6 No ID VF Rererence
VF439_V7 No ID VF Rererence</t>
  </si>
  <si>
    <t>EC1: Ignition Status - IGN_RUN and BCM_FD_2.RemStActvSts = 00
EC3: System Voltage - 10V to 16V
EC4: Network Configuration Status - Always TRUE
EC5: Bus Physical Status - No Bus physical/ Bus Off DTC LIN2 Active
EC7: Enable Condition Timer - 5 seconds</t>
  </si>
  <si>
    <t>* LIN2:TSBM_A1
Message Missing</t>
  </si>
  <si>
    <t>U121E-00</t>
  </si>
  <si>
    <t>Lost Communication with Steering Wheel Cruise Control Switch-</t>
  </si>
  <si>
    <t xml:space="preserve">
*VF628_V1 ID 5.0</t>
  </si>
  <si>
    <t>Wheel Cruise Control Switch inoperative</t>
  </si>
  <si>
    <t>EC1: Ignition Status - IGN_RUN and BCM_FD_2.RemStActvSts = 00
EC3: System Voltage - 10V to 16V
EC5: Bus Physical Status - No Bus physical/ Bus Off DTC LIN4 Active
EC6: I/O Device Configuration Status – Cruise_Control = Present
OR Cruise_Control_Logic = "Logic_2"
OR Adaptive_Cruise_Control != Absent
EC7: Enable Condition Timer - 5 seconds</t>
  </si>
  <si>
    <t>* LIN4:CSWC_1
Message Missing</t>
  </si>
  <si>
    <r>
      <rPr>
        <b/>
        <sz val="8"/>
        <color theme="4"/>
        <rFont val="Arial"/>
        <family val="2"/>
      </rPr>
      <t xml:space="preserve">VF628_V1 ID 5.0
{
</t>
    </r>
    <r>
      <rPr>
        <sz val="8"/>
        <color rgb="FF000000"/>
        <rFont val="Arial"/>
        <family val="2"/>
      </rPr>
      <t xml:space="preserve">The BCM shall not send out BCM_FD_13 until reception is recovered
</t>
    </r>
    <r>
      <rPr>
        <b/>
        <sz val="8"/>
        <color theme="4"/>
        <rFont val="Arial"/>
        <family val="2"/>
      </rPr>
      <t>}</t>
    </r>
  </si>
  <si>
    <t>U1221-00</t>
  </si>
  <si>
    <t>Lost Communication with Left Headlamp Module-</t>
  </si>
  <si>
    <t xml:space="preserve">
*VF051 ID5.0</t>
  </si>
  <si>
    <t>Turn Signals Blinks at Doubled the Normal Frequency</t>
  </si>
  <si>
    <t>EC1: Ignition Status - IGN_RUN
EC3: System Voltage – 10V to 16V
EC4: Network Configuration Status - Can Configuration.CAN_node 29 (AFLM_SLML) = Present
EC5: Bus Physical Status - No Bus physical/ Bus Off DTC FD4 Active
EC7: Enable Condition Timer - 5 Seconds</t>
  </si>
  <si>
    <t>* FD-CAN4.SLML_STATUS_FD
message missing</t>
  </si>
  <si>
    <t>* FD-CAN4.SLML_STATUS_FD
message Received</t>
  </si>
  <si>
    <r>
      <rPr>
        <b/>
        <sz val="8"/>
        <color theme="4"/>
        <rFont val="Arial"/>
        <family val="2"/>
      </rPr>
      <t xml:space="preserve">VF051 ID5.0
{
</t>
    </r>
    <r>
      <rPr>
        <sz val="8"/>
        <color rgb="FF000000"/>
        <rFont val="Arial"/>
        <family val="2"/>
      </rPr>
      <t xml:space="preserve">a) BCM Shall Double the Normal Frequency of Signal BCM_FD_26.L_TurnCluster
b) BCM Shall Set BCM_FD_26.FLTurnLampFault = SET
</t>
    </r>
    <r>
      <rPr>
        <b/>
        <sz val="8"/>
        <color theme="4"/>
        <rFont val="Arial"/>
        <family val="2"/>
      </rPr>
      <t>}</t>
    </r>
  </si>
  <si>
    <t>U1222-00</t>
  </si>
  <si>
    <t>Lost Communication with Right Headlamp Module-</t>
  </si>
  <si>
    <t xml:space="preserve">*VF051 ID 5.0
</t>
  </si>
  <si>
    <t>EC1: Ignition Status - IGN_RUN                           EC3: System Voltage – 10V to 16V
EC4: Network Configuration Status - CAN Node ID 126 (SLMR) = Present(0x01)
EC5: Bus Physical Status - No Bus physical/ Bus Off DTC FD4 Active
EC7: Enable Condition Timer - 5 seconds</t>
  </si>
  <si>
    <t xml:space="preserve">* FD-CAN4.SLMR_STATUS_FD
message missing
</t>
  </si>
  <si>
    <t>* FD-CAN4.SLMR_STATUS_FD
message Received</t>
  </si>
  <si>
    <r>
      <rPr>
        <sz val="8"/>
        <color rgb="FF000000"/>
        <rFont val="Arial"/>
        <family val="2"/>
      </rPr>
      <t xml:space="preserve">
</t>
    </r>
    <r>
      <rPr>
        <b/>
        <sz val="8"/>
        <color theme="4"/>
        <rFont val="Arial"/>
        <family val="2"/>
      </rPr>
      <t>*VF051 ID 5.0</t>
    </r>
    <r>
      <rPr>
        <b/>
        <sz val="8"/>
        <color rgb="FF1F497D"/>
        <rFont val="Arial"/>
        <family val="2"/>
      </rPr>
      <t xml:space="preserve">
</t>
    </r>
    <r>
      <rPr>
        <sz val="8"/>
        <color rgb="FF000000"/>
        <rFont val="Arial"/>
        <family val="2"/>
      </rPr>
      <t>{
a) BCM Shall Double the Normal Frequency of Signal BCM_FD_26.R_TurnCluster
b) BCM Shall Set BCM_FD_26.FRTurnLampFault = SET
}</t>
    </r>
  </si>
  <si>
    <t>U1223-00</t>
  </si>
  <si>
    <t>Lost Communication with Wireless Charging Pad Module-</t>
  </si>
  <si>
    <t>*VF663_V1 ID6.0
*VF663_V1 ID7.0
*VF663_V1 ID13.0
*VF663_V1 ID14.0</t>
  </si>
  <si>
    <t>EC1: Ignition Status - IGN_RUN
EC3: System Voltage – 10V to 16V
EC4: Network Configuration Status - Always True
EC5: Bus Physical Status - No Bus physical/ Bus Off DTC LIN5 Active
EC6: I/O Device Configuration Status -        Car_Configuration_22.WCPM = Present OR         Phone_As_A_Key = Present
EC7: Enable Condition Timer - 5 seconds</t>
  </si>
  <si>
    <t>Fault Detection Condition:
Fault1:
   PROXI Condition - Car_Configuration_22.WCPM = Present AND
   LIN5:WCPM_1 - Missing Message
Fault2:
   PROXI Condition - Phone_As_A_Key = Present AND
   LIN5:WCPM2_1 - Missing Message</t>
  </si>
  <si>
    <t>Healing Condition:
Fault 1:
    PROXI Condition - Car_Configuration_22.WCPM = Present AND
    LIN5.WCPM_1 - Message Received
Fault 2:
    PROXI Condition - Phone_As_A_Key = Present AND
    LIN5:WCPM2_1 - Message Received</t>
  </si>
  <si>
    <t>U12A7-00</t>
  </si>
  <si>
    <t>Lost Communication with Display Screen Module-</t>
  </si>
  <si>
    <t>VF659_V3</t>
  </si>
  <si>
    <t>EC1: Ignition Status - IGN_RUN and BCM_FD_2.RemStActvSts = 00
EC2: Local Voltage – 9V to 16V
EC4: Network Configuration Status - CAN Node(31) ID 131 (DCSD)= Present(0x01)
EC5: Bus Physical Status - No Bus physical/ Bus Off DTC BH Active
EC7: Enable Condition Timer - 5 seconds</t>
  </si>
  <si>
    <t>* BH-CAN.DIS_CENTERSTACK
Message missing</t>
  </si>
  <si>
    <t>KM
26KM
25EJ
26EJ
26LB</t>
  </si>
  <si>
    <t>U12B4-00</t>
  </si>
  <si>
    <t>Lost Communication with Dual Battery Switch Module-</t>
  </si>
  <si>
    <t>*VF549_V1 ID1.0
VF320_V1 no ID reference</t>
  </si>
  <si>
    <t>EC1: Ignition Status - IGN_RUN
EC3:  System Voltage – 10V to 16V
EC5: Bus Physical Status - No Bus physical/ Bus Off DTC LIN7 Active
EC6: I/O Device Configuration Status – Autonomy_Level = Level 2 Plus
EC7: Enable Condition Timer - 5 seconds</t>
  </si>
  <si>
    <t xml:space="preserve">Fault 1(KM, EJ):
* LIN7.DBSM2_A1 Message Missing  
Fault 2 (EJ,):
* LIN7.DBSM2_A2 Message Missing
Fault 3 (EJ):
* LIN7.DBSM2_A3 Message Missing
Fault 4 (EJ,):
* LIN7.DBSM2_A4 Message Missing
Fault 5 (EJ):
* LIN7.DBSM2_A5 Message Missing
</t>
  </si>
  <si>
    <t xml:space="preserve">
Message Received</t>
  </si>
  <si>
    <t>U12BC-00</t>
  </si>
  <si>
    <t>Lost Communication With Driver Door Latch Module-</t>
  </si>
  <si>
    <t>VF092_V10  VF092_V11
No VF ID Reference</t>
  </si>
  <si>
    <t>EC1: Ignition Status - IGN_RUN and BCM_FD_2.RemStActvSts = 00
EC3: System Voltage - 10V to 16V
EC4: Network Configuration - CAN node 58 (LSMD) = Present(0x01)
EC5: Bus Physical Status - No ( Bus physical/ Bus Off DTC  FDCAN1 Active)
EC7: Enable Condition Timer - 5 seconds</t>
  </si>
  <si>
    <t>Missing message
1) FD_CAN1.ELATCH9</t>
  </si>
  <si>
    <t>FD_CAN1.ELATCH9
Message Received</t>
  </si>
  <si>
    <r>
      <rPr>
        <b/>
        <sz val="8"/>
        <color theme="4"/>
        <rFont val="Arial"/>
        <family val="2"/>
      </rPr>
      <t xml:space="preserve">VF092_V10/VF092_V11 IDXX Driver Door Ajar
{
</t>
    </r>
    <r>
      <rPr>
        <sz val="8"/>
        <color rgb="FF000000"/>
        <rFont val="Arial"/>
        <family val="2"/>
      </rPr>
      <t xml:space="preserve">The BCM shall set DriverDoorSts.Info to Closed
</t>
    </r>
    <r>
      <rPr>
        <b/>
        <sz val="8"/>
        <color theme="4"/>
        <rFont val="Arial"/>
        <family val="2"/>
      </rPr>
      <t>}</t>
    </r>
  </si>
  <si>
    <t>U12BD-00</t>
  </si>
  <si>
    <t>Lost Communication With Passenger Door Latch Module-</t>
  </si>
  <si>
    <t>EC1: Ignition Status - IGN_RUN and BCM_FD_2.RemStActvSts = 00
EC3: System Voltage - 10V to 16V
EC4: Network Configuration - CAN node 59 (LSMP) = Present(0x01)
EC5: Bus Physical Status -No (Bus physical/ Bus Off DTC FDCAN1 Active)
EC7: Enable Condition Timer - 5 seconds</t>
  </si>
  <si>
    <t>Missing message
1) FD_CAN1.ELATCH10</t>
  </si>
  <si>
    <t xml:space="preserve">FD_CAN1.ELATCH10 
Message Received </t>
  </si>
  <si>
    <r>
      <rPr>
        <b/>
        <sz val="8"/>
        <color theme="4"/>
        <rFont val="Arial"/>
        <family val="2"/>
      </rPr>
      <t xml:space="preserve">VF092_V10/VF092_V11 IDXX Passenger Door Ajar
{
</t>
    </r>
    <r>
      <rPr>
        <sz val="8"/>
        <color rgb="FF000000"/>
        <rFont val="Arial"/>
        <family val="2"/>
      </rPr>
      <t xml:space="preserve">The BCM shall set PsngrDoorSts.Info to Closed
</t>
    </r>
    <r>
      <rPr>
        <b/>
        <sz val="8"/>
        <color theme="4"/>
        <rFont val="Arial"/>
        <family val="2"/>
      </rPr>
      <t>}</t>
    </r>
  </si>
  <si>
    <t>U12BE-00</t>
  </si>
  <si>
    <t>Lost Communication With Left Rear Door Latch Module-</t>
  </si>
  <si>
    <t>EC1: Ignition Status - IGN_RUN and BCM_FD_2.RemStActvSts = 00
EC3: System Voltage - 10V to 16V
EC4: Network Configuration - CAN node 111 (LSMRL) = Present(0x01)
EC5: Bus Physical Status - No (Bus physical/ Bus Off DTC FDCAN1 Active)
EC6: I/O Device Configuration - PROXI Number_of_doors = 4
EC7: Enable Condition Timer - 5 seconds</t>
  </si>
  <si>
    <t>Missing message
1) FD_CAN1.ELATCH7</t>
  </si>
  <si>
    <r>
      <rPr>
        <b/>
        <sz val="8"/>
        <color rgb="FF1F497D"/>
        <rFont val="Arial"/>
        <family val="2"/>
      </rPr>
      <t xml:space="preserve">
</t>
    </r>
    <r>
      <rPr>
        <sz val="8"/>
        <color rgb="FF000000"/>
        <rFont val="Arial"/>
        <family val="2"/>
      </rPr>
      <t xml:space="preserve">FD_CAN1.ELATCH7
Message Received
</t>
    </r>
  </si>
  <si>
    <r>
      <rPr>
        <b/>
        <sz val="8"/>
        <color theme="4"/>
        <rFont val="Arial"/>
        <family val="2"/>
      </rPr>
      <t xml:space="preserve">VF092_V10/VF092_V11 IDXX Rear Left Door Ajar
{
</t>
    </r>
    <r>
      <rPr>
        <sz val="8"/>
        <color rgb="FF000000"/>
        <rFont val="Arial"/>
        <family val="2"/>
      </rPr>
      <t xml:space="preserve">The BCM shall set LHRDoorSts.Info to Closed
</t>
    </r>
    <r>
      <rPr>
        <b/>
        <sz val="8"/>
        <color theme="4"/>
        <rFont val="Arial"/>
        <family val="2"/>
      </rPr>
      <t>}</t>
    </r>
  </si>
  <si>
    <t>U12BF-00</t>
  </si>
  <si>
    <t>Lost Communication With Right Rear Door Latch Module-</t>
  </si>
  <si>
    <r>
      <rPr>
        <sz val="8"/>
        <color rgb="FF000000"/>
        <rFont val="Arial"/>
        <family val="2"/>
      </rPr>
      <t>EC1: Ignition Status - IGN_RUN and BCM_FD_2.RemStActvSts = 00
EC3: System Voltage - 10V to 16V
EC4: Network Configuration - CAN node 113 (LSMRR) = Present(0x01</t>
    </r>
    <r>
      <rPr>
        <b/>
        <sz val="8"/>
        <color rgb="FF000000"/>
        <rFont val="Arial"/>
        <family val="2"/>
      </rPr>
      <t xml:space="preserve">)
</t>
    </r>
    <r>
      <rPr>
        <sz val="8"/>
        <color rgb="FF000000"/>
        <rFont val="Arial"/>
        <family val="2"/>
      </rPr>
      <t>EC5: Bus Physical Status - No (Bus physical/ Bus Off DTC FDCAN1 Active
EC6: I/O Device Configuration - PROXI Number_of_doors = 4
EC7: Enable Condition Timer - 5 seconds</t>
    </r>
  </si>
  <si>
    <t>Missing message
1) FD_CAN1.ELATCH8</t>
  </si>
  <si>
    <r>
      <rPr>
        <b/>
        <sz val="8"/>
        <color rgb="FF1F497D"/>
        <rFont val="Arial"/>
        <family val="2"/>
      </rPr>
      <t xml:space="preserve">
</t>
    </r>
    <r>
      <rPr>
        <sz val="8"/>
        <color rgb="FF000000"/>
        <rFont val="Arial"/>
        <family val="2"/>
      </rPr>
      <t xml:space="preserve">FD_CAN1.ELATCH8   
Message Received
</t>
    </r>
  </si>
  <si>
    <r>
      <rPr>
        <b/>
        <sz val="8"/>
        <color theme="4"/>
        <rFont val="Arial"/>
        <family val="2"/>
      </rPr>
      <t xml:space="preserve">VF092_V10  VF092_V11 IDXX Rear Right Door Ajar
{
</t>
    </r>
    <r>
      <rPr>
        <sz val="8"/>
        <color rgb="FF000000"/>
        <rFont val="Arial"/>
        <family val="2"/>
      </rPr>
      <t xml:space="preserve">The BCM shall set RHRDoorSts.Info to Closed
</t>
    </r>
    <r>
      <rPr>
        <b/>
        <sz val="8"/>
        <color rgb="FF1F497D"/>
        <rFont val="Arial"/>
        <family val="2"/>
      </rPr>
      <t>}</t>
    </r>
  </si>
  <si>
    <t>U12C0-00</t>
  </si>
  <si>
    <t>Lost Communication with Terrain Switch Bank Module 2-</t>
  </si>
  <si>
    <t xml:space="preserve">VF639_V3
</t>
  </si>
  <si>
    <r>
      <rPr>
        <sz val="8"/>
        <color rgb="FF000000"/>
        <rFont val="Arial"/>
        <family val="2"/>
      </rPr>
      <t xml:space="preserve">VF639_V3 ID </t>
    </r>
    <r>
      <rPr>
        <b/>
        <sz val="8"/>
        <color rgb="FF000000"/>
        <rFont val="Arial"/>
        <family val="2"/>
      </rPr>
      <t xml:space="preserve">9.0
</t>
    </r>
  </si>
  <si>
    <t>EC1: Ignition Status - IGN_RUN and BCM_FD_2.RemStActvSts = 00
EC3: System Voltage - 10V to 16V
EC4: Network Configuration Status - Always True
EC5: Bus Physical Status - No Bus physical/ Bus Off DTC LIN2 Active
EC6: I/O Device Configuration Status –Chassis_Configuration_17.Axle_Locker_Presence  = Rear Axle Locker (0x01) 
EC7: Enable Condition Timer - 5 seconds</t>
  </si>
  <si>
    <t xml:space="preserve">LIN2:TSBM2_BCM
Message Missing </t>
  </si>
  <si>
    <t xml:space="preserve">LIN2:TSBM2_BCM
Message Received </t>
  </si>
  <si>
    <r>
      <rPr>
        <sz val="8"/>
        <color rgb="FF000000"/>
        <rFont val="Arial"/>
        <family val="2"/>
      </rPr>
      <t xml:space="preserve">26EJ
</t>
    </r>
    <r>
      <rPr>
        <b/>
        <sz val="8"/>
        <color theme="4"/>
        <rFont val="Arial"/>
        <family val="2"/>
      </rPr>
      <t>VF639_V3 ID 9.0:</t>
    </r>
    <r>
      <rPr>
        <b/>
        <sz val="8"/>
        <color rgb="FF000000"/>
        <rFont val="Arial"/>
        <family val="2"/>
      </rPr>
      <t xml:space="preserve">
</t>
    </r>
    <r>
      <rPr>
        <sz val="8"/>
        <color rgb="FF000000"/>
        <rFont val="Arial"/>
        <family val="2"/>
      </rPr>
      <t>{
Set AxleLckrSEL_SW signal as "SNA"
}</t>
    </r>
  </si>
  <si>
    <t>26EJ
EJ</t>
  </si>
  <si>
    <t>U1442-00</t>
  </si>
  <si>
    <t>Implausible Data Received from Driver Presence Detection Module-</t>
  </si>
  <si>
    <t>* C-CAN1.DRIVER_PRESENCE
has DLC less than specified in DBC file:</t>
  </si>
  <si>
    <t>U1445-00</t>
  </si>
  <si>
    <t>Implausible Data Received from Display Screen Module-</t>
  </si>
  <si>
    <t>Malfunctioning Disassociated Center Screen Module</t>
  </si>
  <si>
    <t>Repair or replace DCSD</t>
  </si>
  <si>
    <t>EC1: Ignition Status - IGN_RUN and BCM_FD_2.RemStActvSts = 00
EC3: System Voltage - 10V to 16V
EC4: Network Configuration Status - Can configuration.CAN Node(31) ID 131 (DCSD) = Present(0x01)
EC5: Bus Physical Status - No Bus physical/ Bus Off DTC BH Active
EC7: Enable Condition Timer - 5 seconds</t>
  </si>
  <si>
    <t>* BH-CAN.DIS_CENTERSTACK
has DLC less than specified in DBC file:</t>
  </si>
  <si>
    <t>U147C-00</t>
  </si>
  <si>
    <t>Implausible Data Received from ETM-</t>
  </si>
  <si>
    <t>VF439
VF568</t>
  </si>
  <si>
    <r>
      <rPr>
        <sz val="8"/>
        <color rgb="FF000000"/>
        <rFont val="Arial"/>
        <family val="2"/>
      </rPr>
      <t xml:space="preserve">* VF439_V3 ID1.0 </t>
    </r>
    <r>
      <rPr>
        <b/>
        <sz val="8"/>
        <color rgb="FF000000"/>
        <rFont val="Arial"/>
        <family val="2"/>
      </rPr>
      <t xml:space="preserve">(LB)
</t>
    </r>
    <r>
      <rPr>
        <sz val="8"/>
        <color rgb="FF000000"/>
        <rFont val="Arial"/>
        <family val="2"/>
      </rPr>
      <t xml:space="preserve">
* VF568_V1 IDX.0</t>
    </r>
  </si>
  <si>
    <t>Malfunctioning ETM</t>
  </si>
  <si>
    <t>Repair or replace ETM</t>
  </si>
  <si>
    <r>
      <rPr>
        <sz val="8"/>
        <color rgb="FF000000"/>
        <rFont val="Arial"/>
        <family val="2"/>
      </rPr>
      <t xml:space="preserve">EC1: Ignition Status - IGN_RUN or IGN_START and BCM_FD_2.RemStActvSts = 00
EC3: System Voltage – 10V to 16V
EC4: Network Configuration Status - Can configuration.CAN Node ID 36 (LTM/ETM/HTM) = Present(0x01)
EC5: Bus Physical Status - No (Bus physical/ Bus Off </t>
    </r>
    <r>
      <rPr>
        <b/>
        <sz val="8"/>
        <color rgb="FF000000"/>
        <rFont val="Arial"/>
        <family val="2"/>
      </rPr>
      <t>FDCAN3</t>
    </r>
    <r>
      <rPr>
        <sz val="8"/>
        <color rgb="FF000000"/>
        <rFont val="Arial"/>
        <family val="2"/>
      </rPr>
      <t xml:space="preserve"> DTC Active)
EC7: Enable Condition Timer - 5 seconds</t>
    </r>
  </si>
  <si>
    <r>
      <rPr>
        <b/>
        <sz val="8"/>
        <color rgb="FF000000"/>
        <rFont val="Arial"/>
        <family val="2"/>
      </rPr>
      <t xml:space="preserve">LB, 26LB, 27 CA
</t>
    </r>
    <r>
      <rPr>
        <sz val="8"/>
        <color rgb="FF000000"/>
        <rFont val="Arial"/>
        <family val="2"/>
      </rPr>
      <t xml:space="preserve">{
* FAULT1 - FD-CAN3.TELEMATIC_FD_5.GlobDrvMdRq = SNA                                                                                                  
* FAULT2 -FD_CAN3.TELEMATIC_FD_11.ETM_PaddlesModeReq = SNA                                            
*FAULT3 - FD_CAN3.TELEMATIC_FD_5.ESC_Sft_btn_status = SNA                                                     
*FAULT4 FD_CAN3.TELEMATIC_FD_11.ETM_ADS_MODE_REQ = SNA                                                                            
*FAULT5 - FD_CAN3.TELEMATIC_FD_11.ETM_EPS_MODE_REQ = SNA
}
</t>
    </r>
    <r>
      <rPr>
        <b/>
        <sz val="8"/>
        <color rgb="FF000000"/>
        <rFont val="Arial"/>
        <family val="2"/>
      </rPr>
      <t>Fault 6:</t>
    </r>
    <r>
      <rPr>
        <sz val="8"/>
        <color rgb="FF000000"/>
        <rFont val="Arial"/>
        <family val="2"/>
      </rPr>
      <t xml:space="preserve"> FD-CAN3.TELEMATIC_FD_5
has DLC less than specified in DBC file:</t>
    </r>
  </si>
  <si>
    <t>FAULT1, FAULT2,
FAULT4, FAULT5
(2500)
FAULT3
(10000) 
FAULT6: (5000)</t>
  </si>
  <si>
    <t>LB, 26LB, 27 CA{
* FAULT1 - FD-CAN1.TELEMATIC_FD_5.GlobDrvMdRq != SNA
* FAULT2 - FD_CAN3.TELEMATIC_FD_11.ETM_PaddlesModeReq != SNA
*FAULT3 -  FD_CAN3.TELEMATIC_FD_5.ESC_Sft_btn_status != SNA 
*FAULT4 - FD_CAN3.TELEMATIC_FD_11.ETM_ADS_MODE_REQ != SNA 
*FAULT5 - FD_CAN3.TELEMATIC_FD_11.ETM_EPS_MODE_REQ != SNA }
Fault 6: FD-CAN3.TELEMATIC_FD_5
Message received with correct DLC</t>
  </si>
  <si>
    <t>LB, 26LB  {
*VF439_V3 ID1.0  FAULT1 -
 Ignore TELEMATIC_FD_5.GlobDrvMdRq signal.
*568 V1 ID XX (1.0 see Diagnosis and Recovery Table ) FAULT2 -
 Ignore the TELEMATIC_FD_11.ETM_PaddlesModeReq signal, set the BCM_PADDLES_AUTO_STORED internal parameter equal to "EN", set the BCM_PADDLES_SNOW_STORED internal parameter equal to "EN", and set the BCM_PADDLES_CUSTOM_STORED internal parameter equal to "EN" for the duration that this condition is present.
*568 V1 ID XX (1.0 see Diagnosis and Recovery Table) FAULT3 - 
Ignore the TELEMATIC_FD_5.ESC_Sft_btn_status signal and continue to retain the values of the BCM_STABILITY_CUSTOM_STORED internal parameter, for the duration that this condition is present.
*568 V1 ID XX (1.0 see Diagnosis and Recovery Table) FAULT4 - Ignore the TELEMATIC_FD_11.ETM_ADS_MODE_REQ signal and continue to retain the values of the BCM_SUSPENSION_AUTO_STORED and BCM_SUSPENSION_CUSTOM_STORED internal parameters, for the duration that this condition is present.
*568 V1 ID XX (1.0 see Diagnosis and Recovery Table) FAULT5 - Ignore the TELEMATIC_FD_11.ETM_EPS_MODE_REQ signal and continue to retain the values of the BCM_STEERING_AUTO_STORED and BCM_STEERING_CUSTOM_STORED internal parameters, for the duration that this condition is present.}
Fault 6&gt; Not Defined</t>
  </si>
  <si>
    <t>U1488-00</t>
  </si>
  <si>
    <t>Invalid Data Received from Electric Vehicle Control Module-</t>
  </si>
  <si>
    <t>VF439_V6
VF568_V1
VF439_V7
VF533_V7
VF412_V1</t>
  </si>
  <si>
    <t>* VF439_V6 ID 6.0
* VF568_V1 ID 2.0
* VF439_V7 ID 6.0
VF533_V7 ID 37.0
VF412_V1 ID NA</t>
  </si>
  <si>
    <t>Malfunction EVCU2</t>
  </si>
  <si>
    <t>Replace or Repair EVCU2</t>
  </si>
  <si>
    <t>EC1: Ignition Status - IGN_RUN or IGN_START and BCM_FD_2.RemStActvSts = 00
EC3: System Voltage - 10V to 16V
EC4: Network Configuration - CAN node 64 (EVCU/EVCU2) = "Present"
EC5: Bus Physical Status - No Bus physical/ Bus Off DTC FD3 Active
EC7: Enable Condition Timer - 5 seconds</t>
  </si>
  <si>
    <t xml:space="preserve">Fault 1: FDCAN3.PT_SYSTEM_FD_1.TerrainModeDesiredStat_PT = SNA
Fault 2:
FDCAN3.PT_SYSTEM_FD_1.TerrainModeStat_PT == 'SNA'
Fault3:
internal signal BCM_CRC_MCFailSts.Info = "PT_SYSTEM_FD_1_MC_Fail" OR BCM_CRC_MCFailSts.Info = "PT_SYSTEM_FD_1_CRC_Fail"
</t>
  </si>
  <si>
    <t xml:space="preserve">Fault 1:
FDCAN3.PT_SYSTEM_FD_1.TerrainModeDesiredStat_PT != SNA
Fault 2:
FDCAN3.PT_SYSTEM_FD_1.TerrainModeStat_PT ! = 'SNA'
Fault3:
internal signal BCM_CRC_MCFailSts.Info != "PT_SYSTEM_FD_1_MC_Fail" AND BCM_CRC_MCFailSts.Info != "PT_SYSTEM_FD_1_CRC_Fail"
</t>
  </si>
  <si>
    <r>
      <rPr>
        <sz val="8"/>
        <color rgb="FF000000"/>
        <rFont val="Arial"/>
        <family val="2"/>
      </rPr>
      <t xml:space="preserve">Fault 1:   
</t>
    </r>
    <r>
      <rPr>
        <b/>
        <sz val="8"/>
        <color rgb="FF4F81BD"/>
        <rFont val="Arial"/>
        <family val="2"/>
      </rPr>
      <t>VF439_V6 and VF439_V7 ID 6.0</t>
    </r>
    <r>
      <rPr>
        <sz val="8"/>
        <color rgb="FF000000"/>
        <rFont val="Arial"/>
        <family val="2"/>
      </rPr>
      <t xml:space="preserve"> (Km &amp; EJ only)::
BCM shall retain the previous terrain value (PT_SYSTEM_FD_1.TerrainModeDesiredStat_PT)
Fault 2:
</t>
    </r>
    <r>
      <rPr>
        <b/>
        <sz val="8"/>
        <color rgb="FF4F81BD"/>
        <rFont val="Arial"/>
        <family val="2"/>
      </rPr>
      <t>VF568_V1 ID 2.0</t>
    </r>
    <r>
      <rPr>
        <sz val="8"/>
        <color rgb="FF000000"/>
        <rFont val="Arial"/>
        <family val="2"/>
      </rPr>
      <t xml:space="preserve">(Km &amp; EJ only):
</t>
    </r>
    <r>
      <rPr>
        <b/>
        <sz val="8"/>
        <color rgb="FF000000"/>
        <rFont val="Arial"/>
        <family val="2"/>
      </rPr>
      <t xml:space="preserve">-Retain in the Previous known drive mode.
</t>
    </r>
    <r>
      <rPr>
        <sz val="8"/>
        <color rgb="FF000000"/>
        <rFont val="Arial"/>
        <family val="2"/>
      </rPr>
      <t xml:space="preserve">·If plausibility condition exists even after the ignition cycle, then perform the requirements specified under the "AUTO Mode" sub section of the "Drive Mode Management" section of this VF.
</t>
    </r>
  </si>
  <si>
    <t>U1497-00</t>
  </si>
  <si>
    <t>Implausible Data Received from Wireless Charging Pad Module-</t>
  </si>
  <si>
    <t>*VF663_V1 ID 1.0
*VF663_V1 ID 2.0
*VF663_V1 ID 4.0
*VF663_V1 ID 5.0
*VF663_V1 ID 8.0
*VF663_V1 ID 9.0
*VF663_V1 ID 11.0
*VF663_V1 ID 12.0</t>
  </si>
  <si>
    <t>Malfunctioning Wireless Charging Pad Module</t>
  </si>
  <si>
    <t>EC1: Ignition Status - IGN_RUN
EC3: System Voltage - 10V to 16V
EC4: Network Configuration Status - Always True
EC5: Bus Physical Status - No Bus physical/ Bus Off DTC LIN5 Active
EC6: I/O Device Configuration Status -        Car_Configuration_22.WCPM = Present OR         Phone_As_A_Key = Present
EC7: Enable Condition Timer - 5 Seconds</t>
  </si>
  <si>
    <t>Fault Detection Condition
Fault is Detected when any of the conditions listed below is True
Fault 1:
PROXI Condition - Car_Configuration_22.WCPM = Present AND
 (WCPM_1.WCP_Error == True OR
  WCPM_1.IntErr_NoTemp == True OR
  WCPM_1.IntErr_SPI_CommFault == True OR
  WCPM_1.IntErr_CoilDisconnect == True )
Fault 2:
PROXI Condition - Phone_As_A_Key = Present AND
 (WCPM2_1.WCP2_Error == True OR
  WCPM2_1.IntErr_NoTemp2 == True OR
  WCPM2_1.IntErr_SPI_CommFault2 == True OR
  WCPM2_1.IntErr_CoilDisconnect2 == True )</t>
  </si>
  <si>
    <r>
      <rPr>
        <sz val="8"/>
        <color rgb="FF000000"/>
        <rFont val="Arial"/>
        <family val="2"/>
      </rPr>
      <t xml:space="preserve">Healing Condition
Fault condition is Removed
Fault 1:
PROXI Condition - Car_Configuration_22.WCPM = Present AND
 (WCPM_1.WCP_Error != True AND
  WCPM_1.IntErr_NoTemp != True AND
  WCPM_1.IntErr_SPI_CommFault != True AND
  WCPM_1.IntErr_CoilDisconnect != True)
Fault 2:
PROXI Condition - Phone_As_A_Key = Present AND
 (WCPM2_1.WCP2_Error </t>
    </r>
    <r>
      <rPr>
        <b/>
        <sz val="8"/>
        <color rgb="FF000000"/>
        <rFont val="Arial"/>
        <family val="2"/>
      </rPr>
      <t>!=</t>
    </r>
    <r>
      <rPr>
        <sz val="8"/>
        <color rgb="FF000000"/>
        <rFont val="Arial"/>
        <family val="2"/>
      </rPr>
      <t xml:space="preserve"> True AND
  WCPM2_1.IntErr_NoTemp2 </t>
    </r>
    <r>
      <rPr>
        <b/>
        <sz val="8"/>
        <color rgb="FF000000"/>
        <rFont val="Arial"/>
        <family val="2"/>
      </rPr>
      <t>!=</t>
    </r>
    <r>
      <rPr>
        <sz val="8"/>
        <color rgb="FF000000"/>
        <rFont val="Arial"/>
        <family val="2"/>
      </rPr>
      <t xml:space="preserve"> True AND
  WCPM2_1.IntErr_SPI_CommFault2 </t>
    </r>
    <r>
      <rPr>
        <b/>
        <sz val="8"/>
        <color rgb="FF000000"/>
        <rFont val="Arial"/>
        <family val="2"/>
      </rPr>
      <t>!=</t>
    </r>
    <r>
      <rPr>
        <sz val="8"/>
        <color rgb="FF000000"/>
        <rFont val="Arial"/>
        <family val="2"/>
      </rPr>
      <t xml:space="preserve"> True AND
  WCPM2_1.IntErr_CoilDisconnect2 </t>
    </r>
    <r>
      <rPr>
        <b/>
        <sz val="8"/>
        <color rgb="FF000000"/>
        <rFont val="Arial"/>
        <family val="2"/>
      </rPr>
      <t>!=</t>
    </r>
    <r>
      <rPr>
        <sz val="8"/>
        <color rgb="FF000000"/>
        <rFont val="Arial"/>
        <family val="2"/>
      </rPr>
      <t xml:space="preserve"> True)</t>
    </r>
  </si>
  <si>
    <t>U149C-00</t>
  </si>
  <si>
    <t>Implausible Data Received From Seat Massage Module Driver-r</t>
  </si>
  <si>
    <t>EC1: Ignition Status - IGN_RUN and BCM_FD_2.RemStActvSts = 00
EC3: System Voltage - 10V to 16V
EC4: Network Configuration Status - CAN node 83 (SMMD)  = Present(0x01)
EC5: Bus Physical Status - No (Bus physical/ Bus Off BHCAN DTC FD Active)
EC7: Enable Condition Timer - 5 seconds</t>
  </si>
  <si>
    <t>* BH-CAN.CFG_DATA_CODE_RSP_SMMD 
has DLC less than specified in DBC file:</t>
  </si>
  <si>
    <t>BH-CAN.CFG_DATA_CODE_RSP_SMMD 
Message received with correct DLC</t>
  </si>
  <si>
    <t>25KM
25LB
26KM
26LB</t>
  </si>
  <si>
    <t>U149D-00</t>
  </si>
  <si>
    <t>Implausible Data Received From Seat Massage Module Passenger-</t>
  </si>
  <si>
    <t>EC1: Ignition Status - IGN_RUN and BCM_FD_2.RemStActvSts = 00
EC3: System Voltage - 10V to 16V
EC4: Network Configuration Status - CAN node 84 (SMMP)  = Present(0x01)
EC5: Bus Physical Status - No (Bus physical/ Bus Off BHCAN DTC FD Active)
EC7: Enable Condition Timer - 5 seconds</t>
  </si>
  <si>
    <t>* BH-CAN.CFG_DATA_CODE_RSP_SMMP
has DLC less than specified in DBC file:</t>
  </si>
  <si>
    <t>* BH-CAN.CFG_DATA_CODE_RSP_SMMP
Message received with correct DLC</t>
  </si>
  <si>
    <t xml:space="preserve">
25LB
26KM49
26LB</t>
  </si>
  <si>
    <t>U14A3-00</t>
  </si>
  <si>
    <t>Invalid Data Received From Driver Door Latch Module-</t>
  </si>
  <si>
    <t>CS0099
VF567_V1</t>
  </si>
  <si>
    <t>CS0099
VF567_V1 ID 5.0</t>
  </si>
  <si>
    <t>Malfunctioning LSMD</t>
  </si>
  <si>
    <t>Repair or replace LSMD</t>
  </si>
  <si>
    <t>EC1: Ignition Status - IGN_RUN and BCM_FD_2.RemStActvSts = 00
EC3: System Voltage - 10V to 16V
EC4: Network Configuration - CAN node 58 (LSMD) = Present(0x01)
EC5: Bus Physical Status - No Bus physical/ Bus Off DTC FD1 Active
EC7: Enable Condition Timer - 5 seconds</t>
  </si>
  <si>
    <t>* FD_CAN1.ELATCH9
has DLC less than specified in DBC file:</t>
  </si>
  <si>
    <t>FD_CAN1.ELATCH9
Message received with correct DLC</t>
  </si>
  <si>
    <r>
      <rPr>
        <b/>
        <sz val="8"/>
        <color theme="4"/>
        <rFont val="Arial"/>
        <family val="2"/>
      </rPr>
      <t>VF567_V1 ID 5.0</t>
    </r>
    <r>
      <rPr>
        <b/>
        <sz val="8"/>
        <color rgb="FF000000"/>
        <rFont val="Arial"/>
        <family val="2"/>
      </rPr>
      <t xml:space="preserve">
</t>
    </r>
    <r>
      <rPr>
        <sz val="8"/>
        <color rgb="FF000000"/>
        <rFont val="Arial"/>
        <family val="2"/>
      </rPr>
      <t>BCM shall set BCM_FD_10.FOA_Msg_Req == "FOA_FAULTED.</t>
    </r>
  </si>
  <si>
    <t>U14A4-00</t>
  </si>
  <si>
    <t>Invalid Data Received From Passenger Door Latch Module-</t>
  </si>
  <si>
    <t>Malfunctioning LSMP</t>
  </si>
  <si>
    <t>Repair or replace LSMP</t>
  </si>
  <si>
    <t>EC1: Ignition Status - IGN_RUN and BCM_FD_2.RemStActvSts = 00
EC3: System Voltage - 10V to 16V
EC4: Network Configuration - CAN node 59 (LSMP) = Present(0x01)
EC5: Bus Physical Status - No Bus physical/ Bus Off DTC FD1 Active
EC7: Enable Condition Timer - 5 seconds</t>
  </si>
  <si>
    <t>* FD_CAN1.ELATCH10
has DLC less than specified in DBC file:</t>
  </si>
  <si>
    <t>U14A5-00</t>
  </si>
  <si>
    <t>Invalid Data Received From Left Rear Door Latch Module-</t>
  </si>
  <si>
    <t>CS0099
VF567_V1 ID 4.0</t>
  </si>
  <si>
    <t>Malfunctioning LSMRL</t>
  </si>
  <si>
    <t>Repair or replace  LSMRL</t>
  </si>
  <si>
    <t>EC1: Ignition Status - IGN_RUN and BCM_FD_2.RemStActvSts = 00
EC3: System Voltage - 10V to 16V
EC4: Network Configuration - CAN node 111 (LSMRL) = Present(0x01)
EC5: Bus Physical Status - No Bus physical/ Bus Off DTC FD1 Active
EC7: Enable Condition Timer - 5 seconds</t>
  </si>
  <si>
    <t>* FD_CAN1.ELATCH7
has DLC less than specified in DBC file:</t>
  </si>
  <si>
    <r>
      <rPr>
        <b/>
        <sz val="8"/>
        <color theme="4"/>
        <rFont val="Arial"/>
        <family val="2"/>
      </rPr>
      <t>VF567_V1 ID 4.0</t>
    </r>
    <r>
      <rPr>
        <b/>
        <sz val="8"/>
        <color rgb="FF000000"/>
        <rFont val="Arial"/>
        <family val="2"/>
      </rPr>
      <t xml:space="preserve">
</t>
    </r>
    <r>
      <rPr>
        <sz val="8"/>
        <color rgb="FF000000"/>
        <rFont val="Arial"/>
        <family val="2"/>
      </rPr>
      <t>BCM shall set BCM_FD_10.FOA_Msg_Req == "FOA_FAULTED.</t>
    </r>
  </si>
  <si>
    <t>U14A6-00</t>
  </si>
  <si>
    <t>Invalid Data Received From Right Rear Door Latch Module-</t>
  </si>
  <si>
    <t>CS0099
VF567_V1 ID 3.0</t>
  </si>
  <si>
    <t>Malfunctioning LSMRR</t>
  </si>
  <si>
    <t>Repair or replace LSMRR</t>
  </si>
  <si>
    <t>EC1: Ignition Status - IGN_RUN and BCM_FD_2.RemStActvSts = 00
EC3: System Voltage - 10V to 16V
EC4: Network Configuration - CAN node 113 (LSMRR) = Present(0x01)
EC5: Bus Physical Status - No Bus physical/ Bus Off DTC FD1 Active
EC7: Enable Condition Timer - 5 seconds</t>
  </si>
  <si>
    <t>* FD_CAN1.ELATCH8
has DLC less than specified in DBC file:</t>
  </si>
  <si>
    <r>
      <rPr>
        <b/>
        <sz val="8"/>
        <color theme="4"/>
        <rFont val="Arial"/>
        <family val="2"/>
      </rPr>
      <t>VF567_V1 ID 3.0</t>
    </r>
    <r>
      <rPr>
        <b/>
        <sz val="8"/>
        <color rgb="FF000000"/>
        <rFont val="Arial"/>
        <family val="2"/>
      </rPr>
      <t xml:space="preserve">
</t>
    </r>
    <r>
      <rPr>
        <sz val="8"/>
        <color rgb="FF000000"/>
        <rFont val="Arial"/>
        <family val="2"/>
      </rPr>
      <t>BCM shall set BCM_FD_10.FOA_Msg_Req == "FOA_FAULTED.</t>
    </r>
  </si>
  <si>
    <t>U14A8-00</t>
  </si>
  <si>
    <t>Implausible Data Received From Power TailGate Module-</t>
  </si>
  <si>
    <t>Malfunctioning PLGM</t>
  </si>
  <si>
    <t>EC1: Ignition Status - IGN_RUN and BCM_FD_2.RemStActvSts = 00
EC3: System Voltage - 10V to 16V
EC4: Network Configuration Status - CAN node 69 (PLGM)= Present(0x01) 
EC5: Bus Physical Status - No Bus physical/ Bus Off DTC FD Active
EC7: Enable Condition Timer - 5 seconds</t>
  </si>
  <si>
    <t>U14AB-00</t>
  </si>
  <si>
    <t xml:space="preserve">	
Implausible Data Received From Smart Lighting Module Rear Left 1-</t>
  </si>
  <si>
    <t xml:space="preserve">VF057 ID 6.0
VF247_V1 ID 22.0
</t>
  </si>
  <si>
    <t>Rear lighting operating incorrectly</t>
  </si>
  <si>
    <t>Fault Detection Condtion: SLMRL_A1.LH_BSA_Lamp_Outage_Signal = Faulted</t>
  </si>
  <si>
    <t>Healing Condtion: SLMRL_A1.LH_BSA_Lamp_Outage_Signal = No Faults</t>
  </si>
  <si>
    <r>
      <rPr>
        <b/>
        <sz val="8"/>
        <color theme="4"/>
        <rFont val="Arial"/>
        <family val="2"/>
      </rPr>
      <t>VF057_V1 ID 6.0/VF247_V1 ID 22.0:</t>
    </r>
    <r>
      <rPr>
        <b/>
        <sz val="8"/>
        <color rgb="FF0070C0"/>
        <rFont val="Arial"/>
        <family val="2"/>
      </rPr>
      <t xml:space="preserve">
</t>
    </r>
    <r>
      <rPr>
        <sz val="8"/>
        <color rgb="FF000000"/>
        <rFont val="Arial"/>
        <family val="2"/>
      </rPr>
      <t>{
  FD-CAN2 signal BCM_FD_9.StopLightFault = True
  FD-CAN3 signal BCM_FD_9.StopLightFault = True
(KM26,KM25:
   Internal signal LStopTurnLightFLT = SET )
}</t>
    </r>
  </si>
  <si>
    <t>U1502-00</t>
  </si>
  <si>
    <t>Implausible Message Data Length Received from TCM-</t>
  </si>
  <si>
    <t>Malfunctioning TCM</t>
  </si>
  <si>
    <t>Repair or replace TCM</t>
  </si>
  <si>
    <t>EC1: Ignition Status - IGN_RUN and BCM_FD_2.RemStActvSts = 00
EC3: System Voltage - 10V to 16V
EC4: Network Configuration Status - Can configuration.CAN node 11 (MTA/TCM/DCTM)  OR CAN node 95 (ITBM/ITCM)  = Present(0x01)
EC5: Bus Physical Status - No Bus physical/ Bus Off DTC FD3 Active
EC7: Enable Condition Timer - 5 seconds</t>
  </si>
  <si>
    <t>* FD-CAN3.TRANSM_FD_4
has DLC less than specified in DBC file:</t>
  </si>
  <si>
    <t>25LB
26LB</t>
  </si>
  <si>
    <t>U1514-64</t>
  </si>
  <si>
    <t>Engine Controller Secret Code-Signal Plausibility Failure</t>
  </si>
  <si>
    <t>VF001_V1 ID 2.0
Refer to the following documents(secured) for detail information:
"Standard for Immobilizer Protocol and Associated Algorithms for components with 
Secure elements" V 3.0</t>
  </si>
  <si>
    <t>EC3: System Voltage – 10V to 16V
EC4: Network Configuration Status - CAN node 1 (ECM) = Present
EC5: Bus Physical Status - No Bus physical/ Bus Off DTC Active
EC6: I/O Device Configuration Status - Hybrid_Type != Battery Electric Vehicle
EC7: Enable Condition Timer - 5 Seconds</t>
  </si>
  <si>
    <t xml:space="preserve">Fault Detection Condition
BCM Detects a MiniKrypt Code Verify Error (F1 Received from the ECM doesn't Matches F2 Calculated by the BCM) for a time greater than or equal to T_BCM_Immo_Plausibility
</t>
  </si>
  <si>
    <t>Healing Condition 
No Fault detected by BCM(F1 Received from the ECM matches F2 calculated by the BCM)</t>
  </si>
  <si>
    <r>
      <rPr>
        <b/>
        <sz val="8"/>
        <color theme="4"/>
        <rFont val="Arial"/>
        <family val="2"/>
      </rPr>
      <t>VF001_V1 ID 2.0</t>
    </r>
    <r>
      <rPr>
        <b/>
        <sz val="8"/>
        <color rgb="FF1F497D"/>
        <rFont val="Arial"/>
        <family val="2"/>
      </rPr>
      <t xml:space="preserve">
</t>
    </r>
    <r>
      <rPr>
        <b/>
        <sz val="8"/>
        <color theme="4"/>
        <rFont val="Arial"/>
        <family val="2"/>
      </rPr>
      <t>{</t>
    </r>
    <r>
      <rPr>
        <b/>
        <sz val="8"/>
        <color rgb="FF1F497D"/>
        <rFont val="Arial"/>
        <family val="2"/>
      </rPr>
      <t xml:space="preserve">
</t>
    </r>
    <r>
      <rPr>
        <sz val="8"/>
        <color rgb="FF000000"/>
        <rFont val="Arial"/>
        <family val="2"/>
      </rPr>
      <t xml:space="preserve">BCM Shall:
Set Warning Light ImmHMI.req = ON to IPC
</t>
    </r>
    <r>
      <rPr>
        <b/>
        <sz val="8"/>
        <color theme="4"/>
        <rFont val="Arial"/>
        <family val="2"/>
      </rPr>
      <t>}</t>
    </r>
  </si>
  <si>
    <t>U1514-87</t>
  </si>
  <si>
    <t>Engine Controller Secret Code-Missing Message</t>
  </si>
  <si>
    <t>VF001_V1 ID 1.0
Refer to the following documents(secured) for detail information:
"Standard for Immobilizer Protocol and Associated Algorithms for components with 
Secure elements" V 3.0</t>
  </si>
  <si>
    <t>1. Module Offline (No Power - Blown Fuse)
2. Wiring
3. ECM Internal Failure</t>
  </si>
  <si>
    <t>EC3: System Voltage - 10V to 16V
EC4: Network Configuration Status - CAN node 1 (ECM) = Present
EC5: Bus Physical Status - No Bus physical/ Bus Off DTC Active
EC6: I/O Device Configuration Status - Hybrid_Type != Battery Electric Vehicle
EC7: Enable Condition Timer - 5 Seconds</t>
  </si>
  <si>
    <t>IMMO_CODE_REQUEST - If no ENQ or ENQp is received from the EVCU2 OR ECM 300ms following Ignition On the fault is set</t>
  </si>
  <si>
    <t>ENQ or ENQp is received from the ECM 300ms following Ignition On.</t>
  </si>
  <si>
    <t>U1515-64</t>
  </si>
  <si>
    <t xml:space="preserve">Steering Column Lock Secret Code-Signal Plausibility Failure   </t>
  </si>
  <si>
    <t>VF526_V1 ID21.0
VF526_V1 ID22.0</t>
  </si>
  <si>
    <t>EC1: Ignition Status - IGN_RUN
EC3: System Voltage - 10V to 16V
EC4: Network Configuration Status - CAN node 21 (ESL) = Presen(0x01)
EC5: Bus Physical Status - No Bus physical/ Bus Off DTC Active
EC7: Enable Condition Timer - 5 seconds</t>
  </si>
  <si>
    <t>Fault 1 -
Lock Model Controlled:
IF the BCM, after a lock request BCM_CODE_ESL_REQUEST.ESLLockUnlockReq_ESL_Rq == 'Lock', receives an ESL_CODE_RESPONSE message with the following implausible state:
* ESLFeedbackCmd == 'Locked' AND ESLLockFailSts == 'Failure'
Fault 2 -
UnLock Model Controlled:
The BCM, after an unlock request BCM_CODE_ESL_REQUEST.ESLLockUnlockReq_ESL_Rq == 'Unlock', receives an ESL_CODE_RESPONSE message with one of the following implausible states:
* ESLFeedbackCmd == 'Unlocked' AND ESLUnlockFailSts == 'Failure'
* ESLFeedbackCmd == 'Not Unlocked' AND ESLUnlockFailSts == 'Not_Failure'
*ESLFeedbackCmd == 'Unlocked' AND ESLUnlockFailSts == 'Not_Failure' AND CodeCheckSts_ESL == 'CodeCheck_Fault'</t>
  </si>
  <si>
    <t>Fault 1 -
IF the BCM, after a lock request BCM_CODE_ESL_REQUEST.ESLLockUnlockReq_ESL_Rq == 'Lock', receives an ESL_CODE_RESPONSE message that does not include any of the above implausible states
Fault 2 -
IF the BCM, after an unlock request BCM_CODE_ESL_REQUEST.ESLLockUnlockReq_ESL_Rq == 'Unlock', receives an ESL_CODE_RESPONSE message that does not include any of the above implausible states)</t>
  </si>
  <si>
    <t>U1515-87</t>
  </si>
  <si>
    <t xml:space="preserve">Steering Column Lock Secret Code-Missing Message </t>
  </si>
  <si>
    <t>VF526_V1 ID19.0
VF526_V1 ID20.0</t>
  </si>
  <si>
    <t>Merged DTC for Lock and Unlock.
Fault 1 -
Lock Model Controlled:
MISSING ESL_CODE_RESPONSE LOCK - Set if no feedback is received from the ESL in response to a lock req from the BCM in 4500 ms
Fault 2 -
Unlock Model Controlled:
MISSING ESL_CODE_RESPONSE UNLOCK - Set if no feedback is received from the ESL in response to a Unlock req from the BCM in 1000 ms</t>
  </si>
  <si>
    <t>Fault1- (4500)
Fault2- (1000)</t>
  </si>
  <si>
    <t>Fault 1 -
BCM does receive the message ESL_CODE_RESPONSE within time T_Lock_BCM after a lock request BCM_CODE_ESL_REQUEST.ESLLockUnlockReq_ESL_Rq == 'Lock'
Fault 2 - 
IF BCM does receive the message ESL_CODE_RESPONSE within time T_No_Unlock_Response after an unlock request BCM_CODE_ESL_REQUEST.ESLLockUnlockReq_ESL_Rq == 'Unlock'</t>
  </si>
  <si>
    <t>Fault 1- (4500)
Fault 2- 1000</t>
  </si>
  <si>
    <t>U1516-64</t>
  </si>
  <si>
    <t>RF Hub Secret Code-Signal Plausibility Failure</t>
  </si>
  <si>
    <t>VF231</t>
  </si>
  <si>
    <t xml:space="preserve">VF231_V3 ID 2.0 Refer to the following documents(secured) for detail information:
"Standard for Immobilizer Protocol and Associated Algorithms for components with 
Secure elements" V 3.0 and </t>
  </si>
  <si>
    <t>Vehicle does not reach Ignition position (Ignition relays are not activated)</t>
  </si>
  <si>
    <t>EC3:  System Voltage – 10V to 16V
EC4: Network Configuration Status - Always True
EC5: Bus Physical Status - No (Bus physical/ Bus Off FDCAN3 DTC Active)
EC7: Enable Condition Timer(T_Code_Plausibility_BCM_RFHM ) - 1 second</t>
  </si>
  <si>
    <t xml:space="preserve">The BCM, after an Immobilizer Protocol with the RFHM, receives an unexpected response from the RFHM TRM_CODE_RESPONSE.ControlEncoding_TRM_Rsp = TEN
OR 
The BCM detects the G1/G2 mismatch during the RFHM-BCM Immobilizer handshake
</t>
  </si>
  <si>
    <t xml:space="preserve">24MY:
(1000)
25/26MY:
(2500)
</t>
  </si>
  <si>
    <t>WHEN the BCM does not detect either of the fault(in mature threshold) anymore</t>
  </si>
  <si>
    <t>U1516-87</t>
  </si>
  <si>
    <t>RF Hub Secret Code-Missing Message</t>
  </si>
  <si>
    <t xml:space="preserve">VF231_V3 ID1.0
Refer to the following documents(secured) for detail information:
"Standard for Immobilizer Protocol and Associated Algorithms for components with 
Secure elements" V 3.0
</t>
  </si>
  <si>
    <t>EC3:  System Voltage – 10V to 16V
EC4: Network Configuration Status - Always True
EC5: Bus Physical Status - No (Bus physical/ Bus Off  FDCAN3 DTC Active)
EC7: Enable Condition Timer(T_Code_Missing_Msg_BCM_RFHM) - 1 second</t>
  </si>
  <si>
    <t>When the BCM doesn't receive the message 
TRM_CODE_RESPONSE after BCM sends out the BCM_CODE_TRM_REQUEST.</t>
  </si>
  <si>
    <t xml:space="preserve">WHEN the BCM correctly receives the message TRM_CODE_RESPONSE </t>
  </si>
  <si>
    <t>U151C-00</t>
  </si>
  <si>
    <t>Implausible Data Received From Trailer Interface Module-</t>
  </si>
  <si>
    <t>* C-CAN1.STATUS_TTM 
has DLC less than specified in DBC file:</t>
  </si>
  <si>
    <t>C-CAN1.STATUS_TTM 
Message received with correct DLC</t>
  </si>
  <si>
    <t>25KM
25EJ
26KM
26EJ</t>
  </si>
  <si>
    <t>U151E-00</t>
  </si>
  <si>
    <t>Pedestrian Alert Control Module received implausible data from the BCM-</t>
  </si>
  <si>
    <t>VF371_V1 ID4.0</t>
  </si>
  <si>
    <t>EC1: Ignition Status - IGN_RUN and BCM_FD_2.RemStActvSts = 00
EC3: System Voltage - 10V to 16V
EC5: Bus Physical Status - No Bus physical/ Bus Off DTC LIN3 Active
EC6: I/O Device Configuration Status – Car_Configuration_36.QVPM_Configuration != Absent 
EC7: Enable Condition Timer - 5 seconds</t>
  </si>
  <si>
    <t>CBC_QVPM2_REQ_GLOBAL.Gear_Pos != P;
QVPM2_Veh_Speed between 0 to 20 km/h (NON-NAFTA) or 0 to 30km/h (NAFTA);
AND (QVPM2_STAT_GLOBAL.RsErr_QVPM2 = 1)</t>
  </si>
  <si>
    <t>QVPM2_STAT_GLOBAL.RsErr_QVPM2 != 1</t>
  </si>
  <si>
    <r>
      <rPr>
        <b/>
        <sz val="8"/>
        <color rgb="FF4F81BD"/>
        <rFont val="Arial"/>
        <family val="2"/>
      </rPr>
      <t>VF371 ID 4.0</t>
    </r>
    <r>
      <rPr>
        <sz val="8"/>
        <color rgb="FF000000"/>
        <rFont val="Arial"/>
        <family val="2"/>
      </rPr>
      <t xml:space="preserve">  27KM
{
set the BCM_FD_11.AVASFail = Fail_Present
}</t>
    </r>
  </si>
  <si>
    <t>U1520-64</t>
  </si>
  <si>
    <t>Electric Vehicle Control Unit Module Secret Code-Signal Plausibility Failure</t>
  </si>
  <si>
    <t>VF001_V1 ID 2.0</t>
  </si>
  <si>
    <t xml:space="preserve">
Malfunction EVCU</t>
  </si>
  <si>
    <t>Check the correct functionality of EVCU/EVC2. In case of no response, replace it.</t>
  </si>
  <si>
    <t xml:space="preserve">EC3: System Voltage - 10V to 16V
EC4: Network Configuration - CAN node 64 (EVCU/EVCU2) = Present
EC5: Bus Physical Status - No Bus physical/ Bus Off DTC Active
EC6: I/O Device Configuration Status - Hybrid_Type = Battery Electric Vehicle
</t>
  </si>
  <si>
    <t>BCM detects a MiniKrypt code verify error (F1 received from the EVCU/EVC2 doesn't matches F2 calculated by the BCM) for a time greater than or equal to T_BCM_Immo_Plausibility</t>
  </si>
  <si>
    <t>No Fault detected by BCM(f1 received from the EVCU/EVC2 matches f2 calculated by the BCM)</t>
  </si>
  <si>
    <r>
      <rPr>
        <b/>
        <sz val="8"/>
        <color theme="4"/>
        <rFont val="Arial"/>
        <family val="2"/>
      </rPr>
      <t>VF001_V1 ID 2.0:</t>
    </r>
    <r>
      <rPr>
        <b/>
        <sz val="8"/>
        <color rgb="FF000000"/>
        <rFont val="Arial"/>
        <family val="2"/>
      </rPr>
      <t xml:space="preserve">
</t>
    </r>
    <r>
      <rPr>
        <sz val="8"/>
        <color rgb="FF000000"/>
        <rFont val="Arial"/>
        <family val="2"/>
      </rPr>
      <t>The BCM shall:
1) Set Warning Light ImmHMI.req = ON to IPC</t>
    </r>
  </si>
  <si>
    <t>U1520-87</t>
  </si>
  <si>
    <t>Electric Vehicle Control Unit Module Secret Code-Missing Message</t>
  </si>
  <si>
    <t>VF001_V1 ID 2.0
VF150</t>
  </si>
  <si>
    <t>EC3: System Voltage - 10V to 16V
EC4: Network Configuration - CAN node 64 (EVCU/EVCU2) = Present
EC5: Bus Physical Status - No Bus physical/ Bus Off DTC Active
EC6: I/O Device Configuration Status - Hybrid_Type = Battery Electric Vehicle
EC7: Enable Condition Timer - 5 seconds</t>
  </si>
  <si>
    <t>Fault Detection: Condition:IMMO_CODE_REQUEST - If no ENQ or ENQp is Received from the EVCU/EVC2 300ms following Ignition_On the Fault is Set</t>
  </si>
  <si>
    <t>Healing Condition:
ENQ or ENQp is Received from the EVCU/EVC2 300ms following Ignition_On</t>
  </si>
  <si>
    <r>
      <rPr>
        <b/>
        <sz val="8"/>
        <color theme="4"/>
        <rFont val="Arial"/>
        <family val="2"/>
      </rPr>
      <t>VF001_V1 ID 2.0:</t>
    </r>
    <r>
      <rPr>
        <b/>
        <sz val="8"/>
        <color rgb="FF000000"/>
        <rFont val="Arial"/>
        <family val="2"/>
      </rPr>
      <t xml:space="preserve">
</t>
    </r>
    <r>
      <rPr>
        <sz val="8"/>
        <color rgb="FF000000"/>
        <rFont val="Arial"/>
        <family val="2"/>
      </rPr>
      <t>BCM Shall
Set Warning Light ImmHMI.req = ON to IPC</t>
    </r>
  </si>
  <si>
    <t>U196B-00</t>
  </si>
  <si>
    <t>Implausible Data Received From RF Hub-</t>
  </si>
  <si>
    <t>EC1: Ignition Status - IGN_RUN
EC3: System Voltage - 10V to 16V
EC4: Network Configuration Status - CAN Node ID 65 = Present(0x01)
EC5: Bus Physical Status - No Bus physical/ Bus Off DTC FD3 Active
EC7: Enable Condition Timer - 5 seconds</t>
  </si>
  <si>
    <t>FD-CAN3.RFHUB_FD_1.RFFuncReq = = "SNA"</t>
  </si>
  <si>
    <t>FD-CAN3.RFHUB_FD_1.RFFuncReq != "SNA"</t>
  </si>
  <si>
    <r>
      <rPr>
        <b/>
        <sz val="8"/>
        <color theme="4"/>
        <rFont val="Arial"/>
        <family val="2"/>
      </rPr>
      <t>VF078_V1 ID 1.15:</t>
    </r>
    <r>
      <rPr>
        <b/>
        <sz val="8"/>
        <color rgb="FF000000"/>
        <rFont val="Arial"/>
        <family val="2"/>
      </rPr>
      <t xml:space="preserve">
</t>
    </r>
    <r>
      <rPr>
        <sz val="8"/>
        <color rgb="FF000000"/>
        <rFont val="Arial"/>
        <family val="2"/>
      </rPr>
      <t>BCM shall behave as if RFFuncReq == "NO_BASIC_REQUEST"</t>
    </r>
  </si>
  <si>
    <t>U3034-00</t>
  </si>
  <si>
    <t>Communication Authentication Key/Certificate Missing/Invalid-</t>
  </si>
  <si>
    <t>Look for Memory Failures in the
ECU and renew the key for the
message group</t>
  </si>
  <si>
    <t>Invalid KeyCommunication Authentication Key/Certificate Missing/Invalid (Fault detected by invalid keys identified for the message group during key negotiation).</t>
  </si>
  <si>
    <t>Upon retriggering the key negotiation routine(RID 2002) for that message group if output from the ANSI.X9.63 is valid DTC shall be cleared</t>
  </si>
  <si>
    <r>
      <t xml:space="preserve">DTC / </t>
    </r>
    <r>
      <rPr>
        <b/>
        <sz val="11"/>
        <color rgb="FFFF0000"/>
        <rFont val="Arial"/>
        <family val="2"/>
      </rPr>
      <t>UDS DTC Reference</t>
    </r>
  </si>
  <si>
    <r>
      <t xml:space="preserve">DTC Description  /  </t>
    </r>
    <r>
      <rPr>
        <b/>
        <u/>
        <sz val="10"/>
        <color rgb="FFFF0000"/>
        <rFont val="Arial"/>
        <family val="2"/>
      </rPr>
      <t>Error Text</t>
    </r>
  </si>
  <si>
    <t xml:space="preserve">OCCURRENCE_FAULT   </t>
  </si>
  <si>
    <r>
      <t xml:space="preserve">WARNING_INDICATOR / </t>
    </r>
    <r>
      <rPr>
        <b/>
        <u/>
        <sz val="10"/>
        <color rgb="FFFF0000"/>
        <rFont val="Arial"/>
        <family val="2"/>
      </rPr>
      <t>Set WarningIndicatorBit at fault</t>
    </r>
    <r>
      <rPr>
        <b/>
        <u/>
        <sz val="10"/>
        <color indexed="12"/>
        <rFont val="Arial"/>
        <family val="2"/>
      </rPr>
      <t xml:space="preserve">
</t>
    </r>
    <r>
      <rPr>
        <sz val="10"/>
        <color indexed="12"/>
        <rFont val="Arial"/>
        <family val="2"/>
      </rPr>
      <t>(bit 7)</t>
    </r>
  </si>
  <si>
    <t>PRIORITY / DTC Priority</t>
  </si>
  <si>
    <r>
      <t xml:space="preserve">STORED_DTC_SELF_HEALING_CRITERIA / </t>
    </r>
    <r>
      <rPr>
        <b/>
        <u/>
        <sz val="10"/>
        <color rgb="FFFF0000"/>
        <rFont val="Arial"/>
        <family val="2"/>
      </rPr>
      <t>HEALING CYCLES COUNTER</t>
    </r>
  </si>
  <si>
    <t>ENGINEERING_NOTES</t>
  </si>
  <si>
    <t>CUSTOMER_PERCEPTION_SYMPTOM</t>
  </si>
  <si>
    <t>POSSIBLE_CAUSES</t>
  </si>
  <si>
    <t xml:space="preserve">REPAIR_ACTION </t>
  </si>
  <si>
    <t xml:space="preserve">ENABLE_CONDITIONS  </t>
  </si>
  <si>
    <t xml:space="preserve">MATURE_THRESHOLD </t>
  </si>
  <si>
    <t>MATURE_TIME_VALUE_UNIT</t>
  </si>
  <si>
    <t xml:space="preserve">MONITOR_TYPE </t>
  </si>
  <si>
    <t xml:space="preserve">MONITOR_RATE_VALUE_UNIT </t>
  </si>
  <si>
    <t>NUMBER_OF_TRIPS_ACTIVE</t>
  </si>
  <si>
    <t>DE_MATURE_CRITERIA</t>
  </si>
  <si>
    <t>DE_MATURE_TIME_VALUE_UNIT</t>
  </si>
  <si>
    <t>LIMP_IN_ACTION  (Recovery)</t>
  </si>
  <si>
    <t>Severity1</t>
  </si>
  <si>
    <t>HEX Value</t>
  </si>
  <si>
    <t>J2012 Format</t>
  </si>
  <si>
    <t>Type</t>
  </si>
  <si>
    <t>2F8F00</t>
  </si>
  <si>
    <t>P2F8F-00</t>
  </si>
  <si>
    <t>Drive Motor Control Module "A" High Voltage System Discharge - no sub type information</t>
  </si>
  <si>
    <t>Y</t>
  </si>
  <si>
    <t>Wrench</t>
  </si>
  <si>
    <t>58 - ActvDschrgCktFailGrp
/</t>
  </si>
  <si>
    <t>No customer perception</t>
  </si>
  <si>
    <t>Discharge circuit:
- discharge load/resistor (integrated in PIM PCB)
- PIM Assembly</t>
  </si>
  <si>
    <t>Check for discharge circuit connection:
HV connection
replace PIM Assembly</t>
  </si>
  <si>
    <t>/</t>
  </si>
  <si>
    <t>T1 - 2 ms</t>
  </si>
  <si>
    <t>Parent Fault - Check Child Faults for Limp-actions</t>
  </si>
  <si>
    <t xml:space="preserve">633 - ActvDschrgCktFailGrp.CktFail
Indicates that the active discharge circuit has failed
If time threshold is reached, and HV is NOT below 60V , fault will be set </t>
  </si>
  <si>
    <t>Startup delay timer needs to be expired:
startup_delay &gt;= k_McpDiag.CalAddnl.DiagstrtupDlyTm_Sec</t>
  </si>
  <si>
    <t xml:space="preserve">
*After enabled active discharge,  The HV Battery "V_ActvDischrgRstr_CtrlProc_InVdc" voltage decay detected within 100 ms  and after 2.5 sec  V_ActvDischrgRstr_CtrlProc_InVdc &gt; Ke_Mcp_ActvDischrgRstr_CtrlProc_HVMinDischThreshold
the output of active discharge will be McpProcStMchn.In.Lv1_DischargeState == Lv1_AD_FAULTED, Once set the fault then the fail counter will start increase  NvMcpDiag.ActvDschrgCktFail_FailCnt ++ , If 
NvMcpDiag.ActvDschrgCktFail_FailCnt &gt; K_ActvDschrgCktFail_FailLimCnt  then ActvDschrgFailSt will set.
Active Discharged Ckt Fail Status must be true from Lv1Active Discharge SWC:
ActvDschrgFailSt = 1</t>
  </si>
  <si>
    <t>K_McpDiag.ActvDschrgCktFailGrp.CktFail.EnblTyp</t>
  </si>
  <si>
    <t>Active Discharged Fail Status must be false:
ActvDschrgFailSt = 0</t>
  </si>
  <si>
    <t>DTC Only - No Limp Action</t>
  </si>
  <si>
    <t>635 - ActvDschrgCktFailGrp.CktFailLV2
Indicates that the active discharge circuit has failed LV2</t>
  </si>
  <si>
    <t>Supply 5V GDIC Bottom Signal High Validity is not Invalid
TrqSecur.Hw.InRaw.eSply5vGDICBotSgnlHiVldty  != SGNL_INVALID
AND
Supply 5V GDIC Bottom Signal Low Validity is not Invalid
TrqSecur.Hw.InRaw.eSply5vGDICBotSgnlHiVldty != SGNL_INVALID</t>
  </si>
  <si>
    <t>After enabled Lv2active discharge,  The HV Battery "V_L2AppSftyLV2ActvDischrg_InVdc" voltage decay detected within 100 ms  and after 2.5 sec  V_L2AppSftyLV2ActvDischrg_InVdc &gt; KeL2AppSftyLv2ActvDischrg_U_HVMinDischThreshold
the output of active discharge will be V_L2AppSftyLV2ActvDischrg_DischargeState == AD_FAULTED, Once completed discharge status then the Pass counter will start increase TrqSecurDiag.TrqSecurNv.Prvt.ActvDschrgCktFail_FailCnt ++ , If
TrqSecurDiag.TrqSecurNv.Prvt.ActvDschrgCktFail_FailCnt &gt; K_TrqSecur.Init.K_ActvDschrgCktFail_FailLimCnt   then TrqSecur.LV2Data.Prvt.ActvDschrgFailSt will set.
Level 2 Active Discharged Fail Status must be true  from Lv2Active Discharge SWC::
TrqSecurDiag.Lv2ActvDschrg.FailState = 1</t>
  </si>
  <si>
    <t>K_TrqSecur.Diag.CktFailLV2.EnblTyp</t>
  </si>
  <si>
    <t>LV2_TASK</t>
  </si>
  <si>
    <t>Level 2 Active Discharged Fail Status must be false:
TrqSecurDiag.Lv2ActvDschrg.FailState = 0</t>
  </si>
  <si>
    <t>632 - ActvDschrgCktFailGrp.FETFail
Indicates that the active discharge circuit has failed</t>
  </si>
  <si>
    <t xml:space="preserve">5V TOP GDIC Signal is between Upper and Lower Threshold: K_McpDiag.CalAddnl.Ok_5V_GDIC_TOP_AI_UndrThrsh &lt; IntrfcT1.In.Sply5vGDICTopSgnl &lt; K_McpDiag.CalAddnl.Ok_5V_GDIC_TOP_AI_OvrThrsh
AND
Motor Mode Command is equalt to Active Discharge (=3)
IntrfcT1.In.eMtrModeCmd == ACTIVE_DISCHARGE </t>
  </si>
  <si>
    <t>IoHwAb_ACT_DIS_FET_HEALTH_AI Signal value greater than Fail Threshold calibration::
IoHwAb_ACT_DIS_FET_HEALTH_AI &gt; K_McpDiag.ActvDschrgCktFailGrp.FETFail.FltSetThrsh</t>
  </si>
  <si>
    <t xml:space="preserve">K_McpDiag.ActvDschrgCktFailGrp.FETFail.LimFailSec </t>
  </si>
  <si>
    <t>K_McpDiag.ActvDschrgCktFailGrp.FETFail.EnblTyp</t>
  </si>
  <si>
    <t>IoHwAb_ACT_DIS_FET_HEALTH_AI  Signal value must be below or equal to the Pass Threshold:
IoHwAb_ACT_DIS_FET_HEALTH_AI &lt;= K_McpDiag.ActvDschrgCktFailGrp.FETFail.FltHyst</t>
  </si>
  <si>
    <t xml:space="preserve">K_McpDiag.ActvDschrgCktFailGrp.FETFail.LimPassSec </t>
  </si>
  <si>
    <t>Not active in the Software</t>
  </si>
  <si>
    <t>785 - ActvDschrgCktFailGrp.FETFailRngHi
Indicates that the active discharge circuit has failed</t>
  </si>
  <si>
    <t>5V TOP GDIC Signal is between Upper and Lower Threshold:
K_McpDiag.CalAddnl.Ok_5V_GDIC_TOP_AI_UndrThrsh &lt; IntrfcT1.In.Sply5vGDICTopSgnl&lt; K_McpDiag.CalAddnl.Ok_5V_GDIC_TOP_AI_OvrThrsh</t>
  </si>
  <si>
    <t>Active Discharge FET signal check with upper threshold if condition is true the FET signal validity Hi flag will set as a invalid.
Intrfc.Hw.InRaw.ActDisFetSgnl &gt; Intrfc.Hw.InRaw.ActDisFetSgnl_strc.SgnlOvr.Cal.FltSetThrsh
Active Discharge Fet Signal Hi Validity is Invalid:
Intrfc.Hw.InRaw.eActDisFetSgnlHiVldty == SGNL_INVALID</t>
  </si>
  <si>
    <t>K_McpDiag.ActvDschrgCktFailGrp.FETFailRngHi.EnblTyp</t>
  </si>
  <si>
    <t>Active Discharge Fet Signal Hi Validity is not Invalid:
Intrfc.Hw.InRaw.eActDisFetSgnlHiVldty =! SGNL_INVALID</t>
  </si>
  <si>
    <t>786 - ActvDschrgCktFailGrp.FETFailRngLo
Indicates that the active discharge circuit has failed</t>
  </si>
  <si>
    <t xml:space="preserve">5V TOP GDIC Signal is between Upper and Lower Threshold:
K_McpDiag.CalAddnl.Ok_5V_GDIC_TOP_AI_UndrThrsh &lt; IntrfcT1.In.Sply5vGDICTopSgnl&lt; K_McpDiag.CalAddnl.Ok_5V_GDIC_TOP_AI_OvrThrsh   </t>
  </si>
  <si>
    <t>Active Discharge FET siganl check with lower threshold if condition is true the FET signal validity Lo flag will set as a invalid.
Intrfc.Hw.InRaw.ActDisFetSgnl &lt;  Intrfc.Hw.InRaw.ActDisFetSgnl_strc.SgnlUndr.Cal.FltSetThrsh 
Active Discharge Fet Signal Lo Validity is Invalid:
Intrfc.Hw.InRaw.eActDisFetSgnlLoVldty == SGNL_INVALID</t>
  </si>
  <si>
    <t>K_McpDiag.ActvDschrgCktFailGrp.FETFailRngLo.EnblTyp</t>
  </si>
  <si>
    <t>Active Discharge Fet Signal Lo Validity is NOT Invalid:
Intrfc.Hw.InRaw.eActDisFetSgnlLoVldty =! SGNL_INVALID</t>
  </si>
  <si>
    <t>634 - ActvDschrgCktFailGrp.PIC
Indicates that the active discharge circuit has failed</t>
  </si>
  <si>
    <t>startup delay timer needs to be expired
startup delay &gt;= K_McpDiag.CalAddnl.DiagStrtupDlyTm_Sec</t>
  </si>
  <si>
    <t>Checking the Aux micro active discharge fault status "McpDiag.InRaw.ActDisFlt" if it is true then this diagnostic fault will set.
Active Discharge must be true:
McpDiag.InRaw.ActDisFlt = 1
This Fault is set when several conditions are met:
1- Lv3 Fault is triggered by Monitoring unit (TLF)
2- Programs with Crash info: Crash is dtected
3- If condition 1 and 2 are met, then Auxiliary Micro attemps active discharge
4- If Auxiliary Micro attemps active discharge but:
     4a: HVDC Voltage is above a calibratable threshold K_AuxMicro_SafeStVdcThrsh
    4b: Active discharge attemps are failed or timed out
    4c: Voltage drop between start of active discharge and end of active discharge attemp is higher than K_AuxMicro_PassDisThrsh 
Note: Errors in Auxiliary Micro Active disharge will be reported in next power cycle</t>
  </si>
  <si>
    <t>K_McpDiag.ActvDschrgCktFailGrp.PIC.EnblTyp</t>
  </si>
  <si>
    <t>Active Discharge must be false:
McpDiag.InRaw.ActDisFlt = 0</t>
  </si>
  <si>
    <t>1091 - ActvDschrgCktFailGrp.PrmryId_OvrThrshMtrn
Active discharge primary (via windings) failed ID current</t>
  </si>
  <si>
    <t>Entry Criteria Always must be True:
EntryCrit.Always  = TbTRUE
AND
5V TOP GDIC Signal is between Upper and Lower Threshold:
K_McpDiag.CalAddnl.Ok_5V_GDIC_TOP_AI_UndrThrsh &lt; IntrfcT1.In.Sply5vGDICTopSgnl&lt; K_McpDiag.CalAddnl.Ok_5V_GDIC_TOP_AI_OvrThrsh   
AND
5V BOT GDIC Signal is between Upper and Lower Threshold:
K_McpDiag.CalAddnl.Ok_5V_GDIC_BOT_AI_UndrThrsh &lt; IntrfcT1.In.Sply5vGDICBotSgnl&lt; K_McpDiag.CalAddnl.Ok_5V_GDIC_BOT_AI_OvrThrsh
AND
The command for the ADC (Analog-to-Digital Converter) to ADSWC (Analog-to-Digital Switch Control) must be set to the value 2:
Intrfc.Out.ADCmd2ADSWC = 2</t>
  </si>
  <si>
    <t xml:space="preserve">The difference between the Commanded current and and the Feedback current must be greater than the fault set threshold:
(McpProcStMchn.InRaw.IsdCmd -  McpProcStMchn.InRaw.IdFdbk) &gt; Intrfc.Hw.InRaw.ActvDschrgCktFailGrp.PrmryId_OvrThrshMtrn.FltSetThrsh 
</t>
  </si>
  <si>
    <t>K_McpDiag.ActvDschrgCktFailGrp.PrmryId_OvrThrshMtrn.LimFailSec</t>
  </si>
  <si>
    <t>K_McpDiag.ActvDschrgCktFailGrp.PrmryId_OvrThrshMtrn.EnblTyp</t>
  </si>
  <si>
    <t>The difference between the Commanded current and and the Feedback current must be lower or equal to the Pass Threshold:
(McpProcStMchn.InRaw.IsdCmd -  McpProcStMchn.InRaw.IdFdbk) &lt;= Intrfc.Hw.InRaw.ActvDschrgCktFailGrp.PrmryId_OvrThrshMtrn.FltHyst</t>
  </si>
  <si>
    <t>K_McpDiag.ActvDschrgCktFailGrp.PrmryId_OvrThrshMtrn.PassFailSec</t>
  </si>
  <si>
    <t>1092 - ActvDschrgCktFailGrp.PrmryIq_OvrThrshMtrn
Active discharge primary (via windings) failed IQ current</t>
  </si>
  <si>
    <t xml:space="preserve">The difference between the Commanded current and and the Feedback current must be greater than the fault set threshold:
(McpProcStMchn.InRaw.IsqCmd -  McpProcStMchn.InRaw.IqFdbk) &gt; Intrfc.Hw.InRaw.ActvDschrgCktFailGrp.PrmryIq_OvrThrshMtrn.FltSetThrsh 
</t>
  </si>
  <si>
    <t>K_McpDiag.ActvDschrgCktFailGrp.PrmryIq_OvrThrshMtrn.LimFailSec</t>
  </si>
  <si>
    <t>K_McpDiag.ActvDschrgCktFailGrp.PrmryIq_OvrThrshMtrn.EnblTyp</t>
  </si>
  <si>
    <t xml:space="preserve">The difference between the Commanded current and and the Feedback current must be lower or equal  to the Pass Threshold:
(McpProcStMchn.InRaw.IsqCmd -  McpProcStMchn.InRaw.IqFdbk) &lt;= Intrfc.Hw.InRaw.ActvDschrgCktFailGrp.PrmryIq_OvrThrshMtrn.FltHyst
</t>
  </si>
  <si>
    <t>K_McpDiag.ActvDschrgCktFailGrp.PrmryIq_OvrThrshMtrn.PassFailSec</t>
  </si>
  <si>
    <t>D20881</t>
  </si>
  <si>
    <t>U1208-81</t>
  </si>
  <si>
    <t>Electric Vehicle Control Module - Invalid Serial Data Received</t>
  </si>
  <si>
    <t>_</t>
  </si>
  <si>
    <t>64 - CanE2EErrEVCUBckupGrp
CAN E2E error with EVCU on Backup CAN</t>
  </si>
  <si>
    <t>No customer perpection</t>
  </si>
  <si>
    <t>EVCU-PIM Assembly CAN Communication failure (backup CAN Bus)
PIM Assembly faulty
EVCU faulty</t>
  </si>
  <si>
    <t>Check if EVCU has DTC set.  If yes, follow the repair action procedure for that DTC. Else, continue with this repair procedure.
Check PIM Assembly: repair/replace the wiring or poor connection problem or replace PIM Assembly if needed.
Check EVCU: repair /replace the wiring or poor connection problem or replace EVCU if needed.</t>
  </si>
  <si>
    <t>797 - CanE2EErrEVCUBckupGrp.CRC
CAN E2E error -CRC  not corretc with EVCU on Backup CAN</t>
  </si>
  <si>
    <t>Supply 5V Common Signal is between Upper and Lower Threshold:
K_McpDiag.CalAddnl.Ok_5V_COMM_OvrThrsh &gt;= Intrfc.Hw.InRaw.In.Sply5vCommSgnl&gt;K_McpDiag.CalAddnl.Ok_5V_COMM_UndrThrsh
AND
(
12V Supply Battery Signal is between Upper and Lower Threshold:
K_McpDiag.CalAddnl.Ok_VBatt1_OvrThrsh &gt;=IntrfcT2.In.Sply12vBatSgnl&gt;K_McpDiag.CalAddnl.Ok_VBatt1_UndrThrsh  
OR
Supply Battery 2 Signal is between Upper and Lower Threshold:
K_McpDiag.CalAddnl.Ok_VBatt2_OvrThrsh &gt;= Intrfc.Hw.InRaw.In.SplyBat2Sgnl&gt;K_McpDiag.CalAddnl.Ok_VBatt2_UndrThrsh
)
AND
Enable Comm Faults must be true:
McpDiag.InRaw.EnblCommFaults = 1</t>
  </si>
  <si>
    <t>Fault Flag from Low-level Driver
Signal Status Group for EVCU Bit 10 must be active
RTE bit read (BIT 10)  from
McpDiag.InRaw.SigStsGroupForEVCU = 1
Triggered when Cylic Redundancy Check (CRC) is wrong for protected CAN Rx EVCU Group messages on backup CAN Bus.</t>
  </si>
  <si>
    <t xml:space="preserve">K_McpDiag.CanE2EErrEVCUBckupGrp.CRC.EnblTyp
</t>
  </si>
  <si>
    <t>T2 - 10 ms</t>
  </si>
  <si>
    <t>Fault Flag from Low-level Driver
Signal Status Group for EVCU Bit 10 must be false
RTE bit read (BIT 10)  from
McpDiag.InRaw.SigStsGroupForEVCU = 0</t>
  </si>
  <si>
    <t>801 - CanE2EErrEVCUBckupGrp.E2EFail
CAN E2E error -E2E  not corretc with EVCU on Backup CAN</t>
  </si>
  <si>
    <t>Fault Flag from Low-level Driver
Signal Status Group for EVCU Bit 8 must be active
RTE bit read (BIT 8)  from
McpDiag.InRaw.SigStsGroupForEVCU = 1
Triggered when E2E is invalid for protected CAN Rx EVCU Group messages on backup CAN Bus.</t>
  </si>
  <si>
    <t>K_McpDiag.CanE2EErrEVCUBckupGrp.E2EFail.EnblTyp</t>
  </si>
  <si>
    <t>Fault Flag from Low-level Driver
Signal Status Group for EVCU Bit 8 must be false
RTE bit read (BIT 8)  from
McpDiag.InRaw.SigStsGroupForEVCU = 0</t>
  </si>
  <si>
    <t xml:space="preserve">799 - CanE2EErrEVCUBckupGrp.MCP
CAN E2E error -MC  not corretc with EVCU on Backup CAN
</t>
  </si>
  <si>
    <t>Fault Flag from Low-level Driver
Signal Status Group for EVCU Bit 11 must be active
RTE bit read (BIT 11)  from
McpDiag.InRaw.SigStsGroupForEVCU = 1
Triggered when Message Counter (MC) is wrong for protected CAN Rx EVCU Group messages on backup CAN Bus.</t>
  </si>
  <si>
    <t>K_McpDiag.CanE2EErrEVCUBckupGrp.MC.EnblTyp
K_McpDiag.CanE2EErrEVCUBckupGrp.MC.EnblTyp</t>
  </si>
  <si>
    <t>Fault Flag from Low-level Driver
Signal Status Group for EVCU Bit 11 must be false
RTE bit read (BIT 11)  from
McpDiag.InRaw.SigStsGroupForEVCU = 0</t>
  </si>
  <si>
    <t>D20281</t>
  </si>
  <si>
    <t>U1202-81</t>
  </si>
  <si>
    <t>Electric Vehicle Control Module On FD-CAN16 - Invalid Serial Data Received</t>
  </si>
  <si>
    <t>68 - CanE2EErrEVCUPrmryGrp
CAN E2E error with  EVCU on Primary CAN</t>
  </si>
  <si>
    <t>EVCU-PIM Assembly CAN Communication failure (FD-CAN16)
PIM Assembly faulty
EVCU faulty</t>
  </si>
  <si>
    <t xml:space="preserve">796 - CanE2EErrEVCUPrmryGrp.CRC
CAN E2E error -CRC  not corretc with EVCU on PRIMARY CAN
</t>
  </si>
  <si>
    <t>Fault Flag from Low-level Driver
Signal Status Group for EVCU Bit 2 must be active
RTE bit read (BIT 2)  from
McpDiag.InRaw.SigStsGroupForEVCU = 1
Triggered when Cylic Redundancy Check (CRC) is wrong for protected CAN Rx EVCU Group messages on primary CAN Bus.</t>
  </si>
  <si>
    <t>K_McpDiag.CCanE2EErrEVCUPrmryGrp.CRC.EnblTyp</t>
  </si>
  <si>
    <t>Fault Flag from Low-level Driver
Signal Status Group for EVCU Bit 2 must be false
RTE bit read (BIT 2)  from
McpDiag.InRaw.SigStsGroupForEVCU = 0</t>
  </si>
  <si>
    <t>800 - CanE2EErrEVCUPrmryGrp.E2EFail
CAN E2E error -E2E  not corretc with EVCU on PRIMARY CAN</t>
  </si>
  <si>
    <t>Fault Flag from Low-level Driver
Signal Status Group for EVCU Bit 4 must be active
RTE bit read (BIT 4)  from
McpDiag.InRaw.SigStsGroupForEVCU = 1
Triggered when E2E is invalid for protected CAN Rx EVCU Group messages on primary CAN Bus.</t>
  </si>
  <si>
    <t>K_McpDiag.CanE2EErrEVCUPrmryGrp.E2EFail.EnblTyp</t>
  </si>
  <si>
    <t>Fault Flag from Low-level Driver
Signal Status Group for EVCU Bit 4 must be false
RTE bit read (BIT 4)  from
McpDiag.InRaw.SigStsGroupForEVCU = 0</t>
  </si>
  <si>
    <t>798 - CanE2EErrEVCUPrmryGrp.MCP
CAN E2E error -MC  not corretc with EVCU on PRIMARY CAN</t>
  </si>
  <si>
    <t>Fault Flag from Low-level Driver
Signal Status Group for EVCU Bit 3 must be active
RTE bit read (BIT 3)  from
McpDiag.InRaw.SigStsGroupForEVCU = 1
Triggered when Message Counter (MC) is wrong for protected CAN Rx EVCU Group messages on primary CAN Bus.</t>
  </si>
  <si>
    <t>K_McpDiag.CanE2EErrEVCUPrmryGrp.MCP.EnblTyp</t>
  </si>
  <si>
    <t>Fault Flag from Low-level Driver
Signal Status Group for EVCU Bit 3 must be false
RTE bit read (BIT 3)  from
McpDiag.InRaw.SigStsGroupForEVCU = 0</t>
  </si>
  <si>
    <t>C09F8C</t>
  </si>
  <si>
    <t>U009F-8C</t>
  </si>
  <si>
    <t>Electric Vehicle Control Module "A" - Communication Lost</t>
  </si>
  <si>
    <t>803 - CanLocReactn
This is the combination of Primary and  and Backup fault set in parallel.
LoCReactnFlt fault will be used for MCP LoC reation
NOT need A P-code because primary and backup have already a P-code 
also EVCU will set additional DTC for LOC with MCP
(confirmed by Bharath)
CanLoCReactnFltFlg (SW interface In.SigStsGroupForVSMCrash) includes the Mode command that is the representative signal   from the message Inverter_traget propulsion1 (GEN2)
for ERAD it contains the most important CAN siagnls for Inverter controll</t>
  </si>
  <si>
    <t>EVCU-PIM Assembly Communication failure on both CAN (PRIM CAN FD-CAN16 and Backup CAN FD-CAN5)
PIM Assembly faulty
EVCU faulty</t>
  </si>
  <si>
    <t>Check if PIM Assembly has DTC set for EVCU and/or other ecus
Check if EVCU has DTC set for PIM Assembly and/or other ecus
Depending on missing component repair involved wiring or poor connections.
Replace PIM Assembly. If fault is still present, replace EVCU.</t>
  </si>
  <si>
    <t xml:space="preserve">Enable Communication faults must be true:
McpDiag.InRaw.EnblCommFaults = 1
</t>
  </si>
  <si>
    <t>Fault Flag from Low-level Driver 
of Signal Status Group for VSM Crash must be active
RTE bit read (BIT 2)  from
McpDiag.InRaw.SigStsGroupForECM = 1
And
[
Fault Flag from Low-level Driver 
of Signal Status Group for VSM Crash must be not active
RTE bit read (BIT 5)  from
McpDiag.InRaw.SigStsGroupForECM = 0
OR
Fault Flag from Low-level Driver 
of Signal Status Group for VSM Crash must be active
RTE bit read (BIT 15)  from
McpDiag.InRaw.SigStsGroupForECM = 1
]
OR
Fault Flag from Low-level Driver 
of Signal Status Group for VSM Crash must be active
RTE bit read (BIT 8)  from
McpDiag.InRaw.SigStsGroupForECM = 1
AND
[
Fault Flag from Low-level Driver 
of Signal Status Group for VSM Crash must be active
RTE bit read (BIT 5)  from
McpDiag.InRaw.SigStsGroupForECM = 1
OR
Fault Flag from Low-level Driver 
of Signal Status Group for VSM Crash must be not active
RTE bit read (BIT 15)  from
McpDiag.InRaw.SigStsGroupForECM = 0
]</t>
  </si>
  <si>
    <t>K_McpDiag.CanLocReactn.LimFailSec</t>
  </si>
  <si>
    <t>K_McpDiag.CanLocReactn.EnblTyp</t>
  </si>
  <si>
    <t xml:space="preserve">Fault Flag from Low-level Driver 
of Signal Status Group for VSM Crash must be not active
RTE bit read (BIT 2)  from
McpDiag.InRaw.SigStsGroupForECM = 0
OR
[
Fault Flag from Low-level Driver 
of Signal Status Group for VSM Crash must be not active
RTE bit read (BIT 5)  from
McpDiag.InRaw.SigStsGroupForECM = 1
AND
Fault Flag from Low-level Driver 
of Signal Status Group for VSM Crash must be not active
RTE bit read (BIT 15)  from
McpDiag.InRaw.SigStsGroupForECM = 0
]
AND
Fault Flag from Low-level Driver 
of Signal Status Group for VSM Crash must be not active
RTE bit read (BIT 8)  from
McpDiag.InRaw.SigStsGroupForECM = 0
OR
[
Fault Flag from Low-level Driver 
of Signal Status Group for VSM Crash must be not active
RTE bit read (BIT 5)  from
McpDiag.InRaw.SigStsGroupForECM = 0
AND
Fault Flag from Low-level Driver 
of Signal Status Group for VSM Crash must be not active
RTE bit read (BIT 15)  from
McpDiag.InRaw.SigStsGroupForECM = 1
]
 </t>
  </si>
  <si>
    <t xml:space="preserve">K_McpDiag.CanLocReactn.LimPassSec </t>
  </si>
  <si>
    <t>D2088C</t>
  </si>
  <si>
    <t>U1208-8C</t>
  </si>
  <si>
    <t>Electric Vehicle Control Module - Communication Lost</t>
  </si>
  <si>
    <t>90 - CANLssCommEVCUBckup
CAN error Loss of communication with EVCU on Backup CAN</t>
  </si>
  <si>
    <t>EVCU-PIM Assembly Communication failure (Backup CAN)
PIM Assembly faulty
EVCU faulty</t>
  </si>
  <si>
    <t xml:space="preserve">Supply 5V Common Signal is between Upper and Lower Threshold:
K_McpDiag.CalAddnl.Ok_5V_COMM_OvrThrsh &gt;= Intrfc.Hw.InRaw.In.Sply5vCommSgnl&gt;K_McpDiag.CalAddnl.Ok_5V_COMM_UndrThrsh
AND
Enable Common Faults must be true:
McpDiag.InRaw.EnblCommFaults = 1
AND
(
12V Supply Battery Signal is between Upper and Lower Threshold:
K_McpDiag.CalAddnl.Ok_VBatt1_OvrThrsh &gt;=IntrfcT2.In.Sply12vBatSgnl&gt;K_McpDiag.CalAddnl.Ok_VBatt1_UndrThrsh
OR
Supply Battery 2 Signal is between Upper and Lower Threshold:
K_McpDiag.CalAddnl.Ok_VBatt2_OvrThrsh &gt;= Intrfc.Hw.InRaw.In.SplyBat2Sgnl&gt;K_McpDiag.CalAddnl.Ok_VBatt2_UndrThrsh)
) 
 </t>
  </si>
  <si>
    <t>Fault Flag from Low-level Driver
Signal Status Group for EVCU Bit 9 must be active
RTE bit read (BIT 9)  from
McpDiag.InRaw.SigStsGroupForEVCU = 1
Triggered when Loss oF Comm. (LOC) is present for protected CAN Rx EVCU Group messages on backup CAN Bus.</t>
  </si>
  <si>
    <t>K_McpDiag.CANLssCommEVCUGrp.Bckup.EnblTyp</t>
  </si>
  <si>
    <t>Fault Flag from Low-level Driver
Signal Status Group for EVCU Bit 9 must be false
RTE bit read (BIT 9)  from
McpDiag.InRaw.SigStsGroupForEVCU = 0</t>
  </si>
  <si>
    <t>D2028C</t>
  </si>
  <si>
    <t>U1202-8C</t>
  </si>
  <si>
    <t>Electric Vehicle Control Module On FD-CAN16 - Communication Lost</t>
  </si>
  <si>
    <t>48 - CANLssCommEVCUPrmry
CAN error Loss of communication with EVCU on PRIM CAN</t>
  </si>
  <si>
    <t>EVCU-PIM Assembly Communication failure (PRIM CAN FD-CAN16)
PIM Assembly
EVCU</t>
  </si>
  <si>
    <t>Check if PIM Assembly has DTC set for EVCU and/or other ecus
Check if EVCU has DTC set for PIM Assembly and/or other ecus
Depending on missing component repair involved wiring or poor connections
Replace PIM Assembly. If fault is still present, replace EVCU.</t>
  </si>
  <si>
    <t>Fault Flag from Low-level Driver
Signal Status Group for EVCU Bit 1 must be active
RTE bit read (BIT 1)  from
McpDiag.InRaw.SigStsGroupForEVCU = 1
Triggered when Loss oF Comm. (LOC) is present for protected CAN Rx EVCU Group messages on primary CAN Bus.</t>
  </si>
  <si>
    <t>K_McpDiag.CANLssCommEVCUGrp.Prmry.EnblTyp</t>
  </si>
  <si>
    <t>Fault Flag from Low-level Driver
Signal Status Group for EVCU Bit 1 must be false
RTE bit read (BIT 1)  from
McpDiag.InRaw.SigStsGroupForEVCU = 0</t>
  </si>
  <si>
    <t>0BFD00</t>
  </si>
  <si>
    <t>P0BFD-00</t>
  </si>
  <si>
    <t>Drive Motor "A" Phase U-V-W Current Sensor Correlation - no sub type information</t>
  </si>
  <si>
    <t>MIL</t>
  </si>
  <si>
    <t xml:space="preserve">28 - CurrSnsrSumGrp
The magnitude of the sum of current sensors for pahse A,B, and C is out of range. </t>
  </si>
  <si>
    <t>Motor Shutdown
Lack of power
Downgrading of driving performance
Difficult to reach maximum speed</t>
  </si>
  <si>
    <t>PIM Assembly Phase current sensing issue 
AC sensor faulty
One or more wings damaged (less or more resistance)
PIM Assembly faulty</t>
  </si>
  <si>
    <t>Resistance test PIM Assembly. Replace PIM Assembly if needed
If fault is still present, replace EDM Assembly.</t>
  </si>
  <si>
    <t>490 - CurrSnsrSumGrp.FstRtry
current sensor  sum fast retry diagnostic failed</t>
  </si>
  <si>
    <t>5V Supply Current Sense Signal is between Upper and Lower Threshold:
K_McpDiag.CalAddnl.Ok_5V_CURRENT_SENSE_OvrThrsh&gt; Intrfc.Hw.InRaw.In.Sply5vCrntSnsSgnl&gt; K_McpDiag.CalAddnl.Ok_5V_CURRENT_SENSE_UndrThrsh
AND
Gate Driver Param Download Completed must be ture:
IntrfcT1.In.GateDrvParamDwnldCmplt = 1</t>
  </si>
  <si>
    <t xml:space="preserve">Fault set for: 
CurrSnsrSumGrp.OvrThrshMtrn
 ( = FLT_SET )
</t>
  </si>
  <si>
    <t>IF K_McpDiag.CurrSnsrSumGrp.FstRtry.FstRtryEnbl = 1
Quick Fail Count is above Quick Fault Set Threshold:
McpDiag.CurrSnsrSumGrp.FstRtry.QckFail_Cnt &gt; 
K_McpDiag..CurrSnsrSumGrp.FstRtry.QckFltSetThrsh
OR
Overall Fail Count is above Overall Fault Set Threshold:
McpDiag.CurrSnsrSumGrp.FstRtry.OvrllFail_Cnt &gt; 
K_McpDiag.CurrSnsrSumGrp.FstRtry.OvrllFltSetThrsh
OR
Consecutive Fail Timer is above Fault Set Threshold:
McpDiag.CurrSnsrSumGrp.FstRtry.ConsecutTm_Sec &gt; K_McpDiag.CurrSnsrSumGrp.FstRtry.ConsecutFltSetThrsh
ELSE K_McpDiag.CurrSnsrSumGrp.FstRtry.FstRtryEnbl = 0
No Mature Time (=NA)</t>
  </si>
  <si>
    <t>K_McpDiag.CurrSnsrSumGrp.FstRtry.EnblTyp</t>
  </si>
  <si>
    <t xml:space="preserve">IF K_McpDiag.CurrSnsrSumGrp.FstRtry.FstRtryEnbl = 0
No Fault set for: 
CurrSnsrSumGrp.OvrThrshMtrn
ELSE K_McpDiag.CurrSnsrSumGrp.FstRtry.FstRtryEnbl = 1
No De-Maturation (=NA)
</t>
  </si>
  <si>
    <t>Open WEDs, Motor Shutdown</t>
  </si>
  <si>
    <t>497 - CurrSnsrSumGrp.FstRtryTrqCmdBased
The magnitude of the sum of current sensors for pahse A,B, and C is out of range, while torque is higher then threshold.</t>
  </si>
  <si>
    <t>Fault Flag from Low-Level Driver
CurrSnsrSumGrp.OvrThrshMtrn =1
AND
Latch Motor Torque Command must be greather than Calibration Threshold:
McpDiag.DiagAddnl.LtchMtrTrqCmd &gt; K_McpDiag.CalAddnl.CurrSumFstRtryTrqCmdThrsh</t>
  </si>
  <si>
    <t xml:space="preserve">IF  K_McpDiag.CurrSnsrSumGrp.FstRtryTrqCmdBased.FstRtryEnbl = 1
Quick Fail Count is above Quick Fault Set Threshold:
McpDiag.CurrSnsrSumGrp.FstRtryTrqCmdBased.QckFail_Cnt &gt; 
K_McpDiag.CurrSnsrSumGrp.FstRtryTrqCmdBased.QckFltSetThrsh
OR
Overall Fail Count is above Overall Fault Set Threshold:
McpDiag.CurrSnsrSumGrp.FstRtryTrqCmdBased.OvrllFail_Cnt &gt; 
K_McpDiag.CurrSnsrSumGrp.FstRtryTrqCmdBased.OvrllFltSetThrsh
OR
Consecutive Fail Timer is above Fault Set Threshold:
McpDiag.CurrSnsrSumGrp.FstRtryTrqCmdBased.ConsecutTm_Sec &gt; K_McpDiag.CurrSnsrSumGrp.FstRtryTrqCmdBased.ConsecutFltSetThrsh
ELSE K_McpDiag.CurrSnsrSumGrp.FstRtryTrqCmdBased.FstRtryEnbl = 0
No Mature Time (=NA)
</t>
  </si>
  <si>
    <t>K_McpDiag.CurrSnsrSumGrp.FstRtryTrqCmdBased.EnblTyp</t>
  </si>
  <si>
    <t>IF K_McpDiag.CurrSnsrSumGrp.FstRtryTrqCmdBased.FstRtryEnbl = 0
No Fault set for: 
CurrSnsrSumGrp.OvrThrshMtrn
OR
Latch Motor Torque Command must be lower or equal than Calibration Threshold:
McpDiag.DiagAddnl.LtchMtrTrqCmd &lt;= K_McpDiag.CalAddnl.CurrSumFstRtryTrqCmdThrsh
ELSE K_McpDiag.CurrSnsrSumGrp.FstRtryTrqCmdBased.FstRtryEnbl = 1
No De-Maturation (=NA)</t>
  </si>
  <si>
    <t xml:space="preserve">173 - CurrSnsrSumGrp.OvrThrshMtrn
The magnitude of the sum of current sensors for pahse A,B, and C is out of range. </t>
  </si>
  <si>
    <t>Diag T0 Gate Driver Param Download Completed must be true:
DiagT0.In.Ok_GateDrvParamDwnldCmplt = 1
AND
5V Supply Current Sense Signal is between Upper and Lower Threshold:
K_McpDiag.CalAddnl.Ok_5V_CURRENT_SENSE_OvrThrsh))&gt; Intrfc.Hw.InRaw.In.Sply5vCrntSnsSgnl&gt; K_McpDiag.CalAddnl.Ok_5V_CURRENT_SENSE_UndrThrsh</t>
  </si>
  <si>
    <t xml:space="preserve">Absolute Value of this Sum (T0 Phase Current A  + T0 Phase Current B + T0 Phase CurrCnt A)  must be greater than Fail Threshold Calibration:
Absolute Value (Proc_PhsCurrT0.Ia  + Proc_PhsCurrT0.Ib  + Proc_PhsCurrT0.Ic) &gt; K_Mcp_DiagT0.CurrSnsrSumGrp_OvrThrshMtrn.FltSetThrsh
This fiagnostic is set id sum of motor three phase currents is larger than a threshold. In normal condition he sum of  motor three phase currents ahll be close to zero.
The fault threshold is K_Mcp_DiagT0.CurrSnsrSumGrp_OvrThrshMtrn.FltSetThrsh
</t>
  </si>
  <si>
    <t>K_Mcp_DiagT0.VdcOvrVltgGrp_Sw.LimFailSec</t>
  </si>
  <si>
    <t>K_McpDiag.CurrSnsrSumGrp.OvrThrshMtrn.EnblTyp</t>
  </si>
  <si>
    <t>T0 - 100 microsec</t>
  </si>
  <si>
    <t>No dematuration- Latched</t>
  </si>
  <si>
    <t>No Dematuration</t>
  </si>
  <si>
    <t>0A5192</t>
  </si>
  <si>
    <t>P0A51-92</t>
  </si>
  <si>
    <t>Drive Motor "A" Current Sensor - Performance or Incorrect Operation</t>
  </si>
  <si>
    <t>55 - DcCurrGrp
Group fault</t>
  </si>
  <si>
    <t>PIM Assembly faulty</t>
  </si>
  <si>
    <t>Replace PIM Assembly</t>
  </si>
  <si>
    <t>819 - DcCurrGrp.OvrThrshMtrn
DC High voltage  over current</t>
  </si>
  <si>
    <t>5V TOP GDIC Signal is between Upper and Lower Threshold: K_McpDiag.CalAddnl.Ok_5V_GDIC_TOP_AI_UndrThrsh &lt; IntrfcT1.In.Sply5vGDICTopSgnl&lt; K_McpDiag.CalAddnl.Ok_5V_GDIC_TOP_AI_OvrThrsh</t>
  </si>
  <si>
    <t>Current DCB Value greater than Fail Threshold calibration:
McpDiag.InRaw.Current_DCB &gt; K_McpDiag.DcCurrGrp.OvrThrshMtrn.FltSetThrsh</t>
  </si>
  <si>
    <t xml:space="preserve">K_McpDiag.DcCurrGrp.OvrThrshMtrn.LimFailSec </t>
  </si>
  <si>
    <t>K_McpDiag.DcCurrGrp.OvrThrshMtrn.EnblTyp</t>
  </si>
  <si>
    <t>Current DCB Value must be below or equal than Pass Threshold calibration:
McpDiag.InRaw.Current_DCB &lt;= K_McpDiag.DcCurrGrp.OvrThrshMtrn.FltHyst</t>
  </si>
  <si>
    <t xml:space="preserve">DcCurrGrp.OvrThrshMtrn.LimPassSec </t>
  </si>
  <si>
    <t>820 - DcCurrGrp.Rtnlty
DC High Voltage Rationality check
deviation caluculated Vs sensor current to high</t>
  </si>
  <si>
    <t>Absolute Value of difference between Current DCB and Dc Curr must be greater than Fail Threshold calibration:
Absolute Value (McpDiag.InRaw.Current_DCB - WndwdDcCurr_DcCurr)&gt; K_McpDiag.DcCurrGrp.Rtnlty.FltSetThrsh</t>
  </si>
  <si>
    <t>K_McpDiag.DcCurrGrp.Rtnlty.LimFailSec</t>
  </si>
  <si>
    <t>K_McpDiag.DcCurrGrp.Rtnlty.EnblTyp</t>
  </si>
  <si>
    <t>Absolute Value of difference between Current DCB and Dc Curr must be below or equal than Pass Threshold calibration:
Absolute Value (McpDiag.InRaw.Current_DCB - WndwdDcCurr_DcCurr) &lt;= K_McpDiag.DcCurrGrp.Rtnlty.FltHyst</t>
  </si>
  <si>
    <t>K_McpDiag.DcCurrGrp.Rtnlty.LimPassSec</t>
  </si>
  <si>
    <t>942 - DcCurrGrp.UndrThrshMtrn
Current_DCB undr Thrsh</t>
  </si>
  <si>
    <t xml:space="preserve">Current DCB value lower than Fail Threshold calibration:
McpDiag.In.Current_DCB &lt; K_McpDiag.DcCurrGrp.UndrThrshMtrn.FltSetThrsh </t>
  </si>
  <si>
    <t>K_McpDiag.DcCurrGrp.UndrThrshMtrn.LimFailSec</t>
  </si>
  <si>
    <t>K_McpDiag.DcCurrGrp.UndrThrshMtrn.EnblTyp</t>
  </si>
  <si>
    <t>T1</t>
  </si>
  <si>
    <t>Current DCB value must be above or equal to the Pass Threshold:
McpDiag.In.Current_DCB &gt;= K_McpDiag.DcCurrGrp.UndrThrshMtrn.FltHyst</t>
  </si>
  <si>
    <t>K_McpDiag.DcCurrGrp.UndrThrshMtrn.LimPassSec</t>
  </si>
  <si>
    <t>0A5112</t>
  </si>
  <si>
    <t>P0A51-12</t>
  </si>
  <si>
    <t>Drive Motor "A" Current Sensor - Circuit Short to Battery</t>
  </si>
  <si>
    <t xml:space="preserve">56 - DcCurrRngHi
DC current electrical short High </t>
  </si>
  <si>
    <t>5V Supply GDIC Top Signal is between Upper and Lower Threshold: K_McpDiag.CalAddnl.Ok_5V_GDIC_TOP_AI_UndrThrsh &lt; Intrfc.Hw.InRaw.Sply5vGDICTopSgnl&lt; K_McpDiag.CalAddnl.Ok_5V_GDIC_TOP_AI_OvrThrsh</t>
  </si>
  <si>
    <t xml:space="preserve">Current DCB value greater than Fail Threshold calibration:
McpDiag.In.Current_DCB &gt; K_McpDiag.DcCurrRngHi.FltSetThrsh </t>
  </si>
  <si>
    <t xml:space="preserve">K_McpDiag.DcCurrRngHi.LimFailSec </t>
  </si>
  <si>
    <t>K_McpDiag.DcCurrRngHi.EnblTyp</t>
  </si>
  <si>
    <t xml:space="preserve">Current DCB must be below or equal to the Pass Threshold: 
McpDiag.In.Current_DCB &lt;= K_McpDiag.DcCurrRngHi.FltHyst </t>
  </si>
  <si>
    <t xml:space="preserve">K_McpDiag.DcCurrRngHi.LimPassSec </t>
  </si>
  <si>
    <t>0A5111</t>
  </si>
  <si>
    <t>P0A51-11</t>
  </si>
  <si>
    <t>Drive Motor "A" Current Sensor - Circuit Short to Ground</t>
  </si>
  <si>
    <t>57 - DcCurrRngLo
DC current electrical short Low</t>
  </si>
  <si>
    <t xml:space="preserve">Current DCB value lower than Fail Threshold calibration:
McpDiag.In.Current_DCB &lt; K_McpDiag.DcCurrRngLo.FltSetThrsh </t>
  </si>
  <si>
    <t xml:space="preserve">K_McpDiag.DcCurrRngLo.LimFailSec </t>
  </si>
  <si>
    <t>K_McpDiag.DcCurrRngLo.EnblTyp</t>
  </si>
  <si>
    <t xml:space="preserve">Current DCB value must be above or equal to the Pass Threshold: 
McpDiag.In.Current_DCB &gt;= K_McpDiag.DcCurrRngLo.FltHyst </t>
  </si>
  <si>
    <t xml:space="preserve">K_McpDiag.DcCurrRngLo.LimPassSec </t>
  </si>
  <si>
    <t>0A0A25</t>
  </si>
  <si>
    <t>P0A0A-25</t>
  </si>
  <si>
    <t>High Voltage System Interlock "A" - Signal Shape / Waveform Failure</t>
  </si>
  <si>
    <t>75 - HVIL1OORGrp
High Voltage Interlock Line position 1   out of range</t>
  </si>
  <si>
    <t>Does not power the vehicle
Lack of power
Malfunction of the starting of the vehicle</t>
  </si>
  <si>
    <t>HV DC Cables and Connectors
PIM Assembly faulty (nternal HVIL loops not serviceable)</t>
  </si>
  <si>
    <t>Use DID $A002 HVIL Status to check open/invalid channel
Visual check HV DC Connectors and cables for damage/corrosion or not proper connection, repair/replace them if needed.
If fault is still present, replace PIM Assembly.</t>
  </si>
  <si>
    <t>716 - HVIL1OORGrp.OvrThrsh
High Voltage Interlock Line position 1   out of range high</t>
  </si>
  <si>
    <t>5V Supply Voltage is between Upper and Lower Threshold:
K_McpDiag.CalAddnl.Ok_5V_OvrThrsh &gt; Intrfc.Hw.InRaw.Sply5vSgnl &gt; K_McpDiag.CalAddnl.Ok_5V_UndrThrsh</t>
  </si>
  <si>
    <t>HVIL1 Frequency is above a value:
IntrfcT2.In.HVIL_1_Freq &gt; 102 
OR 
HVIL1 Duty Cycle is above a value:
IntrfcT2.In.HVIL_1_DC  &gt; 65</t>
  </si>
  <si>
    <t xml:space="preserve">K_McpDiag.HVIL1OORGrp.OvrThrsh.LimFailSec </t>
  </si>
  <si>
    <t>K_McpDiag.HVIL1OORGrp.OvrThrsh.EnblTyp</t>
  </si>
  <si>
    <t>HVIL1 Frequency is below or equal a value:
IntrfcT2.In.HVIL_1_Freq &lt;= 102 
AND
HVIL1 Duty Cycle is below or equal a value:
IntrfcT2.In.HVIL_1_DC  &lt;= 65</t>
  </si>
  <si>
    <t xml:space="preserve">K_McpDiag.HVIL1OORGrp.OvrThrsh.LimPassSec </t>
  </si>
  <si>
    <t>Open contactors at next park/neutral</t>
  </si>
  <si>
    <t>717 - HVIL1OORGrp.UndrThrsh
High Voltage Interlock Line position 1   out of range low</t>
  </si>
  <si>
    <t>HVIL1 Frequency is below a value:
IntrfcT2.In.HVIL_1_Freq &lt; 74 
OR 
HVIL1 Duty Cycle is below a value:
IntrfcT2.In.HVIL_1_DC &lt; 35</t>
  </si>
  <si>
    <t xml:space="preserve">K_McpDiag.HVIL1OORGrp.UndrThrsh.LimFailSec </t>
  </si>
  <si>
    <t>K_McpDiag.HVIL1OORGrp.UndrThrsh.EnblTyp</t>
  </si>
  <si>
    <t>HVIL1 Frequency is above or equal a value:
IntrfcT2.In.IntrfcT2.In.HVIL_1_Freq &gt;= 74 
AND
HVIL1 Duty Cycle is above or equal a value:
IntrfcT2.In.IntrfcT2.In.HVIL_1_DC  &gt;= 35</t>
  </si>
  <si>
    <t xml:space="preserve">K_McpDiag.HVIL1OORGrp.UndrThrsh.LimPassSec </t>
  </si>
  <si>
    <t>0A0A01</t>
  </si>
  <si>
    <t>P0A0A-01</t>
  </si>
  <si>
    <t>High Voltage System Interlock "A" - General Electrical Failure</t>
  </si>
  <si>
    <t>74 - HVIL1RngGrp
High Voltage Interlock Line position 1  electrical check</t>
  </si>
  <si>
    <t>714 - HVIL1RngGrp.RngHi
High Voltage Interlock Line position 1  short High</t>
  </si>
  <si>
    <t>HVIL1 Frequency is equal to a value:
IntrfcT2.In.HVIL_1_Freq == 0
AND
HVIL1 Duty Cycle is equal to a value:
IntrfcT2.In.HVIL_1_DC == 100</t>
  </si>
  <si>
    <t xml:space="preserve">K_McpDiag.HVIL1RngGrp.RngHi.LimFailSec </t>
  </si>
  <si>
    <t>K_McpDiag.HVIL1RngGrp.RngHi.EnblTyp</t>
  </si>
  <si>
    <t>HVIL1 Frequency is not equal to a value:
IntrfcT2.In.HVIL_1_Freq != 0 
OR
HVIL1 Duty Cycle is not equal to a value:
IntrfcT2.In.HVIL_1_DC  != 100</t>
  </si>
  <si>
    <t xml:space="preserve">K_McpDiag.HVIL1RngGrp.RngHi.LimPassSec </t>
  </si>
  <si>
    <t>715 - HVIL1RngGrp.RngLo
High Voltage Interlock Line position 1  short ground</t>
  </si>
  <si>
    <t>HVIL1 Frequency is equal to a value:
IntrfcT2.In.HVIL_1_Freq == 0 
AND
HVIL1 Duty Cycle is equal to a value:
IntrfcT2.In.HVIL_1_DC == 0</t>
  </si>
  <si>
    <t xml:space="preserve">K_McpDiag.HVIL1RngGrp.RngLo.LimFailSec </t>
  </si>
  <si>
    <t>K_McpDiag.HVIL1RngGrp.RngLo.EnblTyp</t>
  </si>
  <si>
    <t>HVIL1 Frequency is not equal to a value:
IntrfcT2.In.IntrfcT2.In.HVIL_1_Freq != 0 
OR
HVIL1 Duty Cycle is not equal to a value:
IntrfcT2.In.IntrfcT2.In.HVIL_1_DC  != 0</t>
  </si>
  <si>
    <t xml:space="preserve">K_McpDiag.HVIL1RngGrp.RngLo.LimPassSec </t>
  </si>
  <si>
    <t>F51125</t>
  </si>
  <si>
    <t>U3511-25</t>
  </si>
  <si>
    <t>High Voltage System Interlock Circuit "B" - Signal Shape / Waveform Failure</t>
  </si>
  <si>
    <t>77 - HVIL2OORGrp
High Voltage Interlock Line position 2   out of range</t>
  </si>
  <si>
    <t>720 - HVIL2OORGrp.OvrThrsh
High Voltage Interlock Line position 2   out of range high</t>
  </si>
  <si>
    <t>5V Supply Voltage is between Upper and Lower Threshold:
K_McpDiag.CalAddnl.Ok_5V_OvrThrsh &gt; Intrfc.Hw.InRaw.Sply5vSgnl &gt; K_McpDiag.CalAddnl.Ok_5V_UndrThrsh
AND
HVIL1 Frequency is between Upper and Lower Threshold:
102 &gt; IntrfcT2.In.HVIL_1_Freq &gt; 74 
HVIL1 Duty Cycle is between Upper and Lower Threshold:
65 &gt; IntrfcT2.In.HVIL_1_DC &gt; 35</t>
  </si>
  <si>
    <t>HVIL2 Frequency is above a value:
IntrfcT2.In.HVIL_2_Freq &gt; 102 
OR
HVIL2 Duty Cycle is above a value:
IntrfcT2.In.HVIL_2_DC &gt; 65</t>
  </si>
  <si>
    <t xml:space="preserve">K_McpDiag.HVIL2OORGrp.OvrThrsh.LimFailSec </t>
  </si>
  <si>
    <t>K_McpDiag.HVIL2OORGrp.OvrThrsh.EnblTyp</t>
  </si>
  <si>
    <t>HVIL2 Frequency is below or equal a value:
IntrfcT2.In.HVIL_2_Freq &lt;= 102 
AND
HVIL2 Duty Cycle is below or equal a value:
IntrfcT2.In.HVIL_2_DC  &lt;= 65</t>
  </si>
  <si>
    <t xml:space="preserve">K_McpDiag.HVIL2OORGrp.OvrThrsh.LimPassSec </t>
  </si>
  <si>
    <t>721 - HVIL2OORGrp.UndrThrsh
High Voltage Interlock Line position 2   out of range low</t>
  </si>
  <si>
    <t>HVIL2 Frequency is below a value:
IntrfcT2.In.HVIL_2_Freq &lt; 74 
OR
HVIL2 Duty Cycle is below a value:
IntrfcT2.In.HVIL_2_DC &lt; 35</t>
  </si>
  <si>
    <t xml:space="preserve">K_McpDiag.HVIL2OORGrp.UndrThrsh.LimFailSec </t>
  </si>
  <si>
    <t>K_McpDiag.HVIL2OORGrp.UndrThrsh.EnblTyp</t>
  </si>
  <si>
    <t>HVIL2 Frequency is above or equal a value:
IntrfcT2.In.HVIL_2_Freq &gt;= 74 
AND
HVIL2 Duty Cycle is above or equal a value:
IntrfcT2.In.HVIL_2_DC  &gt;= 35</t>
  </si>
  <si>
    <t xml:space="preserve">K_McpDiag.HVIL2OORGrp.UndrThrsh.LimPassSec </t>
  </si>
  <si>
    <t>F51101</t>
  </si>
  <si>
    <t>U3511-01</t>
  </si>
  <si>
    <t>High Voltage System Interlock Circuit "B" - General Electrical Failure</t>
  </si>
  <si>
    <t>76 - HVIL2RngGrp
High Voltage Interlock Line position 2  electrical check</t>
  </si>
  <si>
    <t>718 - HVIL2RngGrp.RngHi
High Voltage Interlock Line position 2  short High</t>
  </si>
  <si>
    <t xml:space="preserve">5V Supply Voltage is between Upper and Lower Threshold:
K_McpDiag.CalAddnl.Ok_5V_OvrThrsh &gt; Intrfc.Hw.InRaw.Sply5vSgnl &gt; K_McpDiag.CalAddnl.Ok_5V_UndrThrsh
AND
HVIL1 Frequency is between Upper and Lower Threshold:
102 &gt; IntrfcT2.In.HVIL_1_Freq &gt; 74 
HVIL1 Duty Cycle is between Upper and Lower Threshold:
65 &gt; IntrfcT2.In.HVIL_1_DC &gt; 35 </t>
  </si>
  <si>
    <t>HVIL2 Frequency is equal to a value:
IntrfcT2.In.HVIL_2_Freq == 0 
AND
HVIL2 Duty Cycle is equal to a value:
IntrfcT2.In.HVIL_2_DC == 100</t>
  </si>
  <si>
    <t xml:space="preserve">K_McpDiag.HVIL2RngGrp.RngHi.LimFailSec </t>
  </si>
  <si>
    <t>K_McpDiag.HVIL2RngGrp.RngHi.EnblTyp</t>
  </si>
  <si>
    <t>HVIL2 Frequency is not equal to a value:
IntrfcT2.In.HVIL_2_Freq != 0 
OR
HVIL2 Duty Cycle is not equal to a value:
IntrfcT2.In.HVIL_2_DC  != 100</t>
  </si>
  <si>
    <t xml:space="preserve">K_McpDiag.HVIL2RngGrp.RngHi.LimPassSec </t>
  </si>
  <si>
    <t>719 - HVIL2RngGrp.RngLo
High Voltage Interlock Line position 2  short ground</t>
  </si>
  <si>
    <t>HVIL2 Frequency is equal to a value:
IntrfcT2.In.HVIL_2_Freq == 0 
AND
HVIL2 Duty Cycle is equal to a value:
IntrfcT2.In.HVIL_2_DC == 0</t>
  </si>
  <si>
    <t xml:space="preserve">K_McpDiag.HVIL2RngGrp.RngLo.LimFailSec </t>
  </si>
  <si>
    <t>K_McpDiag.HVIL2RngGrp.RngLo.EnblTyp</t>
  </si>
  <si>
    <t>HVIL2 Frequency is not equal to a value:
IntrfcT2.In.HVIL_2_Freq != 0 
OR
HVIL2 Duty Cycle is not equal to a value:
IntrfcT2.In.HVIL_2_DC  != 0</t>
  </si>
  <si>
    <t xml:space="preserve">K_McpDiag.HVIL2RngGrp.RngLo.LimPassSec </t>
  </si>
  <si>
    <t>F51525</t>
  </si>
  <si>
    <t>U3515-25</t>
  </si>
  <si>
    <t>High Voltage System Interlock Circuit "C" - Signal Shape / Waveform Failure</t>
  </si>
  <si>
    <t>79 - HVIL3OORGrp
High Voltage Interlock Line position 3   out of range</t>
  </si>
  <si>
    <t>724 - HVIL3OORGrp.OvrThrsh
High Voltage Interlock Line position 3   out of range high</t>
  </si>
  <si>
    <t xml:space="preserve">5V Supply Voltage is between Upper and Lower Threshold:
K_McpDiag.CalAddnl.Ok_5V_OvrThrsh &gt; Intrfc.Hw.InRaw.Sply5vSgnl &gt; K_McpDiag.CalAddnl.Ok_5V_UndrThrsh
AND
HVIL1 Frequency is between Upper and Lower Threshold:
102 &gt; IntrfcT2.In.HVIL_1_Freq &gt; 74 
HVIL1 Duty Cycle is between Upper and Lower Threshold:
65 &gt; IntrfcT2.In.HVIL_1_DC &gt; 35
HVIL2 Frequency is between Upper and Lower Threshold:
102 &gt; IntrfcT2.In.HVIL_2_Freq &gt; 74
HVIL2 Duty Cycle is between Upper and Lower Threshold:
65 &gt; IntrfcT2.In.HVIL_2_DC &gt; 35 </t>
  </si>
  <si>
    <t>HVIL3 Frequency is above a value:
IntrfcT2.In.HVIL_3_Freq &gt; 102 
OR
HVIL3 Duty Cycle is above a value:
IntrfcT2.In.IntrfcT2.In.HVIL_3_DC &gt; 65</t>
  </si>
  <si>
    <t xml:space="preserve">K_McpDiag.HVIL3OORGrp.OvrThrsh.LimFailSec </t>
  </si>
  <si>
    <t>K_McpDiag.HVIL3OORGrp.OvrThrsh.EnblTyp</t>
  </si>
  <si>
    <t>HVIL3 Frequency is below or equal a value:
IntrfcT2.In.HVIL_3_Freq &lt;= 102 
AND
HVIL3 Duty Cycle is below or equal a value:
IntrfcT2.In.HVIL_3_DC  &lt;= 65</t>
  </si>
  <si>
    <t xml:space="preserve">K_McpDiag.HVIL3OORGrp.OvrThrsh.LimPassSec </t>
  </si>
  <si>
    <t>725 - HVIL3OORGrp.UndrThrsh
High Voltage Interlock Line position 3   out of range low</t>
  </si>
  <si>
    <t>HVIL3 Frequency is below a value:
IntrfcT2.In.HVIL_3_Freq &lt; 74 
OR
HVIL3 Duty Cycle is below a value:
IntrfcT2.In.HVIL_3_DC &lt; 35</t>
  </si>
  <si>
    <t xml:space="preserve">K_McpDiag.HVIL3OORGrp.UndrThrsh.LimFailSec </t>
  </si>
  <si>
    <t>K_McpDiag.HVIL3OORGrp.UndrThrsh.EnblTyp</t>
  </si>
  <si>
    <t>HVIL3 Frequency is above or equal a value:
IntrfcT2.In.HVIL_3_Freq &gt;= 74 
AND
HVIL3 Duty Cycle is above or equal a value:
IntrfcT2.In.HVIL_3_DC  &gt;= 35</t>
  </si>
  <si>
    <t xml:space="preserve">K_McpDiag.HVIL3OORGrp.UndrThrsh.LimPassSec </t>
  </si>
  <si>
    <t>F51501</t>
  </si>
  <si>
    <t>U3515-01</t>
  </si>
  <si>
    <t>High Voltage System Interlock Circuit "C" - General Electrical Failure</t>
  </si>
  <si>
    <t>78 - HVIL3RngGrp
High Voltage Interlock Line position 3  electrical check</t>
  </si>
  <si>
    <t>722 - HVIL3RngGrp.RngHi
High Voltage Interlock Line position 3  short High</t>
  </si>
  <si>
    <t>HVIL3 Frequency is equal to a value:
IntrfcT2.In.HVIL_3_Freq == 0 
AND
HVIL3 Duty Cycle is equal to a value:
IntrfcT2.In.HVIL_3_DC == 100</t>
  </si>
  <si>
    <t xml:space="preserve">K_McpDiag.HVIL3RngGrp.RngHi.LimFailSec </t>
  </si>
  <si>
    <t>K_McpDiag.HVIL3RngGrp.RngHi.EnblTyp</t>
  </si>
  <si>
    <t>HVIL3 Frequency is not equal to a value:
IntrfcT2.In.HVIL_3_Freq != 0 
OR
HVIL3 Duty Cycle is not equal to a value:
IntrfcT2.In.HVIL_3_DC  != 100</t>
  </si>
  <si>
    <t xml:space="preserve">K_McpDiag.HVIL3RngGrp.RngHi.LimPassSec </t>
  </si>
  <si>
    <t>723 - HVIL3RngGrp.RngLo
High Voltage Interlock Line position 3  short ground</t>
  </si>
  <si>
    <t>HVIL3 Frequency is equal to a value:
IntrfcT2.In.HVIL_3_Freq == 0 
AND
HVIL3 Duty Cycle is equal to a value:
IntrfcT2.In.HVIL_3_DC == 0</t>
  </si>
  <si>
    <t xml:space="preserve">K_McpDiag.HVIL3RngGrp.RngLo.LimFailSec </t>
  </si>
  <si>
    <t>K_McpDiag.HVIL3RngGrp.RngLo.EnblTyp</t>
  </si>
  <si>
    <t>HVIL3 Frequency is not equal to a value:
IntrfcT2.In.HVIL_3_Freq != 0 
OR
HVIL3 Duty Cycle is not equal to a value:
IntrfcT2.In.HVIL_3_DC  != 0</t>
  </si>
  <si>
    <t xml:space="preserve">K_McpDiag.HVIL3RngGrp.RngLo.LimPassSec </t>
  </si>
  <si>
    <t>F51925</t>
  </si>
  <si>
    <t>U3519-25</t>
  </si>
  <si>
    <t>High Voltage System Interlock Circuit 4 - Signal Shape / Waveform Failure</t>
  </si>
  <si>
    <t>81 - HVIL4OORGrp
High Voltage Interlock Line position 4   out of range</t>
  </si>
  <si>
    <t>728 - HVIL4OORGrp.OvrThrsh
High Voltage Interlock Line position 4   out of range high</t>
  </si>
  <si>
    <t xml:space="preserve">5V Supply Voltage is between Upper and Lower Threshold:
K_McpDiag.CalAddnl.Ok_5V_OvrThrsh &gt; Intrfc.Hw.InRaw.Sply5vSgnl &gt; K_McpDiag.CalAddnl.Ok_5V_UndrThrsh
AND
HVIL1 Frequency is between Upper and Lower Threshold:
102 &gt; IntrfcT2.In.HVIL_1_Freq &gt; 74 
HVIL1 Duty Cycle is between Upper and Lower Threshold:
65 &gt; IntrfcT2.In.HVIL_1_DC &gt; 35
HVIL2 Frequency is between Upper and Lower Threshold:
102 &gt; IntrfcT2.In.HVIL_2_Freq &gt; 74
HVIL2 Duty Cycle is between Upper and Lower Threshold:
65 &gt; IntrfcT2.In.HVIL_2_DC &gt; 35
HVIL3 Frequency is between Upper and Lower Threshold:
102 &gt; IntrfcT2.In.HVIL_3_Freq &gt; 74 
HVIL3 Duty Cycle is between Upper and Lower Threshold:
65 &gt; IntrfcT2.In.HVIL_3_DC &gt; 35 </t>
  </si>
  <si>
    <t>HVIL4 Frequency is above a value:
IntrfcT2.In.HVIL_4_Freq &gt; 102
OR
HVIL4 Duty Cycle is above a value:
IntrfcT2.In.HVIL_4_DC &gt; 65</t>
  </si>
  <si>
    <t xml:space="preserve">K_McpDiag.HVIL4OORGrp.OvrThrsh.LimFailSec </t>
  </si>
  <si>
    <t>K_McpDiag.HVIL4OORGrp.OvrThrsh.EnblTyp</t>
  </si>
  <si>
    <t>HVIL4 Frequency is below or equal a value
IntrfcT2.In.HVIL_4_Freq &lt;= 102
AND
HVIL4 Duty Cycle is below or equal a value:
IntrfcT2.In.HVIL_4_DC &lt;= 65</t>
  </si>
  <si>
    <t xml:space="preserve">K_McpDiag.HVIL4OORGrp.OvrThrsh.LimPassSec </t>
  </si>
  <si>
    <t>729 - HVIL4OORGrp.UndrThrsh
High Voltage Interlock Line position 4   out of range low</t>
  </si>
  <si>
    <t>HVIL4 Frequency is below a value:
IntrfcT2.In.HVIL_4_Freq &lt; 74
OR
HVIL4 Duty Cycle is below a value:
IntrfcT2.In.HVIL_4_DC &lt; 35</t>
  </si>
  <si>
    <t xml:space="preserve">K_McpDiag.HVIL4OORGrp.UndrThrsh.LimFailSec </t>
  </si>
  <si>
    <t>K_McpDiag.HVIL4OORGrp.UndrThrsh.EnblTyp</t>
  </si>
  <si>
    <t>HVIL4 Frequency is above or equal a value:
IntrfcT2.In.HVIL_4_Freq &gt;= 74
AND
HVIL4 Duty Cycle is above or equal a value:
IntrfcT2.In.HVIL_4_DC &gt;= 35</t>
  </si>
  <si>
    <t xml:space="preserve">K_McpDiag.HVIL4OORGrp.UndrThrsh.LimPassSec </t>
  </si>
  <si>
    <t>F51901</t>
  </si>
  <si>
    <t>U3519-01</t>
  </si>
  <si>
    <t>High Voltage System Interlock Circuit 4 - General Electrical Failure</t>
  </si>
  <si>
    <t>80 - HVIL4RngGrp
High Voltage Interlock Line position 4  electrical check</t>
  </si>
  <si>
    <t>726 - HVIL4RngGrp.RngHi
High Voltage Interlock Line position 4  short High</t>
  </si>
  <si>
    <t>HVIL4 Frequency is equal to a value:
IntrfcT2.In.HVIL_4_Freq == 0
AND
HVIL4 Duty Cycle is equal to a value:
IntrfcT2.In.HVIL_4_DC == 100</t>
  </si>
  <si>
    <t xml:space="preserve">K_McpDiag.HVIL4RngGrp.RngHi.LimFailSec </t>
  </si>
  <si>
    <t>K_McpDiag.HVIL4RngGrp.RngHi.EnblTyp</t>
  </si>
  <si>
    <t>HVIL4 Frequency is not equal to a value:
IntrfcT2.In.HVIL_4_Freq != 0
OR
HVIL4 Duty Cycle is not equal to a value:
IntrfcT2.In.HVIL_4_DC != 100</t>
  </si>
  <si>
    <t xml:space="preserve">K_McpDiag.HVIL4RngGrp.RngHi.LimPassSec </t>
  </si>
  <si>
    <t>727 - HVIL4RngGrp.RngLo
High Voltage Interlock Line position 4  short ground</t>
  </si>
  <si>
    <t>HVIL4 Frequency is equal to a value:
IntrfcT2.In.HVIL_4_Freq == 0
AND
HVIL4 Duty Cycle is equal to a value:
IntrfcT2.In.HVIL_4_DC == 0</t>
  </si>
  <si>
    <t xml:space="preserve">K_McpDiag.HVIL4RngGrp.RngLo.LimFailSec </t>
  </si>
  <si>
    <t>K_McpDiag.HVIL4RngGrp.RngLo.EnblTyp</t>
  </si>
  <si>
    <t>HVIL4 Frequency is not equal to a value:
IntrfcT2.In.HVIL_4_Freq != 0
OR
HVIL4 Duty Cycle is not equal to a value:
IntrfcT2.In.HVIL_4_DC != 0</t>
  </si>
  <si>
    <t xml:space="preserve">K_McpDiag.HVIL4RngGrp.RngLo.LimPassSec </t>
  </si>
  <si>
    <t>F51D25</t>
  </si>
  <si>
    <t>U351D-25</t>
  </si>
  <si>
    <t>High Voltage System Interlock Circuit 5 - Signal Shape / Waveform Failure</t>
  </si>
  <si>
    <t>83 - HVIL5OORGrp
High Voltage Interlock Line position 5   out of range</t>
  </si>
  <si>
    <t>732 - HVIL5OORGrp.OvrThrsh
High Voltage Interlock Line position 5   out of range high</t>
  </si>
  <si>
    <t>5V Supply Voltage is between Upper and Lower Threshold:
K_McpDiag.CalAddnl.Ok_5V_OvrThrsh &gt; Intrfc.Hw.InRaw.Sply5vSgnl &gt; K_McpDiag.CalAddnl.Ok_5V_UndrThrsh
AND
HVIL1 Frequency is between Upper and Lower Threshold:
102 &gt; IntrfcT2.In.HVIL_1_Freq &gt; 74 
HVIL1 Duty Cycle is between Upper and Lower Threshold:
65 &gt; IntrfcT2.In.HVIL_1_DC &gt; 35 
HVIL2 Frequency is between Upper and Lower Threshold:
102 &gt; IntrfcT2.In.HVIL_2_Freq &gt; 74 
HVIL2 Duty Cycle is between Upper and Lower Threshold:
65 &gt; IntrfcT2.In.HVIL_2_DC &gt; 35 
HVIL3 Frequency is between Upper and Lower Threshold:
102 &gt; IntrfcT2.In.HVIL_3_Freq &gt; 74 
HVIL3 Duty Cycle is between Upper and Lower Threshold:
65 &gt; IntrfcT2.In.HVIL_3_DC &gt; 35 
HVIL4 Frequency is between Upper and Lower Threshold:
 102 &gt; IntrfcT2.In.HVIL_4_Freq &gt; 74 
HVIL4 Duty Cycle is between Upper and Lower Threshold:
65 &gt; IntrfcT2.In.HVIL_4_DC &gt; 35</t>
  </si>
  <si>
    <t>HVIL5 Frequency is above a value:
IntrfcT2.In.HVIL_5_Freq &gt; 102
OR
HVIL5 Duty Cycle is above a value:
IntrfcT2.In.HVIL_5_DC &gt; 65</t>
  </si>
  <si>
    <t xml:space="preserve">K_McpDiag.HVIL5OORGrp.OvrThrsh.LimFailSec </t>
  </si>
  <si>
    <t>K_McpDiag.HVIL5OORGrp.OvrThrsh.EnblTyp</t>
  </si>
  <si>
    <t>HVIL5 Frequency is below or equal a value:
IntrfcT2.In.HVIL_5_Freq &lt;= 102
AND
HVIL5 Duty Cycle is below or equal a value:
IntrfcT2.In.HVIL_5_DC &lt;= 65</t>
  </si>
  <si>
    <t xml:space="preserve">K_McpDiag.HVIL5OORGrp.OvrThrsh.LimPassSec </t>
  </si>
  <si>
    <t>733 - HVIL5OORGrp.UndrThrsh
High Voltage Interlock Line position 5   out of range low</t>
  </si>
  <si>
    <t>HVIL5 Frequency is below a value:
IntrfcT2.In.HVIL_5_Freq &lt; 74
OR
HVIL5 Duty Cycle is below a value:
IntrfcT2.In.HVIL_5_DC &lt; 35</t>
  </si>
  <si>
    <t xml:space="preserve">K_McpDiag.HVIL5OORGrp.UndrThrsh.LimFailSec </t>
  </si>
  <si>
    <t>K_McpDiag.HVIL5OORGrp.UndrThrsh.EnblTyp</t>
  </si>
  <si>
    <t>HVIL5 Frequency is above or equal a value:
IntrfcT2.In.HVIL_5_Freq &gt;= 74
AND
HVIL5 Duty Cycle is above or equal a value:
IntrfcT2.In.HVIL_5_DC &gt;= 35</t>
  </si>
  <si>
    <t xml:space="preserve">K_McpDiag.HVIL5OORGrp.UndrThrsh.LimPassSec </t>
  </si>
  <si>
    <t>F51D01</t>
  </si>
  <si>
    <t>U351D-01</t>
  </si>
  <si>
    <t>High Voltage System Interlock Circuit 5 - General Electrical Failure</t>
  </si>
  <si>
    <t>82 - HVIL5RngGrp
High Voltage Interlock Line position 5  electrical check</t>
  </si>
  <si>
    <t>730 - HVIL5RngGrp.RngHi
High Voltage Interlock Line position 5  short High</t>
  </si>
  <si>
    <t>HVIL5 Frequency is equal to a value:
IntrfcT2.In.HVIL_5_Freq == 0
AND
HVIL5 Duty Cycle is equal to a value:
IntrfcT2.In.HVIL_5_DC == 100</t>
  </si>
  <si>
    <t xml:space="preserve">K_McpDiag.HVIL5RngGrp.RngHi.LimFailSec </t>
  </si>
  <si>
    <t>K_McpDiag.HVIL5RngGrp.RngHi.EnblTyp</t>
  </si>
  <si>
    <t>HVIL5 Frequency is not equal to a value:
IntrfcT2.In.HVIL_5_Freq != 0
OR
HVIL5 Duty Cycle is not equal to a value:
IntrfcT2.In.HVIL_5_DC != 100</t>
  </si>
  <si>
    <t xml:space="preserve">K_McpDiag.HVIL5RngGrp.RngHi.LimPassSec </t>
  </si>
  <si>
    <t>731 - HVIL5RngGrp.RngLo
High Voltage Interlock Line position 5  short ground</t>
  </si>
  <si>
    <t>HVIL5 Frequency is equal to a value:
IntrfcT2.In.HVIL_5_Freq == 0
AND
HVIL5 Duty Cycle is equal to a value:
IntrfcT2.In.HVIL_5_DC == 0</t>
  </si>
  <si>
    <t xml:space="preserve">K_McpDiag.HVIL5RngGrp.RngLo.LimFailSec </t>
  </si>
  <si>
    <t>K_McpDiag.HVIL5RngGrp.RngLo.EnblTyp</t>
  </si>
  <si>
    <t>HVIL5 Frequency is not equal to a value:
IntrfcT2.In.HVIL_5_Freq != 0
OR 
HVIL5 Duty Cycle is not equal to a value:
IntrfcT2.In.HVIL_5_DC != 0</t>
  </si>
  <si>
    <t xml:space="preserve">K_McpDiag.HVIL5RngGrp.RngLo.LimPassSec </t>
  </si>
  <si>
    <t>0A7892</t>
  </si>
  <si>
    <t>P0A78-92</t>
  </si>
  <si>
    <t>Drive Motor "A" Inverter - Performance or Incorrect Operation</t>
  </si>
  <si>
    <t>9 - HwGtDrvGrp
Indicates the Gate Driver or IGBT hardware has failed, or is operating outside  of safe operation. 
This group of faults includes Over-Voltage, Over-Current, Short Circuit, LLD State Machine, etc.</t>
  </si>
  <si>
    <t>Lack of power
Downgrading of driving performance
Difficult to reach maximum speed
Malfunction of the starting of the vehicle</t>
  </si>
  <si>
    <t>PIM Assembly Faulty</t>
  </si>
  <si>
    <t xml:space="preserve">Replace PIM Assembly
</t>
  </si>
  <si>
    <t>371 - HwGtDrvGrp.BIST_PhsUH
Gate Driver Built In Self Test Failed</t>
  </si>
  <si>
    <t>5V Supply GDIC Bottom Signal is between Upper and Lower Threshold:
K_McpDiag.CalAddnl.Ok_5V_GDIC_BOT_AI_OvrThrsh &gt; Intrfc.Hw.InRaw.Sply5vGDICBotSgnl &gt; K_McpDiag.CalAddnl.Ok_5V_GDIC_BOT_AI_UndrThrsh 
AND
23V Supply Signal is between Upper and Lower Threshold:
K_McpDiag.CalAddnl.OK_24V_OvrThrsh &gt; Intrfc.Hw.InRaw.Sply23vSgnl&gt; K_McpDiag.CalAddnl.OK_24V_UndrThrsh</t>
  </si>
  <si>
    <t xml:space="preserve">Fault Flag from Low-level Driver
Built-In Self Test Failure (BIST) for Gate Driver IC (GDIC)
RTE bit read (BIT 9)  from
Intrfc.InRaw.GDIC_HS_U_Status2  should be 1
Built In Self Test is part of Shut Off Path Test.
To trigger this fault in application layer below override can be used:
K_McpIntrfc.Ovrrd.In.GDIC_HS_U_Status2.Sgnl =0x0200
K_McpIntrfc.Ovrrd.In.GDIC_HS_U_Status2.SgnlEnbl =1
Description:
BIT 9 from Inv_Data_Slow.GDIC_HS_U_Status2 (function HW_InverterPeriodicT1()) holds the BIST Fail status of High Side Phase U GDIC. A logic value of 1 indicates a BIST failure, while a value of 0 indicates no BIST failure reported from High Side Phase U GDIC.
Precondition:  The High Side Phase U GDIC has been configured successfully and the data integrity check has been passed for the Status2 data received from the High Side Phase U GDIC.
</t>
  </si>
  <si>
    <t xml:space="preserve">IF  K_McpDiag.HwGtDrvGrp.BIST_PhsUH.FstRtryEnbl = 1
Quick Fail Count is above Quick Fault Set Threshold:
McpDiag.HwGtDrvGrp.BIST_PhsUH.QckFail_Cnt &gt; 
K_McpDiag.HwGtDrvGrp.BIST_PhsUH.QckFltSetThrsh
OR
Overall Fail Count is above Overall Fault Set Threshold:
McpDiag.HwGtDrvGrp.BIST_PhsUH.OvrllFail_Cnt &gt; 
K_McpDiag.HwGtDrvGrp.BIST_PhsUH.OvrllFltSetThrsh
OR
Consecutive Fail Timer is above Fault Set Threshold:
McpDiag.HwGtDrvGrp.BIST_PhsUH.ConsecutTm_Sec &gt; K_McpDiag.HwGtDrvGrp.BIST_PhsUH.ConsecutFltSetThrsh
ELSE K_McpDiag.HwGtDrvGrp.BIST_PhsUH.FstRtryEnbl = 0
No Mature Time (=NA)
</t>
  </si>
  <si>
    <t>K_McpDiag.HwGtDrvGrp.BIST_PhsUH.EnblTyp</t>
  </si>
  <si>
    <t>IF K_McpDiag.HwGtDrvGrp.BIST_PhsUH.FstRtryEnbl = 0
Fault Flag from Low-level Driver
Built-In Self Test Failure (BIST)
RTE bit read (BIT 9)  from
Intrfc.InRaw.GDIC_HS_U_Status2 = 0
ELSE K_McpDiag.HwGtDrvGrp.BIST_PhsUH.FstRtryEnbl = 1
No De-Maturation (=NA)</t>
  </si>
  <si>
    <t>368 - HwGtDrvGrp.BIST_PhsUL
Gate Driver Built In Self Test Failed</t>
  </si>
  <si>
    <t xml:space="preserve">Fault Flag from Low-level Driver
Built-In Self Test Failure (BIST)
RTE bit read (BIT 9)  from
Intrfc.InRaw.GDIC_LS_U_Status2 should be 1
Built In Self Test is part of Shut Off Path Test.
To trigger this fault in application layer below override can be used:
K_McpIntrfc.Ovrrd.In.GDIC_LS_U_Status2.Sgnl =0x0200
K_McpIntrfc.Ovrrd.In.GDIC_LS_U_Status2.SgnlEnbl =1
Description:
BIT 9 from Inv_Data_Slow.GDIC_LS_U_Status2 (function HW_InverterPeriodicT1()) holds the BIST Fail status of Low Side Phase U GDIC. A logic value of 1 indicates a BIST failure, while a value of 0 indicates no BIST failure reported from Low Side Phase U GDIC.
Precondition:  The Low Side Phase U GDIC has been configured successfully and the data integrity check has been passed for the Status2 data received from the Low Side Phase U GDIC.
</t>
  </si>
  <si>
    <t xml:space="preserve">IF K_McpDiag.HwGtDrvGrp.BIST_PhsUL.FstRtryEnbl = 1
Quick Fail Count is above Quick Fault Set Threshold:
McpDiag.HwGtDrvGrp.BIST_PhsUL.QckFail_Cnt &gt; 
K_McpDiag.HwGtDrvGrp.BIST_PhsUL.QckFltSetThrsh
OR
Overall Fail Count is above Overall Fault Set Threshold:
McpDiag.HwGtDrvGrp.BIST_PhsUL.OvrllFail_Cnt &gt; 
K_McpDiag.HwGtDrvGrp.BIST_PhsUL.OvrllFltSetThrsh
OR
Consecutive Fail Timer is above Fault Set Threshold:
McpDiag.HwGtDrvGrp.BIST_PhsUL.ConsecutTm_Sec &gt; K_McpDiag.HwGtDrvGrp.BIST_PhsUL.ConsecutFltSetThrsh
ELSE K_McpDiag.HwGtDrvGrp.BIST_PhsUL.FstRtryEnbl = 0
No Mature Time (=NA)
</t>
  </si>
  <si>
    <t>K_McpDiag.HwGtDrvGrp.BIST_PhsUL.EnblTyp</t>
  </si>
  <si>
    <t>IF K_McpDiag.HwGtDrvGrp.BIST_PhsUL.FstRtryEnbl = 0
Fault Flag from Low-level Driver
Built-In Self Test Failure (BIST)
RTE bit read (BIT 9)  from
Intrfc.InRaw.GDIC_LS_U_Status2 = 0
ELSE K_McpDiag.HwGtDrvGrp.BIST_PhsUL..FstRtryEnbl = 1
No De-Maturation (=NA)</t>
  </si>
  <si>
    <t>372 - HwGtDrvGrp.BIST_PhsVH
Gate Driver Built In Self Test Failed</t>
  </si>
  <si>
    <t xml:space="preserve">Fault Flag from Low-level Driver
Built-In Self Test Failure (BIST) 
RTE bit read (BIT 9)  from
Intrfc.InRaw.GDIC_HS_V_Status2 should be 1
Built In Self Test is part of Shut Off Path Test.
To trigger this fault in application layer below override can be used:
K_McpIntrfc.Ovrrd.In.GDIC_HS_V_Status2.Sgnl =0x0200
K_McpIntrfc.Ovrrd.In.GDIC_HS_V_Status2.SgnlEnbl =1
Description:
BIT 9 from Inv_Data_Slow.GDIC_HS_V_Status2 (function HW_InverterPeriodicT1()) holds the BIST Fail status of High Side Phase VGDIC. A logic value of 1 indicates a BIST failure, while a value of 0 indicates no BIST failure reported from High Side Phase VGDIC.
Precondition:  The High Side Phase V GDIC has been configured successfully and the data integrity check has been passed for the Status2 data received from the High Side Phase V GDIC.
</t>
  </si>
  <si>
    <t xml:space="preserve">IF K_McpDiag.HwGtDrvGrp.BIST_PhsVH.FstRtryEnbl = 1
Quick Fail Count is above Quick Fault Set Threshold:
McpDiag.HwGtDrvGrp.BIST_PhsVH.QckFail_Cnt &gt; 
K_McpDiag.HwGtDrvGrp.BIST_PhsVH.QckFltSetThrsh
OR
Overall Fail Count is above Overall Fault Set Threshold:
McpDiag.HwGtDrvGrp.BIST_PhsVH.OvrllFail_Cnt &gt; 
K_McpDiag.HwGtDrvGrp.BIST_PhsVH.OvrllFltSetThrsh
OR
Consecutive Fail Timer is above Fault Set Threshold:
McpDiag.HwGtDrvGrp.BIST_PhsVH.ConsecutTm_Sec &gt; K_McpDiag.HwGtDrvGrp.BIST_PhsVH.ConsecutFltSetThrsh
ELSE K_McpDiag.HwGtDrvGrp.BIST_PhsVH.FstRtryEnbl = 0
No Mature Time (=NA)
</t>
  </si>
  <si>
    <t>K_McpDiag.HwGtDrvGrp.BIST_PhsVH.EnblTyp</t>
  </si>
  <si>
    <t>IF K_McpDiag.HwGtDrvGrp.BIST_PhsVH.FstRtryEnbl = 0 
Fault Flag from Low-level Driver
RTE bit read (BIT 9)  from
Intrfc.InRaw.GDIC_HS_V_Status2 = 0
ELSE K_McpDiag.HwGtDrvGrp.BIST_PhsVH.FstRtryEnbl = 1
No De-Maturation (=NA)</t>
  </si>
  <si>
    <t>369 - HwGtDrvGrp.BIST_PhsVL
Gate Driver Built In Self Test Failed</t>
  </si>
  <si>
    <t>Fault Flag from Low-level Driver
Built-In Self Test Failure (BIST) 
RTE bit read (BIT 9)  from
Intrfc.InRaw.GDIC_LS_V_Status2 should be 1
Built In Self Test is part of Shut Off Path Test.
To trigger this fault in application layer below override can be used:
K_McpIntrfc.Ovrrd.In.GDIC_LS_V_Status2.Sgnl =0x0200
K_McpIntrfc.Ovrrd.In.GDIC_LS_V_Status2.SgnlEnbl =1
Description:
BIT 9 from Inv_Data_Slow.GDIC_HS_V_Status2 (function HW_InverterPeriodicT1()) holds the BIST Fail status of Low Side Phase VGDIC. A logic value of 1 indicates a BIST failure, while a value of 0 indicates no BIST failure reported fromL ow Side Phase VGDIC.
Precondition:  The Description:
BIT 9 from Inv_Data_Slow.GDIC_HS_V_Status2 (function HW_InverterPeriodicT1()) holds the BIST Fail status of High Side Phase VGDIC. A logic value of 1 indicates a BIST failure, while a value of 0 indicates no BIST failure reported from High Side Phase VGDIC.
Precondition:  The High Side Phase V GDIC has been configured successfully and the data integrity check has been passed for the Status2 data received from the High Side Phase V GDIC. Side Phase V GDIC has been configured successfully and the data integrity check has been passed for the Status2 data received from the Low Side Phase V GDIC.</t>
  </si>
  <si>
    <t xml:space="preserve">IF K_McpDiag.HwGtDrvGrp.BIST_PhsVL.FstRtryEnbl = 1
Quick Fail Count is above Quick Fault Set Threshold:
McpDiag.HwGtDrvGrp.BIST_PhsVL.QckFail_Cnt &gt; 
K_McpDiag.HwGtDrvGrp.BIST_PhsVL.QckFltSetThrsh
OR
Overall Fail Count is above Overall Fault Set Threshold:
McpDiag.HwGtDrvGrp.BIST_PhsVL.OvrllFail_Cnt &gt; 
K_McpDiag.HwGtDrvGrp.BIST_PhsVL.OvrllFltSetThrsh
OR
Consecutive Fail Timer is above Fault Set Threshold:
McpDiag.HwGtDrvGrp.BIST_PhsVL.ConsecutTm_Sec &gt; K_McpDiag.HwGtDrvGrp.BIST_PhsVL.ConsecutFltSetThrsh
ELSE K_McpDiag.HwGtDrvGrp.BIST_PhsVL.FstRtryEnbl = 0
No Mature Time (=NA)
</t>
  </si>
  <si>
    <t>K_McpDiag.HwGtDrvGrp.BIST_PhsVL.EnblTyp</t>
  </si>
  <si>
    <t>IF K_McpDiag.HwGtDrvGrp.BIST_PhsVL.FstRtryEnbl = 0
Fault Flag from Low-level Driver
Built-In Self Test Failure (BIST)
RTE bit read (BIT 9)  from
Intrfc.InRaw.GDIC_LS_V_Status2 = 0
ELSE K_McpDiag.HwGtDrvGrp.BIST_PhsVL.FstRtryEnbl = 1
No De-Maturation (=NA)</t>
  </si>
  <si>
    <t>373 - HwGtDrvGrp.BIST_PhsWH
Gate Driver Built In Self Test Failed</t>
  </si>
  <si>
    <t xml:space="preserve">Fault Flag from Low-level Driver
Built-In Self Test Failure (BIST) 
RTE bit read (BIT 9)  from
Intrfc.InRaw.GDIC_HS_W_Status2 should be 1
Built In Self Test is part of Shut Off Path Test.
To trigger this fault in application layer below override can be used:
K_McpIntrfc.Ovrrd.In.GDIC_HS_W_Status2.Sgnl =0x0200
K_McpIntrfc.Ovrrd.In.GDIC_HS_W_Status2.SgnlEnbl =1
Description:
BIT 9 from Inv_Data_Slow.GDIC_HS_W_Status2 (function HW_InverterPeriodicT1()) holds the BIST Fail status of High Side Phase W GDIC. A logic value of 1 indicates a BIST failure, while a value of 0 indicates no BIST failure reported from High Side Phase W GDIC.
Precondition:  The High Side PhaseW GDIC has been configured successfully and the data integrity check has been passed for the Status2 data received from the High Side Phase W GDIC.
</t>
  </si>
  <si>
    <t xml:space="preserve">IF K_McpDiag.HwGtDrvGrp.BIST_PhsWH.FstRtryEnbl = 1
Quick Fail Count is above Quick Fault Set Threshold:
McpDiag.HwGtDrvGrp.BIST_PhsWH.QckFail_Cnt &gt; 
K_McpDiag.HwGtDrvGrp.BIST_PhsWH.QckFltSetThrsh
OR
Overall Fail Count is above Overall Fault Set Threshold:
McpDiag.HwGtDrvGrp.BIST_PhsWH.OvrllFail_Cnt &gt; 
K_McpDiag.HwGtDrvGrp.BIST_PhsWH.OvrllFltSetThrsh
OR
Consecutive Fail Timer is above Fault Set Threshold:
McpDiag.HwGtDrvGrp.BIST_PhsWH.ConsecutTm_Sec &gt; K_McpDiag.HwGtDrvGrp.BIST_PhsWH.ConsecutFltSetThrsh
ELSE K_McpDiag.HwGtDrvGrp.BIST_PhsWH.FstRtryEnbl = 0
No Mature Time (=NA)
</t>
  </si>
  <si>
    <t>K_McpDiag.HwGtDrvGrp.BIST_PhsWH.EnblTyp</t>
  </si>
  <si>
    <t>IF McpDiag.HwGtDrvGrp.BIST_PhsWH.FstRtryEnbl = 0
Fault Flag from Low-level Driver
Built-In Self Test Failure (BIST)
RTE bit read (BIT 9)  from
Intrfc.InRaw.GDIC_HS_W_Status2 = 0
ELSE K_McpDiag.HwGtDrvGrp.BIST_PhsWH.FstRtryEnbl = 1
No De-Maturation (=NA)</t>
  </si>
  <si>
    <t>370 - HwGtDrvGrp.BIST_PhsWL
Gate Driver Built In Self Test Failed</t>
  </si>
  <si>
    <t>Fault Flag from Low-level Driver
Built-In Self Test Failure (BIST) 
RTE bit read (BIT 9)  from
Intrfc.InRaw.GDIC_LS_W_Status2 should be 1
Built In Self Test is part of Shut Off Path Test.
To trigger this fault in application layer below override can be used:
K_McpIntrfc.Ovrrd.In.GDIC_LS_W_Status2.Sgnl =0x0200
K_McpIntrfc.Ovrrd.In.GDIC_LS_W_Status2.SgnlEnbl =1
Description:
BIT 9 from Inv_Data_Slow.GDIC_LS_W_Status2 (function HW_InverterPeriodicT1()) holds the BIST Fail status of LowSide Phase W GDIC. A logic value of 1 indicates a BIST failure, while a value of 0 indicates no BIST failure reported from Low Side Phase W GDIC.
Precondition:  The Low Side PhaseW GDIC has been configured successfully and the data integrity check has been passed for the Status2 data received from the Low Side Phase W GDIC.</t>
  </si>
  <si>
    <t xml:space="preserve">IF K_McpDiag.HwGtDrvGrp.BIST_PhsWL.FstRtryEnbl = 1
Quick Fail Count is above Quick Fault Set Threshold:
McpDiag.HwGtDrvGrp.BIST_PhsWL.QckFail_Cnt &gt; 
K_McpDiag.HwGtDrvGrp.BIST_PhsWL.QckFltSetThrsh
OR
Overall Fail Count is above Overall Fault Set Threshold:
McpDiag.HwGtDrvGrp.BIST_PhsWL.OvrllFail_Cnt &gt; 
K_McpDiag.HwGtDrvGrp.BIST_PhsWL.OvrllFltSetThrsh
OR
Consecutive Fail Timer is above Fault Set Threshold:
McpDiag.HwGtDrvGrp.BIST_PhsWL.ConsecutTm_Sec &gt; K_McpDiag.HwGtDrvGrp.BIST_PhsWL.ConsecutFltSetThrsh
ELSE K_McpDiag.HwGtDrvGrp.BIST_PhsWL.FstRtryEnbl = 0
No Mature Time (=NA)
</t>
  </si>
  <si>
    <t>K_McpDiag.HwGtDrvGrp.BIST_PhsWL.EnblTyp</t>
  </si>
  <si>
    <t>IF K_McpDiag.HwGtDrvGrp.BIST_PhsWL.FstRtryEnbl = 0
Fault Flag from Low-level Driver
Built-In Self Test Failure (BIST)
RTE bit read (BIT 9)  from
Intrfc.InRaw.GDIC_LS_W_Status2 = 0
ELSE K_McpDiag.HwGtDrvGrp.BIST_PhsWL.FstRtryEnbl = 1
No De-Maturation (=NA)</t>
  </si>
  <si>
    <t>395 - HwGtDrvGrp.CLAMP_PhsUH
Gate Driver Voltage Out Of Range</t>
  </si>
  <si>
    <t>Fault Flag from Low-level Driver
CLAMP pin that senses the terminal for VCE/VDS overvoltage during turn-off must be active
RTE bit read (BIT 3)  from
Intrfc.InRaw.GDIC_HS_U_Status1 should be 1
Built In Self Test is part of Shut Off Path Test.
To trigger this fault in application layer below override can be used:
K_McpIntrfc.Ovrrd.In.GDIC_HS_U_Status1.Sgnl =0x0008
K_McpIntrfc.Ovrrd.In.GDIC_HS_U_Status1.SgnlEnbl =1</t>
  </si>
  <si>
    <t xml:space="preserve">IF  K_McpDiag.HwGtDrvGrp.CLAMP_PhsUH.FstRtryEnbl = 1
Quick Fail Count is above Quick Fault Set Threshold:
McpDiag.HwGtDrvGrp.CLAMP_PhsUH.QckFail_Cnt &gt; 
K_McpDiag.HwGtDrvGrp.CLAMP_PhsUH.QckFltSetThrsh
OR
Overall Fail Count is above Overall Fault Set Threshold:
McpDiag.HwGtDrvGrp.CLAMP_PhsUH.OvrllFail_Cnt &gt; 
K_McpDiag.HwGtDrvGrp.CLAMP_PhsUH.OvrllFltSetThrsh
OR
Consecutive Fail Timer is above Fault Set Threshold:
McpDiag.HwGtDrvGrp.CLAMP_PhsUH.ConsecutTm_Sec &gt; K_McpDiag.HwGtDrvGrp.CLAMP_PhsUH.ConsecutFltSetThrsh
ELSE  K_McpDiag.HwGtDrvGrp.CLAMP_PhsUH.FstRtryEnbl = 0
No Mature Time (=NA)
</t>
  </si>
  <si>
    <t>K_McpDiag.HwGtDrvGrp.CLAMP_PhsUH.EnblTyp</t>
  </si>
  <si>
    <t>IF K_McpDiag.HwGtDrvGrp.CLAMP_PhsUH.FstRtryEnbl = 0
Fault Flag from Low-level
CLAMP pin that senses the terminal for VCE/VDS overvoltage during turn-off must be not active
RTE bit read (BIT 3)  from
Intrfc.InRaw.GDIC_HS_U_Status1 = 0
ELSE K_McpDiag.HwGtDrvGrp.CLAMP_PhsUH.FstRtryEnbl = 1
No De-Maturation (=NA)</t>
  </si>
  <si>
    <t>392 - HwGtDrvGrp.CLAMP_PhsUL
Gate Driver Voltage Out Of Range</t>
  </si>
  <si>
    <t>Fault Flag from Low-level Driver
CLAMP pin that senses the terminal for VCE/VDS overvoltage during turn-off must be active
RTE bit read (BIT 3)  from
Intrfc.InRaw.GDIC_LS_U_Status1 should be 1
Built In Self Test is part of Shut Off Path Test.
To trigger this fault in application layer below override can be used:
K_McpIntrfc.Ovrrd.In.GDIC_LS_U_Status1.Sgnl =0x0008
K_McpIntrfc.Ovrrd.In.GDIC_LS_U_Status1.SgnlEnbl =1</t>
  </si>
  <si>
    <t xml:space="preserve">IF  K_McpDiag.HwGtDrvGrp.CLAMP_PhsUL.FstRtryEnbl = 1
Quick Fail Count is above Quick Fault Set Threshold:
McpDiag.HwGtDrvGrp.CLAMP_PhsUL.QckFail_Cnt &gt; 
K_McpDiag.HwGtDrvGrp.CLAMP_PhsUL.QckFltSetThrsh
OR
Overall Fail Count is above Overall Fault Set Threshold:
McpDiag.HwGtDrvGrp.CLAMP_PhsUL.OvrllFail_Cnt &gt; 
K_McpDiag.HwGtDrvGrp.CLAMP_PhsUL.OvrllFltSetThrsh
OR
Consecutive Fail Timer is above Fault Set Threshold:
McpDiag.HwGtDrvGrp.CLAMP_PhsUL.ConsecutTm_Sec &gt; K_McpDiag.HwGtDrvGrp.CLAMP_PhsUL.ConsecutFltSetThrsh
ELSE  K_McpDiag.HwGtDrvGrp.CLAMP_PhsUL.FstRtryEnbl = 0
No Mature Time (=NA)
</t>
  </si>
  <si>
    <t>K_McpDiag.HwGtDrvGrp.CLAMP_PhsUL.EnblTyp</t>
  </si>
  <si>
    <t>IF K_McpDiag.HwGtDrvGrp.CLAMP_PhsUL.FstRtryEnbl = 0
Fault Flag from Low-level Driver
CLAMP pin that senses the terminal for VCE/VDS overvoltage during turn-off must be not active
RTE bit read (BIT 3)  from
Intrfc.InRaw.GDIC_LS_U_Status1 = 0
ELSE K_McpDiag.HwGtDrvGrp.CLAMP_PhsUL.FstRtryEnbl = 1
No De-Maturation (=NA)</t>
  </si>
  <si>
    <t>396 - HwGtDrvGrp.CLAMP_PhsVH
Gate Driver Voltage Out Of Range</t>
  </si>
  <si>
    <t>Fault Flag from Low-level Driver
CLAMP pin that senses the terminal for VCE/VDS overvoltage during turn-off must be active
RTE bit read (BIT 3)  from
Intrfc.InRaw.GDIC_HS_V_Status1 should be 1
Built In Self Test is part of Shut Off Path Test.
To trigger this fault in application layer below override can be used:
K_McpIntrfc.Ovrrd.In.GDIC_HS_V_Status1.Sgnl =0x0008
K_McpIntrfc.Ovrrd.In.GDIC_HS_V_Status1.SgnlEnbl =1</t>
  </si>
  <si>
    <t xml:space="preserve">IF  K_McpDiag.HwGtDrvGrp.CLAMP_PhsVH.FstRtryEnbl = 1
Quick Fail Count is above Quick Fault Set Threshold:
McpDiag.HwGtDrvGrp.CLAMP_PhsVH.QckFail_Cnt &gt; 
K_McpDiag.HwGtDrvGrp.CLAMP_PhsVH.QckFltSetThrsh
OR
Overall Fail Count is above Overall Fault Set Threshold:
McpDiag.HwGtDrvGrp.CLAMP_PhsVH.OvrllFail_Cnt &gt; 
K_McpDiag.HwGtDrvGrp.CLAMP_PhsVH.OvrllFltSetThrsh
OR
Consecutive Fail Timer is above Fault Set Threshold:
McpDiag.HwGtDrvGrp.CLAMP_PhsVH.ConsecutTm_Sec &gt; K_McpDiag.HwGtDrvGrp.CLAMP_PhsVH.ConsecutFltSetThrsh
ELSE  K_McpDiag.HwGtDrvGrp.CLAMP_PhsVH.FstRtryEnbl = 0
No Mature Time (=NA)
</t>
  </si>
  <si>
    <t>K_McpDiag.HwGtDrvGrp.CLAMP_PhsVH.EnblTyp</t>
  </si>
  <si>
    <t>IF K_McpDiag.HwGtDrvGrp.CLAMP_PhsVH.FstRtryEnbl = 0
Fault Flag from Low-level Driver
CLAMP pin that senses the terminal for VCE/VDS overvoltage during turn-off must be not active
RTE bit read (BIT 3)  from
Intrfc.InRaw.GDIC_HS_V_Status1 = 0
ELSE K_McpDiag.HwGtDrvGrp.CLAMP_PhsVH.FstRtryEnbl = 1
No De-Maturation (=NA)</t>
  </si>
  <si>
    <t>393 - HwGtDrvGrp.CLAMP_PhsVL
Gate Driver Voltage Out Of Range</t>
  </si>
  <si>
    <t>Fault Flag from Low-level Driver
CLAMP pin that senses the terminal for VCE/VDS overvoltage during turn-off must be active
RTE bit read (BIT 3)  from
Intrfc.InRaw.GDIC_LS_V_Status1 should be 1
Built In Self Test is part of Shut Off Path Test.
To trigger this fault in application layer below override can be used:
K_McpIntrfc.Ovrrd.In.GDIC_LS_V_Status1.Sgnl =0x0008
K_McpIntrfc.Ovrrd.In.GDIC_LS_V_Status1.SgnlEnbl =1</t>
  </si>
  <si>
    <t xml:space="preserve">IF  K_McpDiag.HwGtDrvGrp.CLAMP_PhsVL.FstRtryEnbl = 1
Quick Fail Count is above Quick Fault Set Threshold:
McpDiag.HwGtDrvGrp.CLAMP_PhsVL.QckFail_Cnt &gt; 
K_McpDiag.HwGtDrvGrp.CLAMP_PhsVL.QckFltSetThrsh
OR
Overall Fail Count is above Overall Fault Set Threshold:
McpDiag.HwGtDrvGrp.CLAMP_PhsVL.OvrllFail_Cnt &gt; 
K_McpDiag.HwGtDrvGrp.CLAMP_PhsVL.OvrllFltSetThrsh
OR
Consecutive Fail Timer is above Fault Set Threshold:
McpDiag.HwGtDrvGrp.CLAMP_PhsVL.ConsecutTm_Sec &gt; K_McpDiag.HwGtDrvGrp.CLAMP_PhsVL.ConsecutFltSetThrsh
ELSE  K_McpDiag.HwGtDrvGrp.CLAMP_PhsVL.FstRtryEnbl = 0
No Mature Time (=NA)
</t>
  </si>
  <si>
    <t>K_McpDiag.HwGtDrvGrp.CLAMP_PhsVL.EnblTyp</t>
  </si>
  <si>
    <t>IF K_McpDiag.HwGtDrvGrp.CLAMP_PhsVL.FstRtryEnbl = 0
Fault Flag from Low-level Driver
CLAMP pin that senses the terminal for VCE/VDS overvoltage during turn-off must be not active
RTE bit read (BIT 3)  from
Intrfc.InRaw.GDIC_LS_V_Status1 = 0
ELSE K_McpDiag.HwGtDrvGrp.CLAMP_PhsVL.FstRtryEnbl = 1
No De-Maturation (=NA)</t>
  </si>
  <si>
    <t>397 - HwGtDrvGrp.CLAMP_PhsWH
Gate Driver Voltage Out Of Range</t>
  </si>
  <si>
    <t>Fault Flag from Low-level Driver
CLAMP pin that senses the terminal for VCE/VDS overvoltage during turn-off must be active
RTE bit read (BIT 3)  from
Intrfc.InRaw.GDIC_HS_W_Status1 should be 1
Built In Self Test is part of Shut Off Path Test.
To trigger this fault in application layer below override can be used:
K_McpIntrfc.Ovrrd.In.GDIC_HS_W_Status1.Sgnl =0x0008
K_McpIntrfc.Ovrrd.In.GDIC_HS_W_Status1.SgnlEnbl =1</t>
  </si>
  <si>
    <t xml:space="preserve">IF  K_McpDiag.HwGtDrvGrp.CLAMP_PhsWH.FstRtryEnbl = 1
Quick Fail Count is above Quick Fault Set Threshold:
McpDiag.HwGtDrvGrp.CLAMP_PhsWH.QckFail_Cnt &gt; 
K_McpDiag.HwGtDrvGrp.CLAMP_PhsWH.QckFltSetThrsh
OR
Overall Fail Count is above Overall Fault Set Threshold:
McpDiag.HwGtDrvGrp.CLAMP_PhsWH.OvrllFail_Cnt &gt; 
K_McpDiag.HwGtDrvGrp.CLAMP_PhsWH.OvrllFltSetThrsh
OR
Consecutive Fail Timer is above Fault Set Threshold:
McpDiag.HwGtDrvGrp.CLAMP_PhsWH.ConsecutTm_Sec &gt; K_McpDiag.HwGtDrvGrp.CLAMP_PhsWH.ConsecutFltSetThrsh
ELSE  K_McpDiag.HwGtDrvGrp.CLAMP_PhsWH.FstRtryEnbl = 0
No Mature Time (=NA)
</t>
  </si>
  <si>
    <t>K_McpDiag.HwGtDrvGrp.CLAMP_PhsWH.EnblTyp</t>
  </si>
  <si>
    <t>IF K_McpDiag.HwGtDrvGrp.CLAMP_PhsWH.FstRtryEnbl = 0
Fault Flag from Low-level Driver
CLAMP pin that senses the terminal for VCE/VDS overvoltage during turn-off must be not active
RTE bit read (BIT 3)  from
Intrfc.InRaw.GDIC_HS_W_Status1 = 0
ELSE K_McpDiag.HwGtDrvGrp.CLAMP_PhsWH.FstRtryEnbl = 1
No De-Maturation (=NA)</t>
  </si>
  <si>
    <t>394 - HwGtDrvGrp.CLAMP_PhsWL
Gate Driver Voltage Out Of Range</t>
  </si>
  <si>
    <t>Fault Flag from Low-level Driver
CLAMP pin that senses the terminal for VCE/VDS overvoltage during turn-off must be active
RTE bit read (BIT 3)  from
Intrfc.InRaw.GDIC_LS_W_Status1 should be 1
Built In Self Test is part of Shut Off Path Test.
To trigger this fault in application layer below override can be used:
K_McpIntrfc.Ovrrd.In.GDIC_LS_W_Status1.Sgnl =0x0008
K_McpIntrfc.Ovrrd.In.GDIC_LS_W_Status1.SgnlEnbl =1</t>
  </si>
  <si>
    <t xml:space="preserve">IF  K_McpDiag.HwGtDrvGrp.CLAMP_PhsWL.FstRtryEnbl = 1
Quick Fail Count is above Quick Fault Set Threshold:
McpDiag.HwGtDrvGrp.CLAMP_PhsWL.QckFail_Cnt &gt; 
K_McpDiag.HwGtDrvGrp.CLAMP_PhsWL.QckFltSetThrsh
OR
Overall Fail Count is above Overall Fault Set Threshold:
McpDiag.HwGtDrvGrp.CLAMP_PhsWL.OvrllFail_Cnt &gt; 
K_McpDiag.HwGtDrvGrp.CLAMP_PhsWL.OvrllFltSetThrsh
OR
Consecutive Fail Timer is above Fault Set Threshold:
McpDiag.HwGtDrvGrp.CLAMP_PhsWL.ConsecutTm_Sec &gt; K_McpDiag.HwGtDrvGrp.CLAMP_PhsWL.ConsecutFltSetThrsh
ELSE  K_McpDiag.HwGtDrvGrp.CLAMP_PhsWL.FstRtryEnbl = 0
No Mature Time (=NA)
</t>
  </si>
  <si>
    <t>K_McpDiag.HwGtDrvGrp.CLAMP_PhsWL.EnblTyp</t>
  </si>
  <si>
    <t>IF K_McpDiag.HwGtDrvGrp.CLAMP_PhsWL.FstRtryEnbl = 0
Fault Flag from Low-level Driver
CLAMP pin that senses the terminal for VCE/VDS overvoltage during turn-off must be not active
RTE bit read (BIT 3)  from
Intrfc.InRaw.GDIC_LS_W_Status1 = 0
ELSE K_McpDiag.HwGtDrvGrp.CLAMP_PhsWL.FstRtryEnbl = 1
No De-Maturation (=NA)</t>
  </si>
  <si>
    <t>335 - HwGtDrvGrp.COMERR_PhsUH
Gate Driver communication fault</t>
  </si>
  <si>
    <t>Fault Flag from Low-level Driver
COMERR bit that reports LV/HV domain communications CRC error or framing error must be active (Incorrect SPI message frame or CRC)
RTE bit read (BIT 2)  from
Intrfc.InRaw.GDIC_HS_U_Status2 should be 1
Built In Self Test is part of Shut Off Path Test.
To trigger this fault in application layer below override can be used:
K_McpIntrfc.Ovrrd.In.GDIC_HS_U_Status2.Sgnl =0x0004
K_McpIntrfc.Ovrrd.In.GDIC_HS_U_Status2.SgnlEnbl =1</t>
  </si>
  <si>
    <t>IF  K_McpDiag.HwGtDrvGrp.COMERR_PhsUH.FstRtryEnbl = 1
Quick Fail Count is above Quick Fault Set Threshold:
McpDiag.HwGtDrvGrp.COMERR_PhsUH.QckFail_Cnt &gt; 
K_McpDiag.HwGtDrvGrp.COMERR_PhsUH.QckFltSetThrsh
OR
Overall Fail Count is above Overall Fault Set Threshold:
McpDiag.HwGtDrvGrp.COMERR_PhsUH.OvrllFail_Cnt &gt; 
K_McpDiag.HwGtDrvGrp.COMERR_PhsUH.OvrllFltSetThrsh
OR
Consecutive Fail Timer is above Fault Set Threshold:
McpDiag.HwGtDrvGrp.COMERR_PhsUH.ConsecutTm_Sec &gt; K_McpDiag.HwGtDrvGrp.COMERR_PhsUH.ConsecutFltSetThrsh
ELSE  K_McpDiag.HwGtDrvGrp.COMERR_PhsUH.FstRtryEnbl = 0
No Mature Time (=NA)</t>
  </si>
  <si>
    <t xml:space="preserve">K_McpDiag.HwGtDrvGrp.COMERR_PhsUH.EnblTyp </t>
  </si>
  <si>
    <t>IF K_McpDiag.HwGtDrvGrp.COMERR_PhsUH.FstRtryEnbl = 0
Fault Flag from Low-level Driver
COMERR bit that reports LV/HV domain communications CRC error or framing error must be not active  (Incorrect SPI message frame or CRC)
RTE bit read (BIT 2)  from
Intrfc.InRaw.GDIC_HS_U_Status2 = 0
ELSE K_McpDiag.HwGtDrvGrp.COMERR_PhsUH.FstRtryEnbl = 1
No De-Maturation (=NA)</t>
  </si>
  <si>
    <t>332 - HwGtDrvGrp.COMERR_PhsUL
Gate Driver communication fault</t>
  </si>
  <si>
    <t>Fault Flag from Low-level Driver
COMERR bit that reports LV/HV domain communications CRC error or framing error must be active  (Incorrect SPI message frame or CRC)
RTE bit read (BIT 2)  from
Intrfc.InRaw.GDIC_LS_U_Status2 should be 1
Built In Self Test is part of Shut Off Path Test.
To trigger this fault in application layer below override can be used:
K_McpIntrfc.Ovrrd.In.GDIC_LS_U_Status2.Sgnl =0x0004
K_McpIntrfc.Ovrrd.In.GDIC_LS_U_Status2.SgnlEnbl =1</t>
  </si>
  <si>
    <t>IF  K_McpDiag.HwGtDrvGrp.COMERR_PhsUL.FstRtryEnbl = 1
Quick Fail Count is above Quick Fault Set Threshold:
McpDiag.HwGtDrvGrp.COMERR_PhsUL.QckFail_Cnt &gt; 
K_McpDiag.HwGtDrvGrp.COMERR_PhsUL.QckFltSetThrsh
OR
Overall Fail Count is above Overall Fault Set Threshold:
McpDiag.HwGtDrvGrp.COMERR_PhsUL.OvrllFail_Cnt &gt; 
K_McpDiag.HwGtDrvGrp.COMERR_PhsUL.OvrllFltSetThrsh
OR
Consecutive Fail Timer is above Fault Set Threshold:
McpDiag.HwGtDrvGrp.COMERR_PhsUL.ConsecutTm_Sec &gt; K_McpDiag.HwGtDrvGrp.COMERR_PhsUL.ConsecutFltSetThrsh
ELSE  K_McpDiag.HwGtDrvGrp.COMERR_PhsUL.FstRtryEnbl = 0
No Mature Time (=NA)</t>
  </si>
  <si>
    <t xml:space="preserve">K_McpDiag.HwGtDrvGrp.COMERR_PhsUL.EnblTyp </t>
  </si>
  <si>
    <t>IF K_McpDiag.HwGtDrvGrp.COMERR_PhsUL.FstRtryEnbl = 0
Fault Flag from Low-level Driver
COMERR bit that reports LV/HV domain communications CRC error or framing error must be not active  (Incorrect SPI message frame or CRC)
RTE bit read (BIT 2)  from
Intrfc.InRaw.GDIC_LS_U_Status2 = 0
ELSE K_McpDiag.HwGtDrvGrp.COMERR_PhsUL.FstRtryEnbl = 1
No De-Maturation (=NA)</t>
  </si>
  <si>
    <t>336 - HwGtDrvGrp.COMERR_PhsVH
Gate Driver communication fault</t>
  </si>
  <si>
    <t>Fault Flag from Low-level Driver
COMERR bit that reports LV/HV domain communications CRC error or framing error must be active  (Incorrect SPI message frame or CRC)
RTE bit read (BIT 2)  from
Intrfc.InRaw.GDIC_HS_V_Status2 should be 1
Built In Self Test is part of Shut Off Path Test.
To trigger this fault in application layer below override can be used:
K_McpIntrfc.Ovrrd.In.GDIC_HS_V_Status2.Sgnl =0x0004
K_McpIntrfc.Ovrrd.In.GDIC_HS_V_Status2.SgnlEnbl =1</t>
  </si>
  <si>
    <t>IF  K_McpDiag.HwGtDrvGrp.COMERR_PhsVH.FstRtryEnbl = 1
Quick Fail Count is above Quick Fault Set Threshold:
McpDiag.HwGtDrvGrp.COMERR_PhsVH.QckFail_Cnt &gt; 
K_McpDiag.HwGtDrvGrp.COMERR_PhsVH.QckFltSetThrsh
OR
Overall Fail Count is above Overall Fault Set Threshold:
McpDiag.HwGtDrvGrp.COMERR_PhsVH.OvrllFail_Cnt &gt; 
K_McpDiag.HwGtDrvGrp.COMERR_PhsVH.OvrllFltSetThrsh
OR
Consecutive Fail Timer is above Fault Set Threshold:
McpDiag.HwGtDrvGrp.COMERR_PhsVH.ConsecutTm_Sec &gt; K_McpDiag.HwGtDrvGrp.COMERR_PhsVH.ConsecutFltSetThrsh
ELSE  K_McpDiag.HwGtDrvGrp.COMERR_PhsVH.FstRtryEnbl = 0
No Mature Time (=NA)</t>
  </si>
  <si>
    <t xml:space="preserve">K_McpDiag.HwGtDrvGrp.COMERR_PhsVH.EnblTyp </t>
  </si>
  <si>
    <t>IF K_McpDiag.HwGtDrvGrp.COMERR_PhsVH.FstRtryEnbl = 0
Fault Flag from Low-level Driver
COMERR bit that reports LV/HV domain communications CRC error or framing error must be not active  (Incorrect SPI message frame or CRC)
RTE bit read (BIT 2)  from
Intrfc.InRaw.GDIC_HS_V_Status2 = 0
ELSE K_McpDiag.HwGtDrvGrp.COMERR_PhsVH.FstRtryEnbl = 1
No De-Maturation (=NA)</t>
  </si>
  <si>
    <t>333 - HwGtDrvGrp.COMERR_PhsVL
Gate Driver communication fault</t>
  </si>
  <si>
    <t>Fault Flag from Low-level Driver
COMERR bit that reports LV/HV domain communications CRC error or framing error must be active  (Incorrect SPI message frame or CRC)
RTE bit read (BIT 2)  from
Intrfc.InRaw.GDIC_LS_V_Status2 should be 1
Built In Self Test is part of Shut Off Path Test.
To trigger this fault in application layer below override can be used:
K_McpIntrfc.Ovrrd.In.GDIC_LS_V_Status2.Sgnl =0x0004
K_McpIntrfc.Ovrrd.In.GDIC_LS_V_Status2.SgnlEnbl =1</t>
  </si>
  <si>
    <t>IF  K_McpDiag.HwGtDrvGrp.COMERR_PhsVL.FstRtryEnbl = 1
Quick Fail Count is above Quick Fault Set Threshold:
McpDiag.HwGtDrvGrp.COMERR_PhsVL.QckFail_Cnt &gt; 
K_McpDiag.HwGtDrvGrp.COMERR_PhsVL.QckFltSetThrsh
OR
Overall Fail Count is above Overall Fault Set Threshold:
McpDiag.HwGtDrvGrp.COMERR_PhsVL.OvrllFail_Cnt &gt; 
K_McpDiag.HwGtDrvGrp.COMERR_PhsVL.OvrllFltSetThrsh
OR
Consecutive Fail Timer is above Fault Set Threshold:
McpDiag.HwGtDrvGrp.COMERR_PhsVL.ConsecutTm_Sec &gt; K_McpDiag.HwGtDrvGrp.COMERR_PhsVL.ConsecutFltSetThrsh
ELSE  K_McpDiag.HwGtDrvGrp.COMERR_PhsVL.FstRtryEnbl = 0
No Mature Time (=NA)</t>
  </si>
  <si>
    <t xml:space="preserve">K_McpDiag.HwGtDrvGrp.COMERR_PhsVL.EnblTyp </t>
  </si>
  <si>
    <t>IF K_McpDiag.HwGtDrvGrp.COMERR_PhsVL.FstRtryEnbl = 0
Fault Flag from Low-level Driver
COMERR bit that reports LV/HV domain communications CRC error or framing error must be not active  (Incorrect SPI message frame or CRC)
RTE bit read (BIT 2)  from
Intrfc.InRaw.GDIC_LS_V_Status2 = 0
ELSE K_McpDiag.HwGtDrvGrp.COMERR_PhsVL.FstRtryEnbl = 1
No De-Maturation (=NA)</t>
  </si>
  <si>
    <t>337 - HwGtDrvGrp.COMERR_PhsWH
Gate Driver communication fault</t>
  </si>
  <si>
    <t>Fault Flag from Low-level Driver
COMERR bit that reports LV/HV domain communications CRC error or framing error must be active  (Incorrect SPI message frame or CRC)
RTE bit read (BIT 2)  from
Intrfc.InRaw.GDIC_HS_W_Status2 should be 1
Built In Self Test is part of Shut Off Path Test.
To trigger this fault in application layer below override can be used:
K_McpIntrfc.Ovrrd.In.GDIC_HS_W_Status2.Sgnl =0x0004
K_McpIntrfc.Ovrrd.In.GDIC_HS_W_Status2.SgnlEnbl =1</t>
  </si>
  <si>
    <t>IF  K_McpDiag.HwGtDrvGrp.COMERR_PhsWH.FstRtryEnbl = 1
Quick Fail Count is above Quick Fault Set Threshold:
McpDiag.HwGtDrvGrp.COMERR_PhsWH.QckFail_Cnt &gt; 
K_McpDiag.HwGtDrvGrp.COMERR_PhsWH.QckFltSetThrsh
OR
Overall Fail Count is above Overall Fault Set Threshold:
McpDiag.HwGtDrvGrp.COMERR_PhsWH.OvrllFail_Cnt &gt; 
K_McpDiag.HwGtDrvGrp.COMERR_PhsWH.OvrllFltSetThrsh
OR
Consecutive Fail Timer is above Fault Set Threshold:
McpDiag.HwGtDrvGrp.COMERR_PhsWH.ConsecutTm_Sec &gt; K_McpDiag.HwGtDrvGrp.COMERR_PhsWH.ConsecutFltSetThrsh
ELSE  K_McpDiag.HwGtDrvGrp.COMERR_PhsWH.FstRtryEnbl = 0
No Mature Time (=NA)</t>
  </si>
  <si>
    <t>K_McpDiag.HwGtDrvGrp.COMERR_PhsWH.EnblTyp</t>
  </si>
  <si>
    <t>IF K_McpDiag.HwGtDrvGrp.COMERR_PhsWH.FstRtryEnbl = 0
Fault Flag from Low-level Driver
COMERR bit that reports LV/HV domain communications CRC error or framing error must be not active  (Incorrect SPI message frame or CRC)
RTE bit read (BIT 2)  from
Intrfc.InRaw.GDIC_HS_W_Status2 = 0
ELSE K_McpDiag.HwGtDrvGrp.COMERR_PhsWH.FstRtryEnbl = 1
No De-Maturation (=NA)</t>
  </si>
  <si>
    <t>334 - HwGtDrvGrp.COMERR_PhsWL
Gate Driver communication fault</t>
  </si>
  <si>
    <t>Fault Flag from Low-level Driver
COMERR bit that reports LV/HV domain communications CRC error or framing error must be active  (Incorrect SPI message frame or CRC)
RTE bit read (BIT 2)  from
Intrfc.InRaw.GDIC_LS_W_Status2 should be 1
Built In Self Test is part of Shut Off Path Test.
To trigger this fault in application layer below override can be used:
K_McpIntrfc.Ovrrd.In.GDIC_LS_W_Status2.Sgnl =0x0004
K_McpIntrfc.Ovrrd.In.GDIC_LS_W_Status2.SgnlEnbl =1</t>
  </si>
  <si>
    <t>IF K_McpDiag.HwGtDrvGrp.COMERR_PhsWL.FstRtryEnbl = 1
Quick Fail Count is above Quick Fault Set Threshold:
McpDiag.HwGtDrvGrp.COMERR_PhsWL.QckFail_Cnt &gt; 
K_McpDiag.HwGtDrvGrp.COMERR_PhsWL.QckFltSetThrsh
OR
Overall Fail Count is above Overall Fault Set Threshold:
McpDiag.HwGtDrvGrp.COMERR_PhsWL.OvrllFail_Cnt &gt; 
K_McpDiag.HwGtDrvGrp.COMERR_PhsWL.OvrllFltSetThrsh
OR
Consecutive Fail Timer is above Fault Set Threshold:
McpDiag.HwGtDrvGrp.COMERR_PhsWL.ConsecutTm_Sec &gt; K_McpDiag.HwGtDrvGrp.COMERR_PhsWL.ConsecutFltSetThrsh
ELSE K_McpDiag.HwGtDrvGrp.COMERR_PhsWL.FstRtryEnbl = 0
No Mature Time (=NA)</t>
  </si>
  <si>
    <t>K_McpDiag.HwGtDrvGrp.COMERR_PhsWL.EnblTyp</t>
  </si>
  <si>
    <t>IF K_McpDiag.HwGtDrvGrp.COMERR_PhsWL.FstRtryEnbl = 0
Fault Flag from Low-level Driver
COMERR bit that reports LV/HV domain communications CRC error or framing error must be not active  (Incorrect SPI message frame or CRC)
RTE bit read (BIT 2)  from
Intrfc.InRaw.GDIC_LS_W_Status2 = 0
ELSE K_McpDiag.HwGtDrvGrp.COMERR_PhsWL.FstRtryEnbl = 1
No De-Maturation (=NA)</t>
  </si>
  <si>
    <t>347 - HwGtDrvGrp.CONFCRC_PhsUH
Gate Driver Configuration Error</t>
  </si>
  <si>
    <t>Fault Flag from Low-level Driver
CONFCRCERR bit that detects changes in the CONFIG registers for domains LV/HV must be active (Incorrect CRC in config registers detected)
RTE bit read (BIT 5)  from
Intrfc.InRaw.GDIC_HS_U_Status2 should be 1
Built In Self Test is part of Shut Off Path Test.
To trigger this fault in application layer below override can be used:
K_McpIntrfc.Ovrrd.In.GDIC_HS_U_Status2.Sgnl =0x0020
K_McpIntrfc.Ovrrd.In.GDIC_HS_U_Status2.SgnlEnbl =1</t>
  </si>
  <si>
    <t>IF  K_McpDiag.HwGtDrvGrp.CONFCRC_PhsUH.FstRtryEnbl = 1
Quick Fail Count is above Quick Fault Set Threshold:
McpDiag.HwGtDrvGrp.CONFCRC_PhsUH.QckFail_Cnt &gt; 
K_McpDiag.HwGtDrvGrp.CONFCRC_PhsUH.QckFltSetThrsh
OR
Overall Fail Count is above Overall Fault Set Threshold:
McpDiag.HwGtDrvGrp.CONFCRC_PhsUH.OvrllFail_Cnt &gt; 
K_McpDiag.HwGtDrvGrp.CONFCRC_PhsUH.OvrllFltSetThrsh
OR
Consecutive Fail Timer is above Fault Set Threshold:
McpDiag.HwGtDrvGrp.CONFCRC_PhsUH.ConsecutTm_Sec &gt; K_McpDiag.HwGtDrvGrp.CONFCRC_PhsUH.ConsecutFltSetThrsh
ELSE  K_McpDiag.HwGtDrvGrp.CONFCRC_PhsUH.FstRtryEnbl = 0
No Mature Time (=NA)</t>
  </si>
  <si>
    <t>K_McpDiag.HwGtDrvGrp.CONFCRC_PhsUH.EnblTyp</t>
  </si>
  <si>
    <t>IF K_McpDiag.HwGtDrvGrp.CONFCRC_PhsUH.FstRtryEnbl = 0
Fault Flag from Low-level Driver
CONFCRCERR bit that detects changes in the CONFIG registers for domains LV/HV must be not active (Incorrect CRC in config registers detected)
RTE bit read (BIT 5)  from
Intrfc.InRaw.GDIC_HS_U_Status2 = 0
ELSE K_McpDiag.HwGtDrvGrp.CONFCRC_PhsUH.FstRtryEnbl = 1
No De-Maturation (=NA)</t>
  </si>
  <si>
    <t>344 - HwGtDrvGrp.CONFCRC_PhsUL
Gate Driver Configuration Error</t>
  </si>
  <si>
    <t>Fault Flag from Low-level Driver
CONFCRCERR bit that detects changes in the CONFIG registers for domains LV/HV must be active (Incorrect CRC in config registers detected)
RTE bit read (BIT 5)  from
Intrfc.InRaw.GDIC_LS_U_Status2 should be 1
Built In Self Test is part of Shut Off Path Test.
To trigger this fault in application layer below override can be used:
K_McpIntrfc.Ovrrd.In.GDIC_LS_U_Status2.Sgnl =0x0020
K_McpIntrfc.Ovrrd.In.GDIC_LS_U_Status2.SgnlEnbl =1</t>
  </si>
  <si>
    <t>IF  K_McpDiag.HwGtDrvGrp.CONFCRC_PhsUL.FstRtryEnbl = 1
Quick Fail Count is above Quick Fault Set Threshold:
McpDiag.HwGtDrvGrp.CONFCRC_PhsUL.QckFail_Cnt &gt; 
K_McpDiag.HwGtDrvGrp.CONFCRC_PhsUL.QckFltSetThrsh
OR
Overall Fail Count is above Overall Fault Set Threshold:
McpDiag.HwGtDrvGrp.CONFCRC_PhsUL.OvrllFail_Cnt &gt; 
K_McpDiag.HwGtDrvGrp.CONFCRC_PhsUL.OvrllFltSetThrsh
OR
Consecutive Fail Timer is above Fault Set Threshold:
McpDiag.HwGtDrvGrp.CONFCRC_PhsUL.ConsecutTm_Sec &gt; K_McpDiag.HwGtDrvGrp.CONFCRC_PhsUL.ConsecutFltSetThrsh
ELSE  K_McpDiag.HwGtDrvGrp.CONFCRC_PhsUL.FstRtryEnbl = 0
No Mature Time (=NA)</t>
  </si>
  <si>
    <t>K_McpDiag.HwGtDrvGrp.CONFCRC_PhsUL.EnblTyp</t>
  </si>
  <si>
    <t>IF K_McpDiag.HwGtDrvGrp.CONFCRC_PhsUL.FstRtryEnbl = 0
Fault Flag from Low-level Driver
CONFCRCERR bit that detects changes in the CONFIG registers for domains LV/HV must be not active (Incorrect CRC in config registers detected)
RTE bit read (BIT 5)  from
Intrfc.InRaw.GDIC_LS_U_Status2 = 0
ELSE K_McpDiag.HwGtDrvGrp.CONFCRC_PhsUL.FstRtryEnbl = 1
No De-Maturation (=NA)</t>
  </si>
  <si>
    <t>348 - HwGtDrvGrp.CONFCRC_PhsVH
Gate Driver Configuration Error</t>
  </si>
  <si>
    <t>Fault Flag from Low-level Driver
CONFCRCERR bit that detects changes in the CONFIG registers for domains LV/HV must be active (Incorrect CRC in config registers detected)
RTE bit read (BIT 5)  from
Intrfc.InRaw.GDIC_HS_V_Status2 should be 1
Built In Self Test is part of Shut Off Path Test.
To trigger this fault in application layer below override can be used:
K_McpIntrfc.Ovrrd.In.GDIC_HS_V_Status2.Sgnl =0x0020
K_McpIntrfc.Ovrrd.In.GDIC_HS_V_Status2.SgnlEnbl =1</t>
  </si>
  <si>
    <t>IF  K_McpDiag.HwGtDrvGrp.CONFCRC_PhsVH.FstRtryEnbl = 1
Quick Fail Count is above Quick Fault Set Threshold:
McpDiag.HwGtDrvGrp.CONFCRC_PhsVH.QckFail_Cnt &gt; 
K_McpDiag.HwGtDrvGrp.CONFCRC_PhsVH.QckFltSetThrsh
OR
Overall Fail Count is above Overall Fault Set Threshold:
McpDiag.HwGtDrvGrp.CONFCRC_PhsVH.OvrllFail_Cnt &gt; 
K_McpDiag.HwGtDrvGrp.CONFCRC_PhsVH.OvrllFltSetThrsh
OR
Consecutive Fail Timer is above Fault Set Threshold:
McpDiag.HwGtDrvGrp.CONFCRC_PhsVH.ConsecutTm_Sec &gt; K_McpDiag.HwGtDrvGrp.CONFCRC_PhsVH.ConsecutFltSetThrsh
ELSE  K_McpDiag.HwGtDrvGrp.CONFCRC_PhsVH.FstRtryEnbl = 0
No Mature Time (=NA)</t>
  </si>
  <si>
    <t>K_McpDiag.HwGtDrvGrp.CONFCRC_PhsVH.EnblTyp</t>
  </si>
  <si>
    <t>IF K_McpDiag.HwGtDrvGrp.CONFCRC_PhsVH.FstRtryEnbl = 0
Fault Flag from Low-level Driver
CONFCRCERR bit that detects changes in the CONFIG registers for domains LV/HV must be not active (Incorrect CRC in config registers detected)
RTE bit read (BIT 5)  from
Intrfc.InRaw.GDIC_HS_V_Status2 = 0
ELSE K_McpDiag.HwGtDrvGrp.CONFCRC_PhsVH.FstRtryEnbl = 1
No De-Maturation (=NA)</t>
  </si>
  <si>
    <t>345 - HwGtDrvGrp.CONFCRC_PhsVL
Gate Driver Configuration Error</t>
  </si>
  <si>
    <t>Fault Flag from Low-level Driver
CONFCRCERR bit that detects changes in the CONFIG registers for domains LV/HV must be active (Incorrect CRC in config registers detected)
RTE bit read (BIT 5)  from
Intrfc.InRaw.GDIC_LS_V_Status2 should be 1
Built In Self Test is part of Shut Off Path Test.
To trigger this fault in application layer below override can be used:
K_McpIntrfc.Ovrrd.In.GDIC_LS_V_Status2.Sgnl =0x0020
K_McpIntrfc.Ovrrd.In.GDIC_LS_V_Status2.SgnlEnbl =1</t>
  </si>
  <si>
    <t>IF  K_McpDiag.HwGtDrvGrp.CONFCRC_PhsVL.FstRtryEnbl = 1
Quick Fail Count is above Quick Fault Set Threshold:
McpDiag.HwGtDrvGrp.CONFCRC_PhsVL.QckFail_Cnt &gt; 
K_McpDiag.HwGtDrvGrp.CONFCRC_PhsVL.QckFltSetThrsh
OR
Overall Fail Count is above Overall Fault Set Threshold:
McpDiag.HwGtDrvGrp.CONFCRC_PhsVL.OvrllFail_Cnt &gt; 
K_McpDiag.HwGtDrvGrp.CONFCRC_PhsVL.OvrllFltSetThrsh
OR
Consecutive Fail Timer is above Fault Set Threshold:
McpDiag.HwGtDrvGrp.CONFCRC_PhsVL.ConsecutTm_Sec &gt; K_McpDiag.HwGtDrvGrp.CONFCRC_PhsVL.ConsecutFltSetThrsh
ELSE  K_McpDiag.HwGtDrvGrp.CONFCRC_PhsVL.FstRtryEnbl = 0
No Mature Time (=NA)</t>
  </si>
  <si>
    <t>K_McpDiag.HwGtDrvGrp.CONFCRC_PhsVL.EnblTyp</t>
  </si>
  <si>
    <t>IF K_McpDiag.HwGtDrvGrp.CONFCRC_PhsVL.FstRtryEnbl = 0
Fault Flag from Low-level Driver
CONFCRCERR bit that detects changes in the CONFIG registers for domains LV/HV must be not active (Incorrect CRC in config registers detected)
RTE bit read (BIT 5)  from
Intrfc.InRaw.GDIC_LS_V_Status2 = 0
ELSE K_McpDiag.HwGtDrvGrp.CONFCRC_PhsVL.FstRtryEnbl = 1
No De-Maturation (=NA)</t>
  </si>
  <si>
    <t>349 - HwGtDrvGrp.CONFCRC_PhsWH
Gate Driver Configuration Error</t>
  </si>
  <si>
    <t>Fault Flag from Low-level Driver
CONFCRCERR bit that detects changes in the CONFIG registers for domains LV/HV must be active (Incorrect CRC in config registers detected)
RTE bit read (BIT 5)  from
Intrfc.InRaw.GDIC_HS_W_Status2 should be 1
Built In Self Test is part of Shut Off Path Test.
To trigger this fault in application layer below override can be used:
K_McpIntrfc.Ovrrd.In.GDIC_HS_W_Status2.Sgnl =0x0020
K_McpIntrfc.Ovrrd.In.GDIC_HS_W_Status2.SgnlEnbl =1</t>
  </si>
  <si>
    <t>IF  K_McpDiag.HwGtDrvGrp.CONFCRC_PhsWH.FstRtryEnbl = 1
Quick Fail Count is above Quick Fault Set Threshold:
McpDiag.HwGtDrvGrp.CONFCRC_PhsWH.QckFail_Cnt &gt; 
K_McpDiag.HwGtDrvGrp.CONFCRC_PhsWH.QckFltSetThrsh
OR
Overall Fail Count is above Overall Fault Set Threshold:
McpDiag.HwGtDrvGrp.CONFCRC_PhsWH.OvrllFail_Cnt &gt; 
K_McpDiag.HwGtDrvGrp.CONFCRC_PhsWH.OvrllFltSetThrsh
OR
Consecutive Fail Timer is above Fault Set Threshold:
McpDiag.HwGtDrvGrp.CONFCRC_PhsWH.ConsecutTm_Sec &gt; K_McpDiag.HwGtDrvGrp.CONFCRC_PhsWH.ConsecutFltSetThrsh
ELSE  K_McpDiag.HwGtDrvGrp.CONFCRC_PhsWH.FstRtryEnbl = 0
No Mature Time (=NA)</t>
  </si>
  <si>
    <t>K_McpDiag.HwGtDrvGrp.CONFCRC_PhsWH.EnblTyp</t>
  </si>
  <si>
    <t>IF K_McpDiag.HwGtDrvGrp.CONFCRC_PhsWH.FstRtryEnbl = 0
Fault Flag from Low-level Driver
CONFCRCERR bit that detects changes in the CONFIG registers for domains LV/HV must be not active (Incorrect CRC in config registers detected)
RTE bit read (BIT 5)  from
Intrfc.InRaw.GDIC_HS_W_Status2 = 0
ELSE K_McpDiag.HwGtDrvGrp.CONFCRC_PhsWH.FstRtryEnbl = 1
No De-Maturation (=NA)</t>
  </si>
  <si>
    <t>346 - HwGtDrvGrp.CONFCRC_PhsWL
Gate Driver Configuration Error</t>
  </si>
  <si>
    <t>Fault Flag from Low-level Driver
CONFCRCERR bit that detects changes in the CONFIG registers for domains LV/HV must be active (Incorrect CRC in config registers detected)
RTE bit read (BIT 5)  from
Intrfc.InRaw.GDIC_LS_W_Status2 should be 1
Built In Self Test is part of Shut Off Path Test.
To trigger this fault in application layer below override can be used:
K_McpIntrfc.Ovrrd.In.GDIC_LS_W_Status2.Sgnl =0x0020
K_McpIntrfc.Ovrrd.In.GDIC_LS_W_Status2.SgnlEnbl =1</t>
  </si>
  <si>
    <t>IF  K_McpDiag.HwGtDrvGrp.CONFCRC_PhsWL.FstRtryEnbl = 1
Quick Fail Count is above Quick Fault Set Threshold:
McpDiag.HwGtDrvGrp.CONFCRC_PhsWL.QckFail_Cnt &gt; 
K_McpDiag.HwGtDrvGrp.CONFCRC_PhsWL.QckFltSetThrsh
OR
Overall Fail Count is above Overall Fault Set Threshold:
McpDiag.HwGtDrvGrp.CONFCRC_PhsWL.OvrllFail_Cnt &gt; 
K_McpDiag.HwGtDrvGrp.CONFCRC_PhsWL.OvrllFltSetThrsh
OR
Consecutive Fail Timer is above Fault Set Threshold:
McpDiag.HwGtDrvGrp.CONFCRC_PhsWL.ConsecutTm_Sec &gt; K_McpDiag.HwGtDrvGrp.CONFCRC_PhsWL.ConsecutFltSetThrsh
ELSE  K_McpDiag.HwGtDrvGrp.CONFCRC_PhsWL.FstRtryEnbl = 0
No Mature Time (=NA)</t>
  </si>
  <si>
    <t>K_McpDiag.HwGtDrvGrp.CONFCRC_PhsWL.EnblTyp</t>
  </si>
  <si>
    <t>IF K_McpDiag.HwGtDrvGrp.CONFCRC_PhsWL.FstRtryEnbl = 0
Fault Flag from Low-level Driver
CONFCRCERR bit that detects changes in the CONFIG registers for domains LV/HV must be not active (Incorrect CRC in config registers detected)
RTE bit read (BIT 5)  from
Intrfc.InRaw.GDIC_LS_W_Status2 = 0
ELSE K_McpDiag.HwGtDrvGrp.CONFCRC_PhsWL.FstRtryEnbl = 1
No De-Maturation (=NA)</t>
  </si>
  <si>
    <t>787 - HwGtDrvGrp.ConfigTmOut
Gate Driver Dead Time Violation</t>
  </si>
  <si>
    <t xml:space="preserve">5V Bottom Signal is between Upper and Lower Threshold:
K_McpDiag.CalAddnl.Ok_5V_GDIC_BOT_AI_OvrThrsh &gt; Intrfc.Hw.InRaw.Sply5vGDICBotSgnl &gt; K_McpDiag.CalAddnl.Ok_5V_GDIC_BOT_AI_UndrThrsh 
AND
23V Supply Signal is between Upper and Lower Threshold:
K_McpDiag.CalAddnl.OK_24V_OvrThrsh &gt; Intrfc.Hw.InRaw.Sply23vSgnl&gt; K_McpDiag.CalAddnl.OK_24V_UndrThrsh
AND 
Gate Driver Parameters Download is Completed:
IntrfcT1.In.GateDrvParamDwnldCmplt </t>
  </si>
  <si>
    <t xml:space="preserve">Fault Flag from Low-level Driver
Gate Driver Dead Time Violation
SlowCDD.FaultStatus = 0
this flag bgets true if there is a death time violation on GDIC </t>
  </si>
  <si>
    <t>K_McpDiag.HwGtDrvGrp.ConfigTmOut.EnblTyp</t>
  </si>
  <si>
    <t>Slow CDD Fault Status must be false:
SlowCDD.FaultStatus = 0</t>
  </si>
  <si>
    <t>389 - HwGtDrvGrp.DESAT_PhsUH
IGBT Desaturation</t>
  </si>
  <si>
    <t>Fault Flag from Low-level Driver
DESAT bit that detects VCE desaturation must be over 5.5V to be active
RTE bit read (BIT 2)  from
Intrfc.InRaw.GDIC_LS_U_Status1 should be 1
Built In Self Test is part of Shut Off Path Test.
To trigger this fault in application layer below override can be used:
K_McpIntrfc.Ovrrd.In.GDIC_LS_U_Status1.Sgnl =0x0004
K_McpIntrfc.Ovrrd.In.GDIC_LS_U_Status1.SgnlEnbl =1</t>
  </si>
  <si>
    <t>IF  K_McpDiag.HwGtDrvGrp.DESAT_PhsUH.FstRtryEnbl = 1
Quick Fail Count is above Quick Fault Set Threshold:
McpDiag.HwGtDrvGrp.DESAT_PhsUH.QckFail_Cnt &gt; 
K_McpDiag.HwGtDrvGrp.DESAT_PhsUH.QckFltSetThrsh
OR
Overall Fail Count is above Overall Fault Set Threshold:
McpDiag.HwGtDrvGrp.DESAT_PhsUH.OvrllFail_Cnt &gt; 
K_McpDiag.HwGtDrvGrp.DESAT_PhsUH.OvrllFltSetThrsh
OR
Consecutive Fail Timer is above Fault Set Threshold:
McpDiag.HwGtDrvGrp.DESAT_PhsUH.ConsecutTm_Sec &gt; K_McpDiag.HwGtDrvGrp.DESAT_PhsUH.ConsecutFltSetThrsh
ELSE  K_McpDiag.HwGtDrvGrp.DESAT_PhsUH.FstRtryEnbl = 0
No Mature Time (=NA)</t>
  </si>
  <si>
    <t>K_McpDiag.HwGtDrvGrp.DESAT_PhsUH.EnblTyp</t>
  </si>
  <si>
    <t>IF K_McpDiag.HwGtDrvGrp.DESAT_PhsUH.FstRtryEnbl = 0
Fault Flag from Low-level Driver
DESAT bit that detects VCE desaturation must be below 5.5V to be  not active
RTE bit read (BIT 2)  from
Intrfc.InRaw.GDIC_HS_U_Status1 = 0
ELSE K_McpDiag.HwGtDrvGrp.DESAT_PhsUH.FstRtryEnbl = 1
No De-Maturation (=NA)</t>
  </si>
  <si>
    <t>386 - HwGtDrvGrp.DESAT_PhsUL
IGBT Desaturation</t>
  </si>
  <si>
    <t>Fault Flag from Low-level Driver
DESAT bit that detects VCE desaturation must be over 5.5V to be active
RTE bit read (BIT 2)  from
Intrfc.InRaw.GDIC_HS_V_Status1 should be 1
Built In Self Test is part of Shut Off Path Test.
To trigger this fault in application layer below override can be used:
K_McpIntrfc.Ovrrd.In.GDIC_HS_V_Status1.Sgnl =0x0004
K_McpIntrfc.Ovrrd.In.GDIC_HS_V_Status1.SgnlEnbl =1</t>
  </si>
  <si>
    <t>IF  K_McpDiag.HwGtDrvGrp.DESAT_PhsUL.FstRtryEnbl = 1
Quick Fail Count is above Quick Fault Set Threshold:
McpDiag.HwGtDrvGrp.DESAT_PhsUL.QckFail_Cnt &gt; 
K_McpDiag.HwGtDrvGrp.DESAT_PhsUL.QckFltSetThrsh
OR
Overall Fail Count is above Overall Fault Set Threshold:
McpDiag.HwGtDrvGrp.DESAT_PhsUL.OvrllFail_Cnt &gt; 
K_McpDiag.HwGtDrvGrp.DESAT_PhsUL.OvrllFltSetThrsh
OR
Consecutive Fail Timer is above Fault Set Threshold:
McpDiag.HwGtDrvGrp.DESAT_PhsUL.ConsecutTm_Sec &gt; K_McpDiag.HwGtDrvGrp.DESAT_PhsUL.ConsecutFltSetThrsh
ELSE  K_McpDiag.HwGtDrvGrp.DESAT_PhsUL.FstRtryEnbl = 0
No Mature Time (=NA)</t>
  </si>
  <si>
    <t>K_McpDiag.HwGtDrvGrp.DESAT_PhsUL.EnblTyp</t>
  </si>
  <si>
    <t>IF K_McpDiag.HwGtDrvGrp.DESAT_PhsUL.FstRtryEnbl = 0
Fault Flag from Low-level Driver
DESAT bit that detects VCE desaturation must be below 5.5V to be  not active
RTE bit read (BIT 2)  from
Intrfc.InRaw.GDIC_LS_U_Status1 = 0
ELSE K_McpDiag.HwGtDrvGrp.DESAT_PhsUL.FstRtryEnbl = 1
No De-Maturation (=NA)</t>
  </si>
  <si>
    <t>390 - HwGtDrvGrp.DESAT_PhsVH
IGBT Desaturation</t>
  </si>
  <si>
    <t>Fault Flag from Low-level Driver
DESAT bit that detects VCE desaturation must be over 5.5V to be active
RTE bit read (BIT 2)  from
Intrfc.InRaw.GDIC_LS_V_Status1 should be 1
Built In Self Test is part of Shut Off Path Test.
To trigger this fault in application layer below override can be used:
K_McpIntrfc.Ovrrd.In.GDIC_LS_V_Status1.Sgnl =0x0004
K_McpIntrfc.Ovrrd.In.GDIC_LS_V_Status1.SgnlEnbl =1</t>
  </si>
  <si>
    <t>IF  K_McpDiag.HwGtDrvGrp.DESAT_PhsVH.FstRtryEnbl = 1
Quick Fail Count is above Quick Fault Set Threshold:
McpDiag.HwGtDrvGrp.DESAT_PhsVH.QckFail_Cnt &gt; 
K_McpDiag.HwGtDrvGrp.DESAT_PhsVH.QckFltSetThrsh
OR
Overall Fail Count is above Overall Fault Set Threshold:
McpDiag.HwGtDrvGrp.DESAT_PhsVH.OvrllFail_Cnt &gt; 
K_McpDiag.HwGtDrvGrp.DESAT_PhsVH.OvrllFltSetThrsh
OR
Consecutive Fail Timer is above Fault Set Threshold:
McpDiag.HwGtDrvGrp.DESAT_PhsVH.ConsecutTm_Sec &gt; K_McpDiag.HwGtDrvGrp.DESAT_PhsVH.ConsecutFltSetThrsh
ELSE  K_McpDiag.HwGtDrvGrp.DESAT_PhsVH.FstRtryEnbl = 0
No Mature Time (=NA)</t>
  </si>
  <si>
    <t>K_McpDiag.HwGtDrvGrp.DESAT_PhsVH.EnblTyp</t>
  </si>
  <si>
    <t>IF K_McpDiag.HwGtDrvGrp.DESAT_PhsVH.FstRtryEnbl = 0
Fault Flag from Low-level Driver
DESAT bit that detects VCE desaturation must be below 5.5V to be  not active
RTE bit read (BIT 2)  from
Intrfc.InRaw.GDIC_HS_V_Status1 = 0
ELSE K_McpDiag.HwGtDrvGrp.DESAT_PhsVH.FstRtryEnbl = 1
No De-Maturation (=NA)</t>
  </si>
  <si>
    <t>387 - HwGtDrvGrp.DESAT_PhsVL
IGBT Desaturation</t>
  </si>
  <si>
    <t>Fault Flag from Low-level Driver
DESAT bit that detects VCE desaturation must be over 5.5V to be active
RTE bit read (BIT 2)  from
Intrfc.InRaw.GDIC_HS_W_Status1 should be 1
Built In Self Test is part of Shut Off Path Test.
To trigger this fault in application layer below override can be used:
K_McpIntrfc.Ovrrd.In.GDIC_HS_W_Status1.Sgnl =0x0004
K_McpIntrfc.Ovrrd.In.GDIC_HS_W_Status1.SgnlEnbl =1</t>
  </si>
  <si>
    <t>IF  K_McpDiag.HwGtDrvGrp.DESAT_PhsVL.FstRtryEnbl = 1
Quick Fail Count is above Quick Fault Set Threshold:
McpDiag.HwGtDrvGrp.DESAT_PhsVL.QckFail_Cnt &gt; 
K_McpDiag.HwGtDrvGrp.DESAT_PhsVL.QckFltSetThrsh
OR
Overall Fail Count is above Overall Fault Set Threshold:
McpDiag.HwGtDrvGrp.DESAT_PhsVL.OvrllFail_Cnt &gt; 
K_McpDiag.HwGtDrvGrp.DESAT_PhsVL.OvrllFltSetThrsh
OR
Consecutive Fail Timer is above Fault Set Threshold:
McpDiag.HwGtDrvGrp.DESAT_PhsVL.ConsecutTm_Sec &gt; K_McpDiag.HwGtDrvGrp.DESAT_PhsVL.ConsecutFltSetThrsh
ELSE  K_McpDiag.HwGtDrvGrp.DESAT_PhsVL.FstRtryEnbl = 0
No Mature Time (=NA)</t>
  </si>
  <si>
    <t>K_McpDiag.HwGtDrvGrp.DESAT_PhsVL.EnblTyp</t>
  </si>
  <si>
    <t>IF K_McpDiag.HwGtDrvGrp.DESAT_PhsVL.FstRtryEnbl = 0
Fault Flag from Low-level Driver
DESAT bit that detects VCE desaturation must be below 5.5V to be  not active
RTE bit read (BIT 2)  from
Intrfc.InRaw.GDIC_LS_V_Status1 = 0
ELSE K_McpDiag.HwGtDrvGrp.DESAT_PhsVL.FstRtryEnbl = 1
No De-Maturation (=NA)</t>
  </si>
  <si>
    <t>391 - HwGtDrvGrp.DESAT_PhsWH
IGBT Desaturation</t>
  </si>
  <si>
    <t>Fault Flag from Low-level Driver
DESAT bit that detects VCE desaturation must be over 5.5V to be active
RTE bit read (BIT 2)  from
Intrfc.InRaw.GDIC_LS_W_Status1 should be 1
Built In Self Test is part of Shut Off Path Test.
To trigger this fault in application layer below override can be used:
K_McpIntrfc.Ovrrd.In.GDIC_LS_W_Status1.Sgnl =0x0004
K_McpIntrfc.Ovrrd.In.GDIC_LS_W_Status1.SgnlEnbl =1</t>
  </si>
  <si>
    <t>IF  K_McpDiag.HwGtDrvGrp.DESAT_PhsWH.FstRtryEnbl = 1
Quick Fail Count is above Quick Fault Set Threshold:
McpDiag.HwGtDrvGrp.DESAT_PhsWH.QckFail_Cnt &gt; 
K_McpDiag.HwGtDrvGrp.DESAT_PhsWH.QckFltSetThrsh
OR
Overall Fail Count is above Overall Fault Set Threshold:
McpDiag.HwGtDrvGrp.DESAT_PhsWH.OvrllFail_Cnt &gt; 
K_McpDiag.HwGtDrvGrp.DESAT_PhsWH.OvrllFltSetThrsh
OR
Consecutive Fail Timer is above Fault Set Threshold:
McpDiag.HwGtDrvGrp.DESAT_PhsWH.ConsecutTm_Sec &gt; K_McpDiag.HwGtDrvGrp.DESAT_PhsWH.ConsecutFltSetThrsh
ELSE  K_McpDiag.HwGtDrvGrp.DESAT_PhsWH.FstRtryEnbl = 0
No Mature Time (=NA)</t>
  </si>
  <si>
    <t>K_McpDiag.HwGtDrvGrp.DESAT_PhsWH.EnblTyp</t>
  </si>
  <si>
    <t>IF K_McpDiag.HwGtDrvGrp.DESAT_PhsWH.FstRtryEnbl = 0
Fault Flag from Low-level Driver
DESAT bit that detects VCE desaturation must be below 5.5V to be  not active
RTE bit read (BIT 2)  from
Intrfc.InRaw.GDIC_HS_W_Status1 = 0
ELSE K_McpDiag.HwGtDrvGrp.DESAT_PhsWH.FstRtryEnbl = 1
No De-Maturation (=NA)</t>
  </si>
  <si>
    <t>388 - HwGtDrvGrp.DESAT_PhsWL
IGBT Desaturation</t>
  </si>
  <si>
    <t>Fault Flag from Low-level Driver
DESAT bit that detects VCE desaturation must be over 5.5V to be active
RTE bit read (BIT 2)  from
Intrfc.InRaw.GDIC_LS_W_Status1 = 1</t>
  </si>
  <si>
    <t>IF  K_McpDiag.HwGtDrvGrp.DESAT_PhsWL.FstRtryEnbl = 1
Quick Fail Count is above Quick Fault Set Threshold:
McpDiag.HwGtDrvGrp.DESAT_PhsWL.QckFail_Cnt &gt; 
K_McpDiag.HwGtDrvGrp.DESAT_PhsWL.QckFltSetThrsh
OR
Overall Fail Count is above Overall Fault Set Threshold:
McpDiag.HwGtDrvGrp.DESAT_PhsWL.OvrllFail_Cnt &gt; 
K_McpDiag.HwGtDrvGrp.DESAT_PhsWL.OvrllFltSetThrsh
OR
Consecutive Fail Timer is above Fault Set Threshold:
McpDiag.HwGtDrvGrp.DESAT_PhsWL.ConsecutTm_Sec &gt; K_McpDiag.HwGtDrvGrp.DESAT_PhsWL.ConsecutFltSetThrsh
ELSE  K_McpDiag.HwGtDrvGrp.DESAT_PhsWL.FstRtryEnbl = 0
No Mature Time (=NA)</t>
  </si>
  <si>
    <t>K_McpDiag.HwGtDrvGrp.DESAT_PhsWL.EnblTyp</t>
  </si>
  <si>
    <t>IF K_McpDiag.HwGtDrvGrp.DESAT_PhsWL.FstRtryEnbl = 0
Fault Flag from Low-level Driver
DESAT bit that detects VCE desaturation must be below 5.5V to be  not active
RTE bit read (BIT 2)  from
Intrfc.InRaw.GDIC_LS_W_Status1 = 0
ELSE K_McpDiag.HwGtDrvGrp.DESAT_PhsWL.FstRtryEnbl = 1
No De-Maturation (=NA)</t>
  </si>
  <si>
    <t>556 - HwGtDrvGrp.DSAT_BOT_FLT_FB_HW
GDIC VCE overvoltage is detected</t>
  </si>
  <si>
    <t>Fault Flag from Low-level Driver
RTE bit read (BIT 10)  from
IntrfcT1.In.Inv_Status_1 should be 1
Built In Self Test is part of Shut Off Path Test.
To trigger this fault in application layer below override can be used:
K_McpIntrfc.Ovrrd.In.Inv_Status_1.Sgnl =0x00000400
K_McpIntrfc.Ovrrd.In.Inv_Status_1.SgnlEnbl =1
(M_DSAT_BOT_DIG_IN)
Bit that detects power device desaturation
VCE desaturation event . DESAT threshold 5.5V</t>
  </si>
  <si>
    <t>IF  K_McpDiag.HwGtDrvGrp.DSAT_BOT_FLT_FB_HW.FstRtryEnbl = 1
Quick Fail Count is above Quick Fault Set Threshold:
McpDiag.HwGtDrvGrp.DSAT_BOT_FLT_FB_HW.QckFail_Cnt &gt; 
K_McpDiag.HwGtDrvGrp.DSAT_BOT_FLT_FB_HW.QckFltSetThrsh
OR
Overall Fail Count is above Overall Fault Set Threshold:
McpDiag.HwGtDrvGrp.DSAT_BOT_FLT_FB_HW.OvrllFail_Cnt &gt; 
K_McpDiag.HwGtDrvGrp.DSAT_BOT_FLT_FB_HW.OvrllFltSetThrsh
OR
Consecutive Fail Timer is above Fault Set Threshold:
McpDiag.HwGtDrvGrp.DSAT_BOT_FLT_FB_HW.ConsecutTm_Sec &gt; K_McpDiag.HwGtDrvGrp.DSAT_BOT_FLT_FB_HW.ConsecutFltSetThrsh
ELSE  K_McpDiag.HwGtDrvGrp.DSAT_BOT_FLT_FB_HW.FstRtryEnbl = 0
No Mature Time (=NA)</t>
  </si>
  <si>
    <t>K_McpDiag.HwGtDrvGrp.DSAT_BOT_FLT_FB_HW.EnblTyp</t>
  </si>
  <si>
    <t>IF K_McpDiag.HwGtDrvGrp.DSAT_BOT_FLT_FB_HW.FstRtryEnbl = 0
Fault Flag from Low-level Driver
RTE bit read (BIT 10)  from
IntrfcT1.In.Inv_Status_1 = 0
ELSE K_McpDiag.HwGtDrvGrp.DSAT_BOT_FLT_FB_HW.FstRtryEnbl = 1
No De-Maturation (=NA)</t>
  </si>
  <si>
    <t>554 - HwGtDrvGrp.DSAT_TOP_FLT_FB_HW
GDIC VCE overvoltage is detected</t>
  </si>
  <si>
    <t xml:space="preserve">5V Supply GDIC Top Signal is between Upper and Lower Threshold:
K_McpDiag.CalAddnl.Ok_5V_GDIC_TOP_AI_OvrThrsh &gt; Intrfc.Hw.InRaw.Sply5vGDICTopSgnl &gt; K_McpDiag.CalAddnl.Ok_5V_GDIC_TOP_AI_UndrThrsh 
AND
23V Supply Signal is between Upper and Lower Threshold:
(McpDiag.CalAddnl.OK_24V_OvrThrsh &gt; Intrfc.Hw.InRaw.Sply23vSgnl&gt; McpDiag.CalAddnl.OK_24V_UndrThrsh </t>
  </si>
  <si>
    <t>Fault Flag from Low-level Driver
RTE bit read (BIT 8)  from
IntrfcT1.In.Inv_Status_1 should be 1
Built In Self Test is part of Shut Off Path Test.
To trigger this fault in application layer below override can be used:
K_McpIntrfc.Ovrrd.In.Inv_Status_1.Sgnl =0x00000100
K_McpIntrfc.Ovrrd.In.Inv_Status_1.SgnlEnbl =1
(M_DSAT_TOP_DIG_IN = 1)
Bit that detects power device desaturation
VCE desaturation event . DESAT threshold 5.5V</t>
  </si>
  <si>
    <t>IF K_McpDiag.HwGtDrvGrp.DSAT_TOP_FLT_FB_HW.FstRtryEnbl = 1
Quick Fail Count is above Quick Fault Set Threshold:
McpDiag.HwGtDrvGrp.DSAT_TOP_FLT_FB_HW.QckFail_Cnt &gt; 
K_McpDiag.HwGtDrvGrp.DSAT_TOP_FLT_FB_HW.QckFltSetThrsh
OR
Overall Fail Count is above Overall Fault Set Threshold:
McpDiag.HwGtDrvGrp.DSAT_TOP_FLT_FB_HW.OvrllFail_Cnt &gt; 
K_McpDiag.HwGtDrvGrp.DSAT_TOP_FLT_FB_HW.OvrllFltSetThrsh
OR
Consecutive Fail Timer is above Fault Set Threshold:
McpDiag.HwGtDrvGrp.DSAT_TOP_FLT_FB_HW.ConsecutTm_Sec &gt; K_McpDiag.HwGtDrvGrp.DSAT_TOP_FLT_FB_HW.ConsecutFltSetThrsh
ELSE  K_McpDiag.HwGtDrvGrp.DSAT_TOP_FLT_FB_HW.FstRtryEnbl = 0
No Mature Time (=NA)</t>
  </si>
  <si>
    <t>K_McpDiag.HwGtDrvGrp.DSAT_TOP_FLT_FB_HW.EnblTyp</t>
  </si>
  <si>
    <t>IF K_McpDiag.HwGtDrvGrp.DSAT_TOP_FLT_FB_HW.FstRtryEnbl = 0
Fault Flag from Low-level Driver
RTE bit read (BIT 8)  from
IntrfcT1.In.Inv_Status_1 = 0
ELSE K_McpDiag.HwGtDrvGrp.DSAT_TOP_FLT_FB_HW.FstRtryEnbl = 1
No De-Maturation (=NA)</t>
  </si>
  <si>
    <t>359 - HwGtDrvGrp.DT_PhsUH
Gate Driver Dead Time Violation</t>
  </si>
  <si>
    <t>Fault Flag from Low-level Driver
DTFLT bit that verifies the PWM deadtime violation must be active (incorrect PWM deadtime)
RTE bit read (BIT 7)  from
Intrfc.InRaw.GDIC_HS_U_Status2 should be 1
Built In Self Test is part of Shut Off Path Test.
To trigger this fault in application layer below override can be used:
K_McpIntrfc.Ovrrd.In.GDIC_HS_U_Status2.Sgnl =0x0080
K_McpIntrfc.Ovrrd.In.GDIC_HS_U_Status2.SgnlEnbl =1</t>
  </si>
  <si>
    <t>IF  K_McpDiag.HwGtDrvGrp.DT_PhsUH.FstRtryEnbl = 1
Quick Fail Count is above Quick Fault Set Threshold:
McpDiag.HwGtDrvGrp.DT_PhsUH.QckFail_Cnt &gt; 
K_McpDiag.HwGtDrvGrp.DT_PhsUH.QckFltSetThrsh
OR
Overall Fail Count is above Overall Fault Set Threshold:
McpDiag.HwGtDrvGrp.DT_PhsUH.OvrllFail_Cnt &gt; 
K_McpDiag.HwGtDrvGrp.DT_PhsUH.OvrllFltSetThrsh
OR
Consecutive Fail Timer is above Fault Set Threshold:
McpDiag.HwGtDrvGrp.DT_PhsUH.ConsecutTm_Sec &gt; K_McpDiag.HwGtDrvGrp.DT_PhsUH.ConsecutFltSetThrsh
ELSE  K_McpDiag.HwGtDrvGrp.DT_PhsUH.FstRtryEnbl = 0
No Mature Time (=NA)</t>
  </si>
  <si>
    <t>K_McpDiag.HwGtDrvGrp.DT_PhsUH.EnblTyp</t>
  </si>
  <si>
    <t>IF K_McpDiag.HwGtDrvGrp.DT_PhsUH.FstRtryEnbl = 0
Fault Flag from Low-level Driver
DTFLT bit that verifies the PWM deadtime violation must be not active (incorrect PWM deadtime)
RTE bit read (BIT 7)  from
Intrfc.InRaw.GDIC_HS_U_Status2 = 0
ELSE K_McpDiag.HwGtDrvGrp.DT_PhsUH.FstRtryEnbl = 1
No De-Maturation (=NA)</t>
  </si>
  <si>
    <t>356 - HwGtDrvGrp.DT_PhsUL
Gate Driver Dead Time Violation</t>
  </si>
  <si>
    <t>Fault Flag from Low-level Driver
DTFLT bit that verifies the PWM deadtime violation must be active (incorrect PWM deadtime)
RTE bit read (BIT 7)  from
Intrfc.InRaw.GDIC_LS_U_Status2 should be 1
Built In Self Test is part of Shut Off Path Test.
To trigger this fault in application layer below override can be used:
K_McpIntrfc.Ovrrd.In.GDIC_LS_U_Status2.Sgnl =0x0080
K_McpIntrfc.Ovrrd.In.GDIC_LS_U_Status2.SgnlEnbl =1</t>
  </si>
  <si>
    <t>IF K_McpDiag.HwGtDrvGrp.DT_PhsUL.FstRtryEnbl = 1
Quick Fail Count is above Quick Fault Set Threshold:
McpDiag.HwGtDrvGrp.DT_PhsUL.QckFail_Cnt &gt; 
K_McpDiag.HwGtDrvGrp.DT_PhsUL.QckFltSetThrsh
OR
Overall Fail Count is above Overall Fault Set Threshold:
McpDiag.HwGtDrvGrp.DT_PhsUL.OvrllFail_Cnt &gt; 
K_McpDiag.HwGtDrvGrp.DT_PhsUL.OvrllFltSetThrsh
OR
Consecutive Fail Timer is above Fault Set Threshold:
McpDiag.HwGtDrvGrp.DT_PhsUL.ConsecutTm_Sec &gt; K_McpDiag.HwGtDrvGrp.DT_PhsUL.ConsecutFltSetThrsh
ELSE K_McpDiag.HwGtDrvGrp.DT_PhsUL.FstRtryEnbl = 0
No Mature Time (=NA)</t>
  </si>
  <si>
    <t>K_McpDiag.HwGtDrvGrp.DT_PhsUL.EnblTyp</t>
  </si>
  <si>
    <t>IF K_McpDiag.HwGtDrvGrp.DT_PhsUL.FstRtryEnbl = 0
Fault Flag from Low-level Driver
DTFLT bit that verifies the PWM deadtime violation must be not active (incorrect PWM deadtime)
RTE bit read (BIT 7)  from
Intrfc.InRaw.GDIC_LS_U_Status2 = 0
ELSE K_McpDiag.HwGtDrvGrp.DT_PhsUL.FstRtryEnbl = 1
No De-Maturation (=NA)</t>
  </si>
  <si>
    <t>360 - HwGtDrvGrp.DT_PhsVH
Gate Driver Dead Time Violation</t>
  </si>
  <si>
    <t>Fault Flag from Low-level Driver
DTFLT bit that verifies the PWM deadtime violation must be active (incorrect PWM deadtime)
RTE bit read (BIT 7)  from
Intrfc.InRaw.GDIC_HS_V_Status2 should be 1
Built In Self Test is part of Shut Off Path Test.
To trigger this fault in application layer below override can be used:
K_McpIntrfc.Ovrrd.In.GDIC_HS_V_Status2.Sgnl =0x0080
K_McpIntrfc.Ovrrd.In.GDIC_HS_V_Status2.SgnlEnbl =1</t>
  </si>
  <si>
    <t>IF K_McpDiag.HwGtDrvGrp.DT_PhsVH.FstRtryEnbl = 1
Quick Fail Count is above Quick Fault Set Threshold:
McpDiag.HwGtDrvGrp.DT_PhsVH.QckFail_Cnt &gt; 
K_McpDiag.HwGtDrvGrp.DT_PhsVH.QckFltSetThrsh
OR
Overall Fail Count is above Overall Fault Set Threshold:
McpDiag.HwGtDrvGrp.DT_PhsVH.OvrllFail_Cnt &gt; 
K_McpDiag.HwGtDrvGrp.DT_PhsVH.OvrllFltSetThrsh
OR
Consecutive Fail Timer is above Fault Set Threshold:
McpDiag.HwGtDrvGrp.DT_PhsVH.ConsecutTm_Sec &gt; K_McpDiag.HwGtDrvGrp.DT_PhsVH.ConsecutFltSetThrsh
ELSE K_McpDiag.HwGtDrvGrp.DT_PhsVH.FstRtryEnbl = 0
No Mature Time (=NA)</t>
  </si>
  <si>
    <t>K_McpDiag.HwGtDrvGrp.DT_PhsVH.EnblTyp</t>
  </si>
  <si>
    <t xml:space="preserve">
IF K_McpDiag.HwGtDrvGrp.DT_PhsVH.FstRtryEnbl = 0
Fault Flag from Low-level Driver
DTFLT bit that verifies the PWM deadtime violation must be not active (incorrect PWM deadtime)
RTE bit read (BIT 7)  from
Intrfc.InRaw.GDIC_HS_V_Status2 = 0
ELSE K_McpDiag.HwGtDrvGrp.DT_PhsVH.FstRtryEnbl = 1
No De-Maturation (=NA)</t>
  </si>
  <si>
    <t>357 - HwGtDrvGrp.DT_PhsVL
Gate Driver Dead Time Violation</t>
  </si>
  <si>
    <t>Fault Flag from Low-level Driver
DTFLT bit that verifies the PWM deadtime violation must be active (incorrect PWM deadtime)
RTE bit read (BIT 7)  from
Intrfc.InRaw.GDIC_LS_V_Status2 should be 1
Built In Self Test is part of Shut Off Path Test.
To trigger this fault in application layer below override can be used:
K_McpIntrfc.Ovrrd.In.GDIC_LS_V_Status2.Sgnl =0x0080
K_McpIntrfc.Ovrrd.In.GDIC_LS_V_Status2.SgnlEnbl =1</t>
  </si>
  <si>
    <t>IF K_McpDiag.HwGtDrvGrp.DT_PhsVL.FstRtryEnbl = 1
Quick Fail Count is above Quick Fault Set Threshold:
McpDiag.HwGtDrvGrp.DT_PhsVL.QckFail_Cnt &gt; 
K_McpDiag.HwGtDrvGrp.DT_PhsVL.QckFltSetThrsh
OR
Overall Fail Count is above Overall Fault Set Threshold:
McpDiag.HwGtDrvGrp.DT_PhsVL.OvrllFail_Cnt &gt; 
K_McpDiag.HwGtDrvGrp.DT_PhsVL.OvrllFltSetThrsh
OR
Consecutive Fail Timer is above Fault Set Threshold:
McpDiag.HwGtDrvGrp.DT_PhsVL.ConsecutTm_Sec &gt; K_McpDiag.HwGtDrvGrp.DT_PhsVL.ConsecutFltSetThrsh
ELSE K_McpDiag.HwGtDrvGrp.DT_PhsVL.FstRtryEnbl = 0
No Mature Time (=NA)</t>
  </si>
  <si>
    <t>K_McpDiag.HwGtDrvGrp.DT_PhsVL.EnblTyp</t>
  </si>
  <si>
    <t>IF K_McpDiag.HwGtDrvGrp.DT_PhsVL.FstRtryEnbl = 0
Fault Flag from Low-level Driver
DTFLT bit that verifies the PWM deadtime violation must be not active (incorrect PWM deadtime)
RTE bit read (BIT 7)  from
Intrfc.InRaw.GDIC_LS_V_Status2 = 0
ELSE K_McpDiag.HwGtDrvGrp.DT_PhsVL.FstRtryEnbl = 1
No De-Maturation (=NA)</t>
  </si>
  <si>
    <t>361 - HwGtDrvGrp.DT_PhsWH
Gate Driver Dead Time Violation</t>
  </si>
  <si>
    <t>Fault Flag from Low-level Driver
DTFLT bit that verifies the PWM deadtime violation must be active (incorrect PWM deadtime)
RTE bit read (BIT 7)  from
Intrfc.InRaw.GDIC_HS_W_Status2 should be 1
Built In Self Test is part of Shut Off Path Test.
To trigger this fault in application layer below override can be used:
K_McpIntrfc.Ovrrd.In.GDIC_HS_W_Status2.Sgnl =0x0080
K_McpIntrfc.Ovrrd.In.GDIC_HS_W_Status2.SgnlEnbl =1</t>
  </si>
  <si>
    <t>IF K_McpDiag.HwGtDrvGrp.DT_PhsWH.FstRtryEnbl = 1
Quick Fail Count is above Quick Fault Set Threshold:
McpDiag.HwGtDrvGrp.DT_PhsWH.QckFail_Cnt &gt; 
K_McpDiag.HwGtDrvGrp.DT_PhsWH.QckFltSetThrsh
OR
Overall Fail Count is above Overall Fault Set Threshold:
McpDiag.HwGtDrvGrp.DT_PhsWH.OvrllFail_Cnt &gt; 
K_McpDiag.HwGtDrvGrp.DT_PhsWH.OvrllFltSetThrsh
OR
Consecutive Fail Timer is above Fault Set Threshold:
McpDiag.HwGtDrvGrp.DT_PhsWH.ConsecutTm_Sec &gt; K_McpDiag.HwGtDrvGrp.DT_PhsWH.ConsecutFltSetThrsh
ELSE K_McpDiag.HwGtDrvGrp.DT_PhsWH.FstRtryEnbl = 0
No Mature Time (=NA)</t>
  </si>
  <si>
    <t>K_McpDiag.HwGtDrvGrp.DT_PhsWH.EnblTyp</t>
  </si>
  <si>
    <t>IF K_McpDiag.HwGtDrvGrp.DT_PhsWH.FstRtryEnbl = 0
Fault Flag from Low-level Driver
DTFLT bit that verifies the PWM deadtime violation must be not active (incorrect PWM deadtime)
RTE bit read (BIT 7)  from
Intrfc.InRaw.GDIC_HS_W_Status2 = 0
ELSE K_McpDiag.HwGtDrvGrp.DT_PhsWH.FstRtryEnbl = 1
No De-Maturation (=NA)</t>
  </si>
  <si>
    <t>358 - HwGtDrvGrp.DT_PhsWL
Gate Driver Dead Time Violation</t>
  </si>
  <si>
    <t>Fault Flag from Low-level Driver
DTFLT bit that verifies the PWM deadtime violation must be active (incorrect PWM deadtime)
RTE bit read (BIT 7)  from
Intrfc.InRaw.GDIC_LS_W_Status2 should be 1
Built In Self Test is part of Shut Off Path Test.
To trigger this fault in application layer below override can be used:
K_McpIntrfc.Ovrrd.In.GDIC_LS_W_Status2.Sgnl =0x0080
K_McpIntrfc.Ovrrd.In.GDIC_LS_W_Status2.SgnlEnbl =1</t>
  </si>
  <si>
    <t>IF K_McpDiag.HwGtDrvGrp.DT_PhsWL.FstRtryEnbl = 1
Quick Fail Count is above Quick Fault Set Threshold:
McpDiag.HwGtDrvGrp.DT_PhsWL.QckFail_Cnt &gt; 
K_McpDiag.HwGtDrvGrp.DT_PhsWL.QckFltSetThrsh
OR
Overall Fail Count is above Overall Fault Set Threshold:
McpDiag.HwGtDrvGrp.DT_PhsWL.OvrllFail_Cnt &gt; 
K_McpDiag.HwGtDrvGrp.DT_PhsWL.OvrllFltSetThrsh
OR
Consecutive Fail Timer is above Fault Set Threshold:
McpDiag.HwGtDrvGrp.DT_PhsWLConsecutTm_Sec &gt; K_McpDiag.HwGtDrvGrp.DT_PhsWL.ConsecutFltSetThrsh
ELSE K_McpDiag.HwGtDrvGrp.DT_PhsWL.FstRtryEnbl = 0
No Mature Time (=NA)</t>
  </si>
  <si>
    <t>K_McpDiag.HwGtDrvGrp.DT_PhsWL.EnblTyp</t>
  </si>
  <si>
    <t>IF K_McpDiag.HwGtDrvGrp.DT_PhsWL.FstRtryEnbl = 0
Fault Flag from Low-level Driver
DTFLT bit that verifies the PWM deadtime violation must be not active (incorrect PWM deadtime)
RTE bit read (BIT 7)  from
Intrfc.InRaw.GDIC_LS_W_Status2 = 0
ELSE K_McpDiag.HwGtDrvGrp.DT_PhsWL.FstRtryEnbl = 1
No De-Maturation (=NA)</t>
  </si>
  <si>
    <t>100 - HwGtDrvGrp.EmrgcyStp
E-stop Button Pushed / circuit failed</t>
  </si>
  <si>
    <t>5V GDIC Bottom Signal is between Upper and Lower Threshold:
K_McpDiag.CalAddnl.Ok_5V_GDIC_BOT_AI_OvrThrsh &gt; Intrfc.Hw.InRaw.Sply5vGDICBotSgnl &gt; K_McpDiag.CalAddnl.Ok_5V_GDIC_BOT_AI_UndrThrsh
AND
23V Supply Signal is between Upper and Lower Threshold:
K_McpDiag.CalAddnl.OK_24V_OvrThrsh &gt; Intrfc.Hw.InRaw.Sply23vSgnl&gt; K_McpDiag.CalAddnl.OK_24V_UndrThrsh</t>
  </si>
  <si>
    <t>This failure is for setting a fault if the Emergency -stop Pin is not supported with 12V anymore
Typically only used for Development Vehicles
Both signal are set:
Intrfc.Hw.InRaw.VsGPIO_Status.bEmrgcyStp
K_EmrgcyStp_Mask
OR
Both signal are no set:
Intrfc.Hw.InRaw.VsGPIO_Status.bEmrgcyStp
K_EmrgcyStp_Mask
OR 
Fault Flag from Low-level Driver
RTE bit read (BIT 5 )  from
IntrfcT1.In.Inv_Status_1 should be 1
Built In Self Test is part of Shut Off Path Test.
To trigger this fault in application layer below override can be used:
K_McpIntrfc.Ovrrd.In.Inv_Status_1.Sgnl =0x00000080
K_McpIntrfc.Ovrrd.In.Inv_Status_1.SgnlEnbl =1
(Inv_Status_1_ESTOP_DIG_IN = 1)</t>
  </si>
  <si>
    <t xml:space="preserve">K_McpDiag.HwGtDrvGrp.EmrgcyStp.LimFailSec </t>
  </si>
  <si>
    <t>K_McpDiag.HwGtDrvGrp.EmrgcyStp.EnblTyp</t>
  </si>
  <si>
    <t>Fault Flag from Low-level Driver
RTE bit read (BIT 5 )  from
IntrfcT1.In.Inv_Status_1 = 0</t>
  </si>
  <si>
    <t xml:space="preserve">K_McpDiag.HwGtDrvGrp.EmrgcyStp.LimPassSec </t>
  </si>
  <si>
    <t>Loss of Propulsion (Open contactors requested)</t>
  </si>
  <si>
    <t>377 - HwGtDrvGrp.OC_PhsUH
IGBT Over Current</t>
  </si>
  <si>
    <t>Fault Flag from Low-level Driver
OC bit that senses power device overcurrent must be over 1V threshold to be active
RTE bit read (BIT 0)  from
Intrfc.InRaw.GDIC_HS_U_Status1 should be 1
Built In Self Test is part of Shut Off Path Test.
To trigger this fault in application layer below override can be used:
K_McpIntrfc.Ovrrd.In.GDIC_HS_U_Status1.Sgnl =0x0001
K_McpIntrfc.Ovrrd.In.GDIC_HS_U_Status1.SgnlEnbl =1</t>
  </si>
  <si>
    <t>IF McpDiag.HwGtDrvGrp.OC_PhsUH.FstRtryEnbl = 1
Quick Fail Count is above Quick Fault Set Threshold:
McpDiag.HwGtDrvGrp.OC_PhsUH.QckFail_Cnt &gt; 
K_McpDiag.HwGtDrvGrp.OC_PhsUH.QckFltSetThrsh
OR
Overall Fail Count is above Overall Fault Set Threshold:
McpDiag.HwGtDrvGrp.OC_PhsUH.OvrllFail_Cnt &gt; 
K_McpDiag.HwGtDrvGrp.OC_PhsUH.OvrllFltSetThrsh
OR
Consecutive Fail Timer is above Fault Set Threshold:
McpDiag.HwGtDrvGrp.OC_PhsUH.ConsecutTm_Sec &gt; K_McpDiag.HwGtDrvGrp.OC_PhsUH.ConsecutFltSetThrsh
ELSE McpDiag.HwGtDrvGrp.OC_PhsUH.FstRtryEnbl = 0
No Mature Time (=NA)</t>
  </si>
  <si>
    <t>K_McpDiag.HwGtDrvGrp.OC_PhsUH.EnblTyp</t>
  </si>
  <si>
    <t>IF K_McpDiag.HwGtDrvGrp.OC_PhsUH.FstRtryEnbl = 0
Fault Flag from Low-level Driver
OC bit that senses power device overcurrent must be below 1V threshold to be not active
RTE bit read (BIT 0)  from
Intrfc.InRaw.GDIC_HS_U_Status1 = 0
ELSE K_McpDiag.HwGtDrvGrp.OC_PhsUH.FstRtryEnbl = 1
No De-Maturation (=NA)</t>
  </si>
  <si>
    <t>374 - HwGtDrvGrp.OC_PhsUL
IGBT Over Current</t>
  </si>
  <si>
    <t>Fault Flag from Low-level Driver
OC bit that senses power device overcurrent must be over 1V threshold to be active
RTE bit read (BIT 0)  from
Intrfc.InRaw.GDIC_LS_U_Status1 should be 1
Built In Self Test is part of Shut Off Path Test.
To trigger this fault in application layer below override can be used:
K_McpIntrfc.Ovrrd.In.GDIC_LS_U_Status1.Sgnl =0x0001
K_McpIntrfc.Ovrrd.In.GDIC_LS_U_Status1.SgnlEnbl =1</t>
  </si>
  <si>
    <t>IF McpDiag.HwGtDrvGrp.OC_PhsUL.FstRtryEnbl = 1
Quick Fail Count is above Quick Fault Set Threshold:
McpDiag.HwGtDrvGrp.OC_PhsUL.QckFail_Cnt &gt; 
K_McpDiag.HwGtDrvGrp.OC_PhsUL.QckFltSetThrsh
OR
Overall Fail Count is above Overall Fault Set Threshold:
McpDiag.HwGtDrvGrp.OC_PhsUL.OvrllFail_Cnt &gt; 
K_McpDiag.HwGtDrvGrp.OC_PhsUL.OvrllFltSetThrsh
OR
Consecutive Fail Timer is above Fault Set Threshold:
McpDiag.HwGtDrvGrp.OC_PhsUL.ConsecutTm_Sec &gt; K_McpDiag.HwGtDrvGrp.OC_PhsUL.ConsecutFltSetThrsh
ELSE McpDiag.HwGtDrvGrp.OC_PhsUL.FstRtryEnbl = 0
No Mature Time (=NA)</t>
  </si>
  <si>
    <t>K_McpDiag.HwGtDrvGrp.OC_PhsUL.EnblTyp</t>
  </si>
  <si>
    <t>IF K_McpDiag.HwGtDrvGrp.OC_PhsUL.FstRtryEnbl = 0
Fault Flag from Low-level Driver
OC bit that senses power device overcurrent must be below 1V threshold to be not active
RTE bit read (BIT 0)  from
Intrfc.InRaw.GDIC_LS_U_Status1 = 0
ELSE K_McpDiag.HwGtDrvGrp.OC_PhsUL.FstRtryEnbl = 1
No De-Maturation (=NA)</t>
  </si>
  <si>
    <t>378 - HwGtDrvGrp.OC_PhsVH
IGBT Over Current</t>
  </si>
  <si>
    <t>Fault Flag from Low-level Driver
OC bit that senses power device overcurrent must be over 1V threshold to be active
RTE bit read (BIT 0)  from
Intrfc.InRaw.GDIC_HS_V_Status1 should be 1
Built In Self Test is part of Shut Off Path Test.
To trigger this fault in application layer below override can be used:
K_McpIntrfc.Ovrrd.In.GDIC_HS_V_Status1.Sgnl =0x0001
K_McpIntrfc.Ovrrd.In.GDIC_HS_V_Status1.SgnlEnbl =1</t>
  </si>
  <si>
    <t>IF McpDiag.HwGtDrvGrp.OC_PhsVH.FstRtryEnbl = 1
Quick Fail Count is above Quick Fault Set Threshold:
McpDiag.HwGtDrvGrp.OC_PhsVH.QckFail_Cnt &gt; 
K_McpDiag.HwGtDrvGrp.OC_PhsVH.QckFltSetThrsh
OR
Overall Fail Count is above Overall Fault Set Threshold:
McpDiag.HwGtDrvGrp.OC_PhsVH.OvrllFail_Cnt &gt; 
K_McpDiag.HwGtDrvGrp.OC_PhsVH.OvrllFltSetThrsh
OR
Consecutive Fail Timer is above Fault Set Threshold:
McpDiag.HwGtDrvGrp.OC_PhsVH.ConsecutTm_Sec &gt; K_McpDiag.HwGtDrvGrp.OC_PhsVH.ConsecutFltSetThrsh
ELSE McpDiag.HwGtDrvGrp.OC_PhsVH.FstRtryEnbl = 0
No Mature Time (=NA)</t>
  </si>
  <si>
    <t>K_McpDiag.HwGtDrvGrp.OC_PhsVH.EnblTyp</t>
  </si>
  <si>
    <t>IF K_McpDiag.HwGtDrvGrp.OC_PhsVH.FstRtryEnbl = 0
Fault Flag from Low-level Driver
OC bit that senses power device overcurrent must be below 1V threshold to be not active
RTE bit read (BIT 0)  from
Intrfc.InRaw.GDIC_HS_V_Status1 = 0
ELSE K_McpDiag.HwGtDrvGrp.OC_PhsVH.FstRtryEnbl = 1
No De-Maturation (=NA)</t>
  </si>
  <si>
    <t>375 - HwGtDrvGrp.OC_PhsVL
IGBT Over Current</t>
  </si>
  <si>
    <t>Fault Flag from Low-level Driver
OC bit that senses power device overcurrent must be over 1V threshold to be active
RTE bit read (BIT 0)  from
Intrfc.InRaw.GDIC_LS_V_Status1 should be 1
Built In Self Test is part of Shut Off Path Test.
To trigger this fault in application layer below override can be used:
K_McpIntrfc.Ovrrd.In.GDIC_LS_V_Status1.Sgnl =0x0001
K_McpIntrfc.Ovrrd.In.GDIC_LS_V_Status1.SgnlEnbl =1</t>
  </si>
  <si>
    <t>IF McpDiag.HwGtDrvGrp.OC_PhsVL.FstRtryEnbl = 1
Quick Fail Count is above Quick Fault Set Threshold:
McpDiag.HwGtDrvGrp.OC_PhsVL.QckFail_Cnt &gt; 
K_McpDiag.HwGtDrvGrp.OC_PhsVL.QckFltSetThrsh
OR
Overall Fail Count is above Overall Fault Set Threshold:
McpDiag.HwGtDrvGrp.OC_PhsVL.OvrllFail_Cnt &gt; 
K_McpDiag.HwGtDrvGrp.OC_PhsVL.OvrllFltSetThrsh
OR
Consecutive Fail Timer is above Fault Set Threshold:
McpDiag.HwGtDrvGrp.OC_PhsVL.ConsecutTm_Sec &gt; K_McpDiag.HwGtDrvGrp.OC_PhsVL.ConsecutFltSetThrsh
ELSE McpDiag.HwGtDrvGrp.OC_PhsVL.FstRtryEnbl = 0
No Mature Time (=NA)</t>
  </si>
  <si>
    <t>K_McpDiag.HwGtDrvGrp.OC_PhsVL.EnblTyp</t>
  </si>
  <si>
    <t>IF K_McpDiag.HwGtDrvGrp.OC_PhsVL.FstRtryEnbl = 0
Fault Flag from Low-level Driver
OC bit that senses power device overcurrent must be below 1V threshold to be not active
RTE bit read (BIT 0)  from
Intrfc.InRaw.GDIC_LS_V_Status1 = 0
ELSE K_McpDiag.HwGtDrvGrp.OC_PhsVL.FstRtryEnbl = 1
No De-Maturation (=NA)</t>
  </si>
  <si>
    <t>379 - HwGtDrvGrp.OC_PhsWH
IGBT Over Current</t>
  </si>
  <si>
    <t>Fault Flag from Low-level Driver
OC bit that senses power device overcurrent must be over 1V threshold to be active
RTE bit read (BIT 0)  from
Intrfc.InRaw.GDIC_HS_W_Status1 should be 1
Built In Self Test is part of Shut Off Path Test.
To trigger this fault in application layer below override can be used:
K_McpIntrfc.Ovrrd.In.GDIC_HS_W_Status1.Sgnl =0x0001
K_McpIntrfc.Ovrrd.In.GDIC_HS_W_Status1.SgnlEnbl =1</t>
  </si>
  <si>
    <t>IF K_McpDiag.HwGtDrvGrp.OC_PhsWH.FstRtryEnbl = 1
Quick Fail Count is above Quick Fault Set Threshold:
McpDiag.HwGtDrvGrp.OC_PhsWH.QckFail_Cnt &gt; 
K_McpDiag.HwGtDrvGrp.OC_PhsWH.QckFltSetThrsh
OR
Overall Fail Count is above Overall Fault Set Threshold:
McpDiag.HwGtDrvGrp.OC_PhsWH.OvrllFail_Cnt &gt; 
K_McpDiag.HwGtDrvGrp.OC_PhsWH.OvrllFltSetThrsh
OR
Consecutive Fail Timer is above Fault Set Threshold:
McpDiag.HwGtDrvGrp.OC_PhsWH.ConsecutTm_Sec &gt; K_McpDiag.HwGtDrvGrp.OC_PhsWH.ConsecutFltSetThrsh
ELSE K_McpDiag.HwGtDrvGrp.OC_PhsWH.FstRtryEnbl = 0
No Mature Time (=NA)</t>
  </si>
  <si>
    <t>K_McpDiag.HwGtDrvGrp.OC_PhsWH.EnblTyp</t>
  </si>
  <si>
    <t>IF K_McpDiag.HwGtDrvGrp.OC_PhsWH.FstRtryEnbl = 0
Fault Flag from Low-level Driver
OC bit that senses power device overcurrent must be below 1V threshold to be not active
RTE bit read (BIT 0)  from
Intrfc.InRaw.GDIC_HS_W_Status1 = 0
ELSE K_McpDiag.HwGtDrvGrp.OC_PhsWH.FstRtryEnbl = 1
No De-Maturation (=NA)</t>
  </si>
  <si>
    <t>376 - HwGtDrvGrp.OC_PhsWL
IGBT Over Current</t>
  </si>
  <si>
    <t>Fault Flag from Low-level Driver
OC bit that senses power device overcurrent must be over 1V threshold to be active
RTE bit read (BIT 0)  from
Intrfc.InRaw.GDIC_LS_W_Status1 should be 1
Built In Self Test is part of Shut Off Path Test.
To trigger this fault in application layer below override can be used:
K_McpIntrfc.Ovrrd.In.GDIC_LS_W_Status1.Sgnl =0x0001
K_McpIntrfc.Ovrrd.In.GDIC_LS_W_Status1.SgnlEnbl =1</t>
  </si>
  <si>
    <t>IF K_McpDiag.HwGtDrvGrp.OC_PhsWL.FstRtryEnbl = 1
Quick Fail Count is above Quick Fault Set Threshold:
McpDiag.HwGtDrvGrp.OC_PhsWL.QckFail_Cnt &gt; 
K_McpDiag.HwGtDrvGrp.OC_PhsWL.QckFltSetThrsh
OR
Overall Fail Count is above Overall Fault Set Threshold:
McpDiag.HwGtDrvGrp.OC_PhsWL.OvrllFail_Cnt &gt; 
K_McpDiag.HwGtDrvGrp.OC_PhsWL.OvrllFltSetThrsh
OR
Consecutive Fail Timer is above Fault Set Threshold:
McpDiag.HwGtDrvGrp.OC_PhsWL.ConsecutTm_Sec &gt; K_McpDiag.HwGtDrvGrp.OC_PhsWL.ConsecutFltSetThrsh
ELSE K_McpDiag.HwGtDrvGrp.OC_PhsWL.FstRtryEnbl = 0
No Mature Time (=NA)</t>
  </si>
  <si>
    <t>K_McpDiag.HwGtDrvGrp.OC_PhsWL.EnblTyp</t>
  </si>
  <si>
    <t>IF K_McpDiag.HwGtDrvGrp.OC_PhsWL.FstRtryEnbl = 0
Fault Flag from Low-level Driver
OC bit that senses power device overcurrent must be below 1V threshold to be not active
RTE bit read (BIT 0)  from
Intrfc.InRaw.GDIC_LS_W_Status1 = 0
ELSE K_McpDiag.HwGtDrvGrp.OC_PhsWL.FstRtryEnbl = 1
No De-Maturation (=NA)</t>
  </si>
  <si>
    <t>413 - HwGtDrvGrp.OTSD_IC_PhsUH
GDIC Internal temperature sensor overtemperature Shut Down - HW reaction</t>
  </si>
  <si>
    <t>Fault Flag from Low-level Driver
OTSD_IC bit that senses VDD regulator, VCCREG and GL transistor of LV and HV overtemperature shutdown is above threshold of 180˚  must be active 
RTE bit read (BIT 6)  from
Intrfc.InRaw.GDIC_HS_U_Status1 should be 1
Built In Self Test is part of Shut Off Path Test.
To trigger this fault in application layer below override can be used:
K_McpIntrfc.Ovrrd.In.GDIC_HS_U_Status1.Sgnl =0x0040
K_McpIntrfc.Ovrrd.In.GDIC_HS_U_Status1.SgnlEnbl =1</t>
  </si>
  <si>
    <t>IF McpDiag.HwGtDrvGrp.OTSD_IC_PhsUH.FstRtryEnbl = 1
Quick Fail Count is above Quick Fault Set Threshold:
McpDiag.HwGtDrvGrp.OTSD_IC_PhsUH.QckFail_Cnt &gt; 
K_McpDiag.HwGtDrvGrp.OTSD_IC_PhsUH.QckFltSetThrsh
OR
Overall Fail Count is above Overall Fault Set Threshold:
McpDiag.HwGtDrvGrp.OTSD_IC_PhsUH.OvrllFail_Cnt &gt; 
K_McpDiag.HwGtDrvGrp.OTSD_IC_PhsUH.OvrllFltSetThrsh
OR
Consecutive Fail Timer is above Fault Set Threshold:
McpDiag.HwGtDrvGrp.OTSD_IC_PhsUH.ConsecutTm_Sec &gt; K_McpDiag.HwGtDrvGrp.OTSD_IC_PhsUH.ConsecutFltSetThrsh
ELSE McpDiag.HwGtDrvGrp.OTSD_IC_PhsUH.FstRtryEnbl = 0
No Mature Time (=NA)</t>
  </si>
  <si>
    <t>K_McpDiag.HwGtDrvGrp.OTSD_IC_PhsUH.EnblTyp</t>
  </si>
  <si>
    <t>IF K_McpDiag.HwGtDrvGrp.OTSD_IC_PhsUH.FstRtryEnbl = 0 
Fault Flag from Low-level Driver
OTSD_IC bit that senses VDD regulator, VCCREG and GL transistor of LV and HV overtemperature shutdown is below threshold of 180˚ must be not active
RTE bit read (BIT 6)  from
Intrfc.InRaw.GDIC_HS_U_Status1 = 0
ELSE K_McpDiag.HwGtDrvGrp.OTSD_IC_PhsUH.FstRtryEnbl = 1
No De-Maturation (=NA)</t>
  </si>
  <si>
    <t>410 - HwGtDrvGrp.OTSD_IC_PhsUL
GDIC Internal temperature sensor overtemperature Shut Down - HW reaction</t>
  </si>
  <si>
    <t>Fault Flag from Low-level Driver
OTSD_IC bit that senses VDD regulator, VCCREG and GL transistor of LV and HV overtemperature shutdown is above threshold of 180˚  must be active 
RTE bit read (BIT 6)  from
Intrfc.InRaw.GDIC_LS_U_Status1 should be 1
Built In Self Test is part of Shut Off Path Test.
To trigger this fault in application layer below override can be used:
K_McpIntrfc.Ovrrd.In.GDIC_LS_U_Status1.Sgnl =0x0040
K_McpIntrfc.Ovrrd.In.GDIC_LS_U_Status1.SgnlEnbl =1</t>
  </si>
  <si>
    <t>IF K_McpDiag.HwGtDrvGrp.OTSD_IC_PhsUL.FstRtryEnbl = 1
Quick Fail Count is above Quick Fault Set Threshold:
McpDiag.HwGtDrvGrp.OTSD_IC_PhsUL.QckFail_Cnt &gt; 
K_McpDiag.HwGtDrvGrp.OTSD_IC_PhsUL.QckFltSetThrsh
OR
Overall Fail Count is above Overall Fault Set Threshold:
McpDiag.HwGtDrvGrp.OTSD_IC_PhsUL.OvrllFail_Cnt &gt; 
K_McpDiag.HwGtDrvGrp.OTSD_IC_PhsUL.OvrllFltSetThrsh
OR
Consecutive Fail Timer is above Fault Set Threshold:
McpDiag.HwGtDrvGrp.OTSD_IC_PhsUL.ConsecutTm_Sec &gt; K_McpDiag.HwGtDrvGrp.OTSD_IC_PhsUL.ConsecutFltSetThrsh
ELSE K_McpDiag.HwGtDrvGrp.OTSD_IC_PhsUL.FstRtryEnbl = 0
No Mature Time (=NA)</t>
  </si>
  <si>
    <t>K_McpDiag.HwGtDrvGrp.OTSD_IC_PhsUL.EnblTyp</t>
  </si>
  <si>
    <t>IF K_McpDiag.HwGtDrvGrp.OTSD_IC_PhsUL.FstRtryEnbl = 0
Fault Flag from Low-level Driver
OTSD_IC bit that senses VDD regulator, VCCREG and GL transistor of LV and HV overtemperature shutdown is below threshold of 180˚ must be not active
RTE bit read (BIT 6)  from
Intrfc.InRaw.GDIC_LS_U_Status1 = 0
ELSE K_McpDiag.HwGtDrvGrp.OTSD_IC_PhsUL.FstRtryEnbl = 1
No De-Maturation (=NA)</t>
  </si>
  <si>
    <t>414 - HwGtDrvGrp.OTSD_IC_PhsVH
GDIC Internal temperature sensor overtemperature Shut Down - HW reaction</t>
  </si>
  <si>
    <t>Fault Flag from Low-level Driver
OTSD_IC bit that senses VDD regulator, VCCREG and GL transistor of LV and HV overtemperature shutdown is above threshold of 180˚  must be active
RTE bit read (BIT 6)  from
Intrfc.InRaw.GDIC_HS_V_Status1 should be 1
Built In Self Test is part of Shut Off Path Test.
To trigger this fault in application layer below override can be used:
K_McpIntrfc.Ovrrd.In.GDIC_HS_V_Status1.Sgnl =0x0040
K_McpIntrfc.Ovrrd.In.GDIC_HS_V_Status1.SgnlEnbl =1</t>
  </si>
  <si>
    <t>IF K_McpDiag.HwGtDrvGrp.OTSD_IC_PhsVH.FstRtryEnbl = 1
Quick Fail Count is above Quick Fault Set Threshold:
McpDiag.HwGtDrvGrp.OTSD_IC_PhsVH.QckFail_Cnt &gt; 
K_McpDiag.HwGtDrvGrp.OTSD_IC_PhsVH.QckFltSetThrsh
OR
Overall Fail Count is above Overall Fault Set Threshold:
McpDiag.HwGtDrvGrp.OTSD_IC_PhsVH.OvrllFail_Cnt &gt; 
K_McpDiag.HwGtDrvGrp.OTSD_IC_PhsVH.OvrllFltSetThrsh
OR
Consecutive Fail Timer is above Fault Set Threshold:
McpDiag.HwGtDrvGrp.OTSD_IC_PhsVH.ConsecutTm_Sec &gt; K_McpDiag.HwGtDrvGrp.OTSD_IC_PhsVH.ConsecutFltSetThrsh
ELSE K_McpDiag.HwGtDrvGrp.OTSD_IC_PhsVH.FstRtryEnbl = 0
No Mature Time (=NA)</t>
  </si>
  <si>
    <t>K_McpDiag.HwGtDrvGrp.OTSD_IC_PhsVH.EnblTyp</t>
  </si>
  <si>
    <t>IF K_McpDiag.HwGtDrvGrp.OTSD_IC_PhsVH.FstRtryEnbl = 0
Fault Flag from Low-level Driver
OTSD_IC bit that senses VDD regulator, VCCREG and GL transistor of LV and HV overtemperature shutdown is below threshold of 180˚ must be not active
RTE bit read (BIT 6)  from
Intrfc.InRaw.GDIC_HS_V_Status1 = 0
ELSE K_McpDiag.HwGtDrvGrp.OTSD_IC_PhsVH.FstRtryEnbl = 1
No De-Maturation (=NA)</t>
  </si>
  <si>
    <t>411 - HwGtDrvGrp.OTSD_IC_PhsVL
GDIC Internal temperature sensor overtemperature Shut Down - HW reaction</t>
  </si>
  <si>
    <t>Fault Flag from Low-level Driver
OTSD_IC bit that senses VDD regulator, VCCREG and GL transistor of LV and HV overtemperature shutdown is above threshold of 180˚  must be active
RTE bit read (BIT 6)  from
Intrfc.InRaw.GDIC_LS_V_Status1 should be 1
Built In Self Test is part of Shut Off Path Test.
To trigger this fault in application layer below override can be used:
K_McpIntrfc.Ovrrd.In.GDIC_LS_V_Status1.Sgnl =0x0040
K_McpIntrfc.Ovrrd.In.GDIC_LS_V_Status1.SgnlEnbl =1</t>
  </si>
  <si>
    <t>IF K_McpDiag.HwGtDrvGrp.OTSD_IC_PhsVL.FstRtryEnbl = 1
Quick Fail Count is above Quick Fault Set Threshold:
McpDiag.HwGtDrvGrp.OTSD_IC_PhsVL.QckFail_Cnt &gt; 
K_McpDiag.HwGtDrvGrp.OTSD_IC_PhsVL.QckFltSetThrsh
OR
Overall Fail Count is above Overall Fault Set Threshold:
McpDiag.HwGtDrvGrp.OTSD_IC_PhsVL.OvrllFail_Cnt &gt; 
K_McpDiag.HwGtDrvGrp.OTSD_IC_PhsVL.OvrllFltSetThrsh
OR
Consecutive Fail Timer is above Fault Set Threshold:
McpDiag.HwGtDrvGrp.OTSD_IC_PhsVL.ConsecutTm_Sec &gt; K_McpDiag.HwGtDrvGrp.OTSD_IC_PhsVL.ConsecutFltSetThrsh
ELSE K_McpDiag.HwGtDrvGrp.OTSD_IC_PhsVL.FstRtryEnbl = 0
No Mature Time (=NA)</t>
  </si>
  <si>
    <t>K_McpDiag.HwGtDrvGrp.OTSD_IC_PhsVL.EnblTyp</t>
  </si>
  <si>
    <t>IF K_McpDiag.HwGtDrvGrp.OTSD_IC_PhsVL.FstRtryEnbl = 0
Fault Flag from Low-level Driver
OTSD_IC bit that senses VDD regulator, VCCREG and GL transistor of LV and HV overtemperature shutdown is below threshold of 180˚ must be not active
RTE bit read (BIT 6)  from
Intrfc.InRaw.GDIC_LS_V_Status1 = 0
ELSE K_McpDiag.HwGtDrvGrp.OTSD_IC_PhsVL.FstRtryEnbl = 1
No De-Maturation (=NA)</t>
  </si>
  <si>
    <t>415 - HwGtDrvGrp.OTSD_IC_PhsWH
GDIC Internal temperature sensor overtemperature Shut Down - HW reaction</t>
  </si>
  <si>
    <t>Fault Flag from Low-level Driver
OTSD_IC bit that senses VDD regulator, VCCREG and GL transistor of LV and HV overtemperature shutdown is above threshold of 180˚  must be active
RTE bit read (BIT 6)  from
Intrfc.InRaw.GDIC_HS_W_Status1 should be 1
Built In Self Test is part of Shut Off Path Test.
To trigger this fault in application layer below override can be used:
K_McpIntrfc.Ovrrd.In.GDIC_HS_W_Status1.Sgnl =0x0040
K_McpIntrfc.Ovrrd.In.GDIC_HS_W_Status1.SgnlEnbl =1</t>
  </si>
  <si>
    <t>IF K_McpDiag.HwGtDrvGrp.OTSD_IC_PhsWH.FstRtryEnbl = 1
Quick Fail Count is above Quick Fault Set Threshold:
McpDiag.HwGtDrvGrp.OTSD_IC_PhsWH.QckFail_Cnt &gt; 
K_McpDiag.HwGtDrvGrp.OTSD_IC_PhsWH.QckFltSetThrsh
OR
Overall Fail Count is above Overall Fault Set Threshold:
McpDiag.HwGtDrvGrp.OTSD_IC_PhsWH.OvrllFail_Cnt &gt; 
K_McpDiag.HwGtDrvGrp.OTSD_IC_PhsWH.OvrllFltSetThrsh
OR
Consecutive Fail Timer is above Fault Set Threshold:
McpDiag.HwGtDrvGrp.OTSD_IC_PhsWH.ConsecutTm_Sec &gt; K_McpDiag.HwGtDrvGrp.OTSD_IC_PhsWH.ConsecutFltSetThrsh
ELSE K_McpDiag.HwGtDrvGrp.OTSD_IC_PhsWH.FstRtryEnbl = 0
No Mature Time (=NA)</t>
  </si>
  <si>
    <t>K_McpDiag.HwGtDrvGrp.OTSD_IC_PhsWH.EnblTyp</t>
  </si>
  <si>
    <t>IF K_McpDiag.HwGtDrvGrp.OTSD_IC_PhsWH.FstRtryEnbl = 0
Fault Flag from Low-level Driver
OTSD_IC bit that senses VDD regulator, VCCREG and GL transistor of LV and HV overtemperature shutdown is below threshold of 180˚ must be not active
RTE bit read (BIT 6)  from
Intrfc.InRaw.GDIC_HS_W_Status1 = 0
ELSE K_McpDiag.HwGtDrvGrp.OTSD_IC_PhsWH.FstRtryEnbl = 1
No De-Maturation (=NA)</t>
  </si>
  <si>
    <t>412 - HwGtDrvGrp.OTSD_IC_PhsWL
GDIC Internal temperature sensor overtemperature Shut Down - HW reaction</t>
  </si>
  <si>
    <t>Fault Flag from Low-level Driver
OTSD_IC bit that senses VDD regulator, VCCREG and GL transistor of LV and HV overtemperature shutdown is above threshold of 180˚ must be active
RTE bit read (BIT 6)  from
Intrfc.InRaw.GDIC_LS_W_Status1 should be 1
Built In Self Test is part of Shut Off Path Test.
To trigger this fault in application layer below override can be used:
K_McpIntrfc.Ovrrd.In.GDIC_LS_W_Status1.Sgnl =0x0040
K_McpIntrfc.Ovrrd.In.GDIC_LS_W_Status1.SgnlEnbl =1</t>
  </si>
  <si>
    <t>IF K_McpDiag.HwGtDrvGrp.OTSD_IC_PhsWL.FstRtryEnbl = 1
Quick Fail Count is above Quick Fault Set Threshold:
McpDiag.HwGtDrvGrp.OTSD_IC_PhsWL.QckFail_Cnt &gt; 
K_McpDiag.HwGtDrvGrp.OTSD_IC_PhsWL.QckFltSetThrsh
OR
Overall Fail Count is above Overall Fault Set Threshold:
McpDiag.HwGtDrvGrp.OTSD_IC_PhsWL.OvrllFail_Cnt &gt; 
K_McpDiag.HwGtDrvGrp.OTSD_IC_PhsWL.OvrllFltSetThrsh
OR
Consecutive Fail Timer is above Fault Set Threshold:
McpDiag.HwGtDrvGrp.OTSD_IC_PhsWL.ConsecutTm_Sec &gt; K_McpDiag.HwGtDrvGrp.OTSD_IC_PhsWL.ConsecutFltSetThrsh
ELSE K_McpDiag.HwGtDrvGrp.OTSD_IC_PhsWL.FstRtryEnbl = 0
No Mature Time (=NA)</t>
  </si>
  <si>
    <t>K_McpDiag.HwGtDrvGrp.OTSD_IC_PhsWL.EnblTyp</t>
  </si>
  <si>
    <t>IF K_McpDiag.HwGtDrvGrp.OTSD_IC_PhsWL.FstRtryEnbl = 0
Fault Flag from Low-level Driver
OTSD_IC bit that senses VDD regulator, VCCREG and GL transistor of LV and HV overtemperature shutdown is below threshold of 180˚ must be not active
RTE bit read (BIT 6)  from
Intrfc.InRaw.GDIC_LS_W_Status1 = 0
ELSE K_McpDiag.HwGtDrvGrp.OTSD_IC_PhsWL.FstRtryEnbl = 1
No De-Maturation (=NA)</t>
  </si>
  <si>
    <t>407 - HwGtDrvGrp.OTSD_PhsUH
IGBT temperature detection and fault reporting</t>
  </si>
  <si>
    <t>Fault Flag from Low-level Driver
OTSD bit that reports Overtemperature shutdown of IGBT must be over 95° C threshold to be active
RTE bit read (BIT 5)  from
Intrfc.InRaw.GDIC_HS_U_Status1 should be 1
Built In Self Test is part of Shut Off Path Test.
To trigger this fault in application layer below override can be used:
K_McpIntrfc.Ovrrd.In.GDIC_HS_U_Status1.Sgnl =0x0020
K_McpIntrfc.Ovrrd.In.GDIC_HS_U_Status1.SgnlEnbl =1</t>
  </si>
  <si>
    <t>IF K_McpDiag.HwGtDrvGrp.OTSD_PhsUH.FstRtryEnbl = 1
Quick Fail Count is above Quick Fault Set Threshold:
McpDiag.HwGtDrvGrp.OTSD_PhsUH.QckFail_Cnt &gt; 
K_McpDiag.HwGtDrvGrp.OTSD_PhsUH.QckFltSetThrsh
OR
Overall Fail Count is above Overall Fault Set Threshold:
McpDiag.HwGtDrvGrp.OTSD_PhsUH.OvrllFail_Cnt &gt; 
K_McpDiag.HwGtDrvGrp.OTSD_PhsUH.OvrllFltSetThrsh
OR
Consecutive Fail Timer is above Fault Set Threshold:
McpDiag.HwGtDrvGrp.OTSD_PhsUH.ConsecutTm_Sec &gt; K_McpDiag.HwGtDrvGrp.OTSD_PhsUH.ConsecutFltSetThrsh
ELSE K_McpDiag.HwGtDrvGrp.OTSD_PhsUH.FstRtryEnbl = 0
No Mature Time (=NA)</t>
  </si>
  <si>
    <t>K_McpDiag.HwGtDrvGrp.OTSD_PhsUH.EnblTyp</t>
  </si>
  <si>
    <t>IF K_McpDiag.HwGtDrvGrp.OTSD_PhsUH.FstRtryEnbl = 0
Fault Flag from Low-level Driver
OTSD bit that reports Overtemperature shutdown of IGBT must be below  95° C threshold to be  not active
RTE bit read (BIT 5)  from
Intrfc.InRaw.GDIC_HS_U_Status1 = 0
ELSE K_McpDiag.HwGtDrvGrp.OTSD_PhsUH.FstRtryEnbl = 1
No De-Maturation (=NA)</t>
  </si>
  <si>
    <t>404 - HwGtDrvGrp.OTSD_PhsUL
IGBT temperature detection and fault reporting</t>
  </si>
  <si>
    <t>Fault Flag from Low-level Driver
OTSD bit that reports Overtemperature shutdown of IGBT must be over 95° C threshold to be active
RTE bit read (BIT 5)  from
Intrfc.InRaw.GDIC_LS_U_Status1 should be 1
Built In Self Test is part of Shut Off Path Test.
To trigger this fault in application layer below override can be used:
K_McpIntrfc.Ovrrd.In.GDIC_LS_U_Status1.Sgnl =0x0020
K_McpIntrfc.Ovrrd.In.GDIC_LS_U_Status1.SgnlEnbl =1</t>
  </si>
  <si>
    <t>IF K_McpDiag.HwGtDrvGrp.OTSD_PhsUL.FstRtryEnbl = 1
Quick Fail Count is above Quick Fault Set Threshold:
McpDiag.HwGtDrvGrp.OTSD_PhsUL.QckFail_Cnt &gt; 
K_McpDiag.HwGtDrvGrp.OTSD_PhsUL.QckFltSetThrsh
OR
Overall Fail Count is above Overall Fault Set Threshold:
McpDiag.HwGtDrvGrp.OTSD_PhsUL.OvrllFail_Cnt &gt; 
K_McpDiag.HwGtDrvGrp.OTSD_PhsUL.OvrllFltSetThrsh
OR
Consecutive Fail Timer is above Fault Set Threshold:
McpDiag.HwGtDrvGrp.OTSD_PhsUL.ConsecutTm_Sec &gt; K_McpDiag.HwGtDrvGrp.OTSD_PhsUL.ConsecutFltSetThrsh
ELSE K_McpDiag.HwGtDrvGrp.OTSD_PhsUL.FstRtryEnbl = 0
No Mature Time (=NA)</t>
  </si>
  <si>
    <t>K_McpDiag.HwGtDrvGrp.OTSD_PhsUL.EnblTyp</t>
  </si>
  <si>
    <t>IF K_McpDiag.HwGtDrvGrp.OTSD_PhsUL.FstRtryEnbl = 0
Fault Flag from Low-level Driver
OTSD bit that reports Overtemperature shutdown of IGBT must be below  95° C threshold to be not active
RTE bit read (BIT 5)  from
Intrfc.InRaw.GDIC_LS_U_Status1 = 0
ELSE K_McpDiag.HwGtDrvGrp.OTSD_PhsUL.FstRtryEnbl = 1
No De-Maturation (=NA)</t>
  </si>
  <si>
    <t>408 - HwGtDrvGrp.OTSD_PhsVH
IGBT temperature detection and fault reporting</t>
  </si>
  <si>
    <t>Fault Flag from Low-level Driver
OTSD bit that reports Overtemperature shutdown of IGBT must be over 95° C threshold to be active
RTE bit read (BIT 5)  from
Intrfc.InRaw.GDIC_HS_V_Status1 should be 1
Built In Self Test is part of Shut Off Path Test.
To trigger this fault in application layer below override can be used:
K_McpIntrfc.Ovrrd.In.GDIC_HS_V_Status1.Sgnl =0x0020
K_McpIntrfc.Ovrrd.In.GDIC_HS_V_Status1.SgnlEnbl =1</t>
  </si>
  <si>
    <t>IF K_McpDiag.HwGtDrvGrp.OTSD_PhsVH.FstRtryEnbl = 1
Quick Fail Count is above Quick Fault Set Threshold:
McpDiag.HwGtDrvGrp.OTSD_PhsVH.QckFail_Cnt &gt; 
K_McpDiag.HwGtDrvGrp.OTSD_PhsVH.QckFltSetThrsh
OR
Overall Fail Count is above Overall Fault Set Threshold:
McpDiag.HwGtDrvGrp.OTSD_PhsVH.OvrllFail_Cnt &gt; 
K_McpDiag.HwGtDrvGrp.OTSD_PhsVH.OvrllFltSetThrsh
OR
Consecutive Fail Timer is above Fault Set Threshold:
McpDiag.HwGtDrvGrp.OTSD_PhsVH.ConsecutTm_Sec &gt; K_McpDiag.HwGtDrvGrp.OTSD_PhsVH.ConsecutFltSetThrsh
ELSE K_McpDiag.HwGtDrvGrp.OTSD_PhsVH.FstRtryEnbl = 0
No Mature Time (=NA)</t>
  </si>
  <si>
    <t>K_McpDiag.HwGtDrvGrp.OTSD_PhsVH.EnblTyp</t>
  </si>
  <si>
    <t>IF K_McpDiag.HwGtDrvGrp.OTSD_PhsVH.FstRtryEnbl = 0
Fault Flag from Low-level Driver
OTSD bit that reports Overtemperature shutdown of IGBT must be below  95° C threshold to be not active
RTE bit read (BIT 5)  from
Intrfc.InRaw.GDIC_HS_V_Status1 = 0
ELSE K_McpDiag.HwGtDrvGrp.OTSD_PhsVH.FstRtryEnbl = 1
No De-Maturation (=NA)</t>
  </si>
  <si>
    <t>405 - HwGtDrvGrp.OTSD_PhsVL
IGBT temperature detection and fault reporting</t>
  </si>
  <si>
    <t>Fault Flag from Low-level Driver
OTSD bit that reports Overtemperature shutdown of IGBT must be over 95° C threshold to be active
RTE bit read (BIT 5)  from
Intrfc.InRaw.GDIC_LS_V_Status1 should be 1
Built In Self Test is part of Shut Off Path Test.
To trigger this fault in application layer below override can be used:
K_McpIntrfc.Ovrrd.In.GDIC_LS_V_Status1.Sgnl =0x0020
K_McpIntrfc.Ovrrd.In.GDIC_LS_V_Status1.SgnlEnbl =1</t>
  </si>
  <si>
    <t>IF K_McpDiag.HwGtDrvGrp.OTSD_PhsVL.FstRtryEnbl = 1
Quick Fail Count is above Quick Fault Set Threshold:
McpDiag.HwGtDrvGrp.OTSD_PhsVL.QckFail_Cnt &gt; 
K_McpDiag.HwGtDrvGrp.OTSD_PhsVL.QckFltSetThrsh
OR
Overall Fail Count is above Overall Fault Set Threshold:
McpDiag.HwGtDrvGrp.OTSD_PhsVL.OvrllFail_Cnt &gt; 
K_McpDiag.HwGtDrvGrp.OTSD_PhsVL..OvrllFltSetThrsh
OR
Consecutive Fail Timer is above Fault Set Threshold:
McpDiag.HwGtDrvGrp.OTSD_PhsVL.ConsecutTm_Sec &gt; K_McpDiag.HwGtDrvGrp.OTSD_PhsVL.ConsecutFltSetThrsh
ELSE K_McpDiag.HwGtDrvGrp.OTSD_PhsVL.FstRtryEnbl = 0
No Mature Time (=NA)</t>
  </si>
  <si>
    <t>K_McpDiag.HwGtDrvGrp.OTSD_PhsVL.EnblTyp</t>
  </si>
  <si>
    <t>IF K_McpDiag.HwGtDrvGrp.OTSD_PhsVL.FstRtryEnbl = 0
Fault Flag from Low-level Driver
OTSD bit that reports Overtemperature shutdown of IGBT must be below  95° C threshold to be not active
RTE bit read (BIT 5)  from
Intrfc.InRaw.GDIC_LS_V_Status1 = 0
ELSE K_McpDiag.HwGtDrvGrp.OTSD_PhsVL.FstRtryEnbl = 1
No De-Maturation (=NA)</t>
  </si>
  <si>
    <t>409 - HwGtDrvGrp.OTSD_PhsWH
IGBT temperature detection and fault reporting</t>
  </si>
  <si>
    <t>Fault Flag from Low-level Driver
OTSD bit that reports Overtemperature shutdown of IGBT must be over 95° C threshold to be active
RTE bit read (BIT 5)  from
Intrfc.InRaw.GDIC_HS_W_Status1 should be 1
Built In Self Test is part of Shut Off Path Test.
To trigger this fault in application layer below override can be used:
K_McpIntrfc.Ovrrd.In.GDIC_HS_W_Status1.Sgnl =0x0020
K_McpIntrfc.Ovrrd.In.GDIC_HS_W_Status1.SgnlEnbl =1</t>
  </si>
  <si>
    <t>IF K_McpDiag.HwGtDrvGrp.OTSD_PhsWH.FstRtryEnbl = 1
Quick Fail Count is above Quick Fault Set Threshold:
McpDiag.HwGtDrvGrp.OTSD_PhsWH.QckFail_Cnt &gt; 
K_McpDiag.HwGtDrvGrp.OTSD_PhsWH.QckFltSetThrsh
OR
Overall Fail Count is above Overall Fault Set Threshold:
McpDiag.HwGtDrvGrp.OTSD_PhsWH.OvrllFail_Cnt &gt; 
K_McpDiag.HwGtDrvGrp.OTSD_PhsWH.OvrllFltSetThrsh
OR
Consecutive Fail Timer is above Fault Set Threshold:
McpDiag.HwGtDrvGrp.OTSD_PhsWH.ConsecutTm_Sec &gt; K_McpDiag.HwGtDrvGrp.OTSD_PhsWH.ConsecutFltSetThrsh
ELSE K_McpDiag.HwGtDrvGrp.OTSD_PhsWH.FstRtryEnbl = 0
No Mature Time (=NA)</t>
  </si>
  <si>
    <t>K_McpDiag.HwGtDrvGrp.OTSD_PhsWH.EnblTyp</t>
  </si>
  <si>
    <t>IF K_McpDiag.HwGtDrvGrp.OTSD_PhsWH.FstRtryEnbl = 0
Fault Flag from Low-level Driver
OTSD bit that reports Overtemperature shutdown of IGBT must be below  95° C threshold to be not active
RTE bit read (BIT 5)  from
Intrfc.InRaw.GDIC_HS_W_Status1 = 0
ELSE K_McpDiag.HwGtDrvGrp.OTSD_PhsWH.FstRtryEnbl = 1
No De-Maturation (=NA)</t>
  </si>
  <si>
    <t>406 - HwGtDrvGrp.OTSD_PhsWL
IGBT temperature detection and fault reporting</t>
  </si>
  <si>
    <t>Fault Flag from Low-level Driver
OTSD bit that reports Overtemperature shutdown of IGBT must be over 95° C threshold to be active
RTE bit read (BIT 5)  from
Intrfc.InRaw.GDIC_LS_W_Status1 should be 1
Built In Self Test is part of Shut Off Path Test.
To trigger this fault in application layer below override can be used:
K_McpIntrfc.Ovrrd.In.GDIC_LS_W_Status1.Sgnl =0x0020
K_McpIntrfc.Ovrrd.In.GDIC_LS_W_Status1.SgnlEnbl =1</t>
  </si>
  <si>
    <t>IF K_McpDiag.HwGtDrvGrp.OTSD_PhsWL.FstRtryEnbl = 1
Quick Fail Count is above Quick Fault Set Threshold:
McpDiag.HwGtDrvGrp.OTSD_PhsWL.QckFail_Cnt &gt; 
K_McpDiag.HwGtDrvGrp.OTSD_PhsWL.QckFltSetThrsh
OR
Overall Fail Count is above Overall Fault Set Threshold:
McpDiag.HwGtDrvGrp.OTSD_PhsWL.OvrllFail_Cnt &gt; 
K_McpDiag.HwGtDrvGrp.OTSD_PhsWL.OvrllFltSetThrsh
OR
Consecutive Fail Timer is above Fault Set Threshold:
McpDiag.HwGtDrvGrp.OTSD_PhsWL.ConsecutTm_Sec &gt; K_McpDiag.HwGtDrvGrp.OTSD_PhsWL.ConsecutFltSetThrsh
ELSE K_McpDiag.HwGtDrvGrp.OTSD_PhsWL.FstRtryEnbl = 0
No Mature Time (=NA)</t>
  </si>
  <si>
    <t>K_McpDiag.HwGtDrvGrp.OTSD_PhsWL.EnblTyp</t>
  </si>
  <si>
    <t>IF K_McpDiag.HwGtDrvGrp.OTSD_PhsWL.FstRtryEnbl = 0
Fault Flag from Low-level Driver
OTSD bit that reports Overtemperature shutdown of IGBT must be below  95° C threshold to be not active
RTE bit read (BIT 5)  from
Intrfc.InRaw.GDIC_LS_W_Status1 = 0
ELSE K_McpDiag.HwGtDrvGrp.OTSD_PhsWL.FstRtryEnbl = 1
No De-Maturation (=NA)</t>
  </si>
  <si>
    <t>401 - HwGtDrvGrp.OTW_PhsUH
IGBT temperature detection and fault reporting</t>
  </si>
  <si>
    <t>Fault Flag from Low-level Driver
OTW bit reporting Overtemperature warning of IGBT must be over 95° warning to be active.
RTE bit read (BIT 4)  from
Intrfc.InRaw.GDIC_HS_U_Status1 should be 1
Built In Self Test is part of Shut Off Path Test.
To trigger this fault in application layer below override can be used:
K_McpIntrfc.Ovrrd.In.GDIC_HS_U_Status1.Sgnl =0x0010
K_McpIntrfc.Ovrrd.In.GDIC_HS_U_Status1.SgnlEnbl =1</t>
  </si>
  <si>
    <t>IF K_McpDiag.HwGtDrvGrp.OTW_PhsUH.FstRtryEnbl = 1
Quick Fail Count is above Quick Fault Set Threshold:
McpDiag.HwGtDrvGrp.OTW_PhsUH.QckFail_Cnt &gt; 
K_McpDiag.HwGtDrvGrp.OTW_PhsUH.QckFltSetThrsh
OR
Overall Fail Count is above Overall Fault Set Threshold:
McpDiag.HwGtDrvGrp.OTW_PhsUH.OvrllFail_Cnt &gt; 
K_McpDiag.HwGtDrvGrp.OTW_PhsUH.OvrllFltSetThrsh
OR
Consecutive Fail Timer is above Fault Set Threshold:
McpDiag.HwGtDrvGrp.OTW_PhsUH.ConsecutTm_Sec &gt; K_McpDiag.HwGtDrvGrp.OTW_PhsUH.ConsecutFltSetThrsh
ELSE K_McpDiag.HwGtDrvGrp.OTSD_PhsWL.FstRtryEnbl = 0
No Mature Time (=NA)</t>
  </si>
  <si>
    <t>K_McpDiag.HwGtDrvGrp.OTW_PhsUH.EnblTyp</t>
  </si>
  <si>
    <t xml:space="preserve">IF K_McpDiag.HwGtDrvGrp.OTW_PhsUH.FstRtryEnbl = 0
Fault Flag from Low-level Driver
OTW bit reporting Overtemperature warning of IGBT must be below 95° warning to be not active.
RTE bit read (BIT 4)  from
Intrfc.InRaw.GDIC_HS_U_Status1 = 0
ELSE K_McpDiag.HwGtDrvGrp.OTW_PhsUH.FstRtryEnbl = 1
No De-Maturation (=NA) </t>
  </si>
  <si>
    <t>398 - HwGtDrvGrp.OTW_PhsUL
IGBT temperature detection and fault reporting</t>
  </si>
  <si>
    <t>Fault Flag from Low-level Driver
OTW bit reporting Overtemperature warning of IGBT must be over 95° warning to be active.
RTE bit read (BIT 4)  from
Intrfc.InRaw.GDIC_LS_U_Status1 should be 1
Built In Self Test is part of Shut Off Path Test.
To trigger this fault in application layer below override can be used:
K_McpIntrfc.Ovrrd.In.GDIC_LS_U_Status1.Sgnl =0x0010
K_McpIntrfc.Ovrrd.In.GDIC_LS_U_Status1.SgnlEnbl =1</t>
  </si>
  <si>
    <t>IF K_McpDiag.HwGtDrvGrp.OTW_PhsUL.FstRtryEnbl = 1
Quick Fail Count is above Quick Fault Set Threshold:
McpDiag.HwGtDrvGrp.OTW_PhsUL.QckFail_Cnt &gt; 
K_McpDiag.HwGtDrvGrp.OTW_PhsUL.QckFltSetThrsh
OR
Overall Fail Count is above Overall Fault Set Threshold:
McpDiag.HwGtDrvGrp.OTW_PhsUL.OvrllFail_Cnt &gt; 
K_McpDiag.HwGtDrvGrp.OTW_PhsUL.OvrllFltSetThrsh
OR
Consecutive Fail Timer is above Fault Set Threshold:
McpDiag.HwGtDrvGrp.OTW_PhsUL.ConsecutTm_Sec &gt; K_McpDiag.HwGtDrvGrp.OTW_PhsUL.ConsecutFltSetThrsh
ELSE K_McpDiag.HwGtDrvGrp.OTW_PhsUL.FstRtryEnbl = 0
No Mature Time (=NA)</t>
  </si>
  <si>
    <t>K_McpDiag.HwGtDrvGrp.OTW_PhsUL.EnblTyp</t>
  </si>
  <si>
    <t xml:space="preserve">IF K_McpDiag.HwGtDrvGrp.OTW_PhsUL.FstRtryEnbl = 0
Fault Flag from Low-level Driver
OTW bit reporting Overtemperature warning of IGBT must be below 95° warning to be not active.
RTE bit read (BIT 4)  from
Intrfc.InRaw.GDIC_LS_U_Status1 = 0
ELSE K_McpDiag.HwGtDrvGrp.OTW_PhsUL.FstRtryEnbl = 1
No De-Maturation (=NA) </t>
  </si>
  <si>
    <t>402 - HwGtDrvGrp.OTW_PhsVH
IGBT temperature detection and fault reporting</t>
  </si>
  <si>
    <t>Fault Flag from Low-level Driver
OTW bit reporting Overtemperature warning of IGBT must be over 95° warning to be active.
RTE bit read (BIT 4)  from
Intrfc.InRaw.GDIC_HS_V_Status1 should be 1
Built In Self Test is part of Shut Off Path Test.
To trigger this fault in application layer below override can be used:
K_McpIntrfc.Ovrrd.In.GDIC_HS_V_Status1.Sgnl =0x0010
K_McpIntrfc.Ovrrd.In.GDIC_HS_V_Status1.SgnlEnbl =1</t>
  </si>
  <si>
    <t>IF K_McpDiag.HwGtDrvGrp.OTW_PhsVH.FstRtryEnbl = 1
Quick Fail Count is above Quick Fault Set Threshold:
McpDiag.HwGtDrvGrp.OTW_PhsVH.QckFail_Cnt &gt; 
K_McpDiag.HwGtDrvGrp.OTW_PhsVH.QckFltSetThrsh
OR
Overall Fail Count is above Overall Fault Set Threshold:
McpDiag.HwGtDrvGrp.OTW_PhsVH.OvrllFail_Cnt &gt; 
K_McpDiag.HwGtDrvGrp.OTW_PhsVH.OvrllFltSetThrsh
OR
Consecutive Fail Timer is above Fault Set Threshold:
McpDiag.HwGtDrvGrp.OTW_PhsVH.ConsecutTm_Sec &gt; K_McpDiag.HwGtDrvGrp.OTW_PhsVH.ConsecutFltSetThrsh
ELSE K_McpDiag.HwGtDrvGrp.OTW_PhsVH.FstRtryEnbl = 0
No Mature Time (=NA)</t>
  </si>
  <si>
    <t>K_McpDiag.HwGtDrvGrp.OTW_PhsVH.EnblTyp</t>
  </si>
  <si>
    <t xml:space="preserve">IF K_McpDiag.HwGtDrvGrp.OTW_PhsVH.FstRtryEnbl = 0
Fault Flag from Low-level Driver
OTW bit reporting Overtemperature warning of IGBT must be below 95° warning to be not active.
RTE bit read (BIT 4)  from
Intrfc.InRaw.GDIC_HS_V_Status1 = 0
ELSE K_McpDiag.HwGtDrvGrp.OTW_PhsVH.FstRtryEnbl = 1
No De-Maturation (=NA) </t>
  </si>
  <si>
    <t>399 - HwGtDrvGrp.OTW_PhsVL
IGBT temperature detection and fault reporting</t>
  </si>
  <si>
    <t>Fault Flag from Low-level Driver
OTW bit reporting Overtemperature warning of IGBT must be over 95° warning to be active.
RTE bit read (BIT 4)  from
Intrfc.InRaw.GDIC_LS_V_Status1 should be 1
Built In Self Test is part of Shut Off Path Test.
To trigger this fault in application layer below override can be used:
K_McpIntrfc.Ovrrd.In.GDIC_LS_V_Status1.Sgnl =0x0010
K_McpIntrfc.Ovrrd.In.GDIC_LS_V_Status1.SgnlEnbl =1</t>
  </si>
  <si>
    <t>IF K_McpDiag.HwGtDrvGrp.OTW_PhsVL.FstRtryEnbl = 1
Quick Fail Count is above Quick Fault Set Threshold:
McpDiag.HwGtDrvGrp.OTW_PhsVL.QckFail_Cnt &gt; 
K_McpDiag.HwGtDrvGrp.OTW_PhsVL.QckFltSetThrsh
OR
Overall Fail Count is above Overall Fault Set Threshold:
McpDiag.HwGtDrvGrp.OTW_PhsVL.OvrllFail_Cnt &gt; 
K_McpDiag.HwGtDrvGrp.OTW_PhsVL.OvrllFltSetThrsh
OR
Consecutive Fail Timer is above Fault Set Threshold:
McpDiag.HwGtDrvGrp.OTW_PhsVL.ConsecutTm_Sec &gt; K_McpDiag.HwGtDrvGrp.OTW_PhsVL.ConsecutFltSetThrsh
ELSE K_McpDiag.HwGtDrvGrp.OTW_PhsVL.FstRtryEnbl = 0
No Mature Time (=NA)</t>
  </si>
  <si>
    <t>K_McpDiag.HwGtDrvGrp.OTW_PhsVL.EnblTyp</t>
  </si>
  <si>
    <t xml:space="preserve">IF K_McpDiag.HwGtDrvGrp.OTW_PhsVL.FstRtryEnbl = 0
Fault Flag from Low-level Driver
OTW bit reporting Overtemperature warning of IGBT must be below 95° warning to be not active.
RTE bit read (BIT 4)  from
Intrfc.InRaw.GDIC_LS_V_Status1 = 0
ELSE K_McpDiag.HwGtDrvGrp.OTW_PhsVL.FstRtryEnbl = 1
No De-Maturation (=NA) </t>
  </si>
  <si>
    <t>403 - HwGtDrvGrp.OTW_PhsWH
IGBT temperature detection and fault reporting</t>
  </si>
  <si>
    <t>Fault Flag from Low-level Driver
OTW bit reporting Overtemperature warning of IGBT must be over 95° warning to be active.
RTE bit read (BIT 4)  from
Intrfc.InRaw.GDIC_HS_W_Status1 should be 1
Built In Self Test is part of Shut Off Path Test.
To trigger this fault in application layer below override can be used:
K_McpIntrfc.Ovrrd.In.GDIC_HS_W_Status1.Sgnl =0x0010
K_McpIntrfc.Ovrrd.In.GDIC_HS_W_Status1.SgnlEnbl =1</t>
  </si>
  <si>
    <t>IF K_McpDiag.HwGtDrvGrp.OTW_PhsWH.FstRtryEnbl = 1
Quick Fail Count is above Quick Fault Set Threshold:
McpDiag.HwGtDrvGrp.OTW_PhsWH.QckFail_Cnt &gt; 
K_McpDiag.HwGtDrvGrp.OTW_PhsWH.QckFltSetThrsh
OR
Overall Fail Count is above Overall Fault Set Threshold:
McpDiag.HwGtDrvGrp.OTW_PhsWH.OvrllFail_Cnt &gt; 
K_McpDiag.HwGtDrvGrp.OTW_PhsWH.OvrllFltSetThrsh
OR
Consecutive Fail Timer is above Fault Set Threshold:
McpDiag.HwGtDrvGrp.OTW_PhsWH.ConsecutTm_Sec &gt; K_McpDiag.HwGtDrvGrp.OTW_PhsWH.ConsecutFltSetThrsh
ELSE K_McpDiag.HwGtDrvGrp.OTW_PhsWH.FstRtryEnbl = 0
No Mature Time (=NA)</t>
  </si>
  <si>
    <t>K_McpDiag.HwGtDrvGrp.OTW_PhsWH.EnblTyp</t>
  </si>
  <si>
    <t xml:space="preserve">IF K_McpDiag.HwGtDrvGrp.OTW_PhsWH.FstRtryEnbl = 0
Fault Flag from Low-level Driver
OTW bit reporting Overtemperature warning of IGBT must be below 95° warning to be not active.
RTE bit read (BIT 4)  from
Intrfc.InRaw.GDIC_HS_W_Status1 = 0
ELSE K_McpDiag.HwGtDrvGrp.OTW_PhsWH.FstRtryEnbl = 1
No De-Maturation (=NA) </t>
  </si>
  <si>
    <t>400 - HwGtDrvGrp.OTW_PhsWL
IGBT temperature detection and fault reporting</t>
  </si>
  <si>
    <t>Fault Flag from Low-level Driver
OTW bit reporting Overtemperature warning of IGBT must be over 95° warning to be active.
RTE bit read (BIT 4)  from
Intrfc.InRaw.GDIC_LS_W_Status1 should be 1
Built In Self Test is part of Shut Off Path Test.
To trigger this fault in application layer below override can be used:
K_McpIntrfc.Ovrrd.In.GDIC_LS_W_Status1.Sgnl =0x0010
K_McpIntrfc.Ovrrd.In.GDIC_LS_W_Status1.SgnlEnbl =1</t>
  </si>
  <si>
    <t>IF K_McpDiag.HwGtDrvGrp.OTW_PhsWL.FstRtryEnbl = 1
Quick Fail Count is above Quick Fault Set Threshold:
McpDiag.HwGtDrvGrp.OTW_PhsWL.QckFail_Cnt &gt; 
K_McpDiag.HwGtDrvGrp.OTW_PhsWL.QckFltSetThrsh
OR
Overall Fail Count is above Overall Fault Set Threshold:
McpDiag.HwGtDrvGrp.OTW_PhsWL.OvrllFail_Cnt &gt; 
K_McpDiag.HwGtDrvGrp.OTW_PhsWL.OvrllFltSetThrsh
OR
Consecutive Fail Timer is above Fault Set Threshold:
McpDiag.HwGtDrvGrp.OTW_PhsWL.ConsecutTm_Sec &gt; K_McpDiag.HwGtDrvGrp.OTW_PhsWL.ConsecutFltSetThrsh
ELSE K_McpDiag.HwGtDrvGrp.OTW_PhsWL.FstRtryEnbl = 0
No Mature Time (=NA)</t>
  </si>
  <si>
    <t>K_McpDiag.HwGtDrvGrp.OTW_PhsWL.EnblTyp</t>
  </si>
  <si>
    <t xml:space="preserve">IF K_McpDiag.HwGtDrvGrp.OTW_PhsWL.FstRtryEnbl = 0
Fault Flag from Low-level Driver
OTW bit reporting Overtemperature warning of IGBT must be below 95° warning to be not active.
RTE bit read (BIT 4)  from
Intrfc.InRaw.GDIC_LS_W_Status1 = 0
ELSE K_McpDiag.HwGtDrvGrp.OTW_PhsWL.FstRtryEnbl = 1
No De-Maturation (=NA) </t>
  </si>
  <si>
    <t>103 - HwGtDrvGrp.OutSt
Indicates the inverter output was disabled by the LLD even though the MCP wants the motor enabled</t>
  </si>
  <si>
    <t>23V Supply Signal is between Upper and Lower Threshold:
K_McpDiag.CalAddnl.OK_24V_OvrThrsh &gt; Intrfc.Hw.InRaw.Sply23vSgnl&gt; K_McpDiag.CalAddnl.OK_24V_UndrThrsh</t>
  </si>
  <si>
    <t>The Fail Condition is fulfilled (McpDiag.HwGtDrvGrp.OutSt.FltFlgFrmLLD = 1) if one of these four conditions is satisfied:
Checks if desired operating condition and current operating condition are matching each other in PWMing and Safe States. 
1) Inverter outputs* Disabled 
AND
Inverter FeedBack Status in normal PWM signal switching mode (active torque generation):
(McpDiag.In.Inv_Status_Fdbk == INV_PWM)
2) Inverter outputs* enabled 
AND
Inverter Status in 3PS (short circuit = zero torque) mode:
(Inv_Stat == INV_3PS)
AND
Inverter FeedBack Status in 3PST OR 3PSB mode:
(McpDiag.In.Inv_Status_Fdbk == INV_3PST) OR (McpDiag.In.Inv_Status_Fdbk == INV_3PSB)
3) Inverter outputs* enabled 
AND
Inverter Status in 6SO (six switch open = zero torque) mode:
(Inv_Stat == INV_6SO)
AND
Inverter FeedBack Status in 6SO mode:
(McpDiag.In.Inv_Status_Fdbk == INV_6SO)
4) Inverter Feedback Status is Indeterminate:
(McpDiag.In.Inv_Status_Fdbk == INV_INDETERMINATE)
*Inverter outputs:
- IntrfcT0.DutyLld.Prvt.OutputEnableT0
- McpProcStMchn.In.bLV2_OutputEnable
- McpProcStMchn.CfgDyn_OutputEnable</t>
  </si>
  <si>
    <t xml:space="preserve">K_McpDiag.HwGtDrvGrp.OutSt.LimFailSec </t>
  </si>
  <si>
    <t>K_McpDiag.HwGtDrvGrp.OutSt.EnblTyp</t>
  </si>
  <si>
    <t xml:space="preserve">The Pass Condition is fulfilled (McpDiag.HwGtDrvGrp.OutSt.FltFlgFrmLLD = 0) if these four conditions are not satisfied:
1) Inverter outputs* Disabled
AND
Inverter FeedBack Status in normal PWM signal switching mode (active torque generation):
(McpDiag.In.Inv_Status_Fdbk == INV_PWM)
2) Inverter outputs* enabled 
AND
Inverter Status in 3PS (short circuit = zero torque) mode:
(Inv_Stat == INV_3PS)
AND
Inverter FeedBack Status in 3PST OR 3PSB mode:
(McpDiag.In.Inv_Status_Fdbk == INV_3PST) OR (McpDiag.In.Inv_Status_Fdbk == INV_3PSB)
3) Inverter outputs* enabled 
AND
Inverter Status in 6SO (six switch open = zero torque) mode:
(Inv_Stat == INV_6SO)
AND
Inverter FeedBack Status in 6SO mode:
(McpDiag.In.Inv_Status_Fdbk == INV_6SO)
4) Inverter Feedback Status is Indeterminate:
(McpDiag.In.Inv_Status_Fdbk == INV_INDETERMINATE)
*Inverter outputs are:
- IntrfcT0.DutyLld.Prvt.OutputEnableT0
- McpProcStMchn.In.bLV2_OutputEnable
- McpProcStMchn.CfgDyn_OutputEnable
</t>
  </si>
  <si>
    <t xml:space="preserve">K_McpDiag.HwGtDrvGrp.OutSt.LimPassSec </t>
  </si>
  <si>
    <t>783 - HwGtDrvGrp.ParamLst
LLD reports that the Gate drivers have lost their programming</t>
  </si>
  <si>
    <t>5V Bottom Signal is between Upper and Lower Threshold:
K_McpDiag.CalAddnl.Ok_5V_GDIC_BOT_AI_OvrThrsh &gt; Intrfc.Hw.InRaw.Sply5vGDICBotSgnl &gt; K_McpDiag.CalAddnl.Ok_5V_GDIC_BOT_AI_UndrThrsh 
AND
23V Supply Signal is between Upper and Lower Threshold:
K_McpDiag.CalAddnl.OK_24V_OvrThrsh &gt; Intrfc.Hw.InRaw.Sply23vSgnl&gt; K_McpDiag.CalAddnl.OK_24V_UndrThrsh</t>
  </si>
  <si>
    <t>GDIC Parameters Lost is true:
Intrfc.InRaw.GDIC_Parameters_Lost = 1
LLD reports that the Gate drivers have lost their programming</t>
  </si>
  <si>
    <t>K_McpDiag.HwGtDrvGrp.ParamLst.EnblTyp</t>
  </si>
  <si>
    <t>GDIC Parameters Lost is false:
Intrfc.InRaw.GDIC_Parameters_Lost = 0</t>
  </si>
  <si>
    <t>1076 - HwGtDrvGrp.PwmDutySumPlaus_PhsU
PWM Feedback Rationality Phase U</t>
  </si>
  <si>
    <t>The sum of the overridden PWM duty plausibility values for phases U, V, and W must to be greater than a specified threshold value. Specifically:
K_McpIntrfc.Ovrrd.In.PwmDutySumPlaus_PhsU + K_McpIntrfc.Ovrrd.In.PwmDutySumPlaus_PhsV + K_McpIntrfc.Ovrrd.In.PwmDutySumPlaus_PhsW  &gt;  CalAddnl.PwmDutySumPlaus_Thrsh6SO
AND
23V Supply Signal is between Upper and Lower Threshold:
K_McpDiag.CalAddnl.OK_24V_OvrThrsh &gt; Intrfc.Hw.InRaw.Sply23vSgnl&gt; K_McpDiag.CalAddnl.OK_24V_UndrThrsh</t>
  </si>
  <si>
    <t>PWM duty plausibility values for phase U must be lower than Fail Threshold calibration:
McpDiag.InRaw.PwmDutySumPlaus_PhsU &lt; K_McpDiag.HwGtDrvGrp.PwmDutySumPlaus_PhsU.FltSetThrsh</t>
  </si>
  <si>
    <t xml:space="preserve">K_McpDiag.HwGtDrvGrp.PwmDutySumPlaus_PhsU.LimFailSec </t>
  </si>
  <si>
    <t>K_McpDiag.HwGtDrvGrp.PwmDutySumPlaus_PhsU.EnblTyp</t>
  </si>
  <si>
    <t>PWM duty plausibility values for phase U must be above or equal to the Pass Threshold:
McpDiag.InRaw.PwmDutySumPlaus_PhsU &gt;= K_McpDiag.HwGtDrvGrp.PwmDutySumPlaus_PhsU.FltHyst</t>
  </si>
  <si>
    <t>K_McpDiag.HwGtDrvGrp.PwmDutySumPlaus_PhsU.LimPassSec</t>
  </si>
  <si>
    <t>1077 - HwGtDrvGrp.PwmDutySumPlaus_PhsV
PWM Feedback Rationality Phase V</t>
  </si>
  <si>
    <t>PWM duty plausibility values for phase V must be lower than Fail Threshold calibration:
McpDiag.InRaw.PwmDutySumPlaus_PhsV &lt; K_McpDiag.HwGtDrvGrp.PwmDutySumPlaus_PhsV.FltSetThrsh</t>
  </si>
  <si>
    <t xml:space="preserve">K_McpDiag.HwGtDrvGrp.PwmDutySumPlaus_PhsV.LimFailSec </t>
  </si>
  <si>
    <t>K_McpDiag.HwGtDrvGrp.PwmDutySumPlaus_PhsV.EnblTyp</t>
  </si>
  <si>
    <t>PWM duty plausibility values for phase V must be above or equal to the Pass Threshold:
McpDiag.InRaw.PwmDutySumPlaus_PhsV &gt;= K_McpDiag.HwGtDrvGrp.PwmDutySumPlaus_PhsV.FltHyst</t>
  </si>
  <si>
    <t>K_McpDiag.HwGtDrvGrp.PwmDutySumPlaus_PhsV.LimPassSec</t>
  </si>
  <si>
    <t>1078 - HwGtDrvGrp.PwmDutySumPlaus_PhsW
PWM Feedback Rationality Phase W</t>
  </si>
  <si>
    <t>PWM duty plausibility values for phase W must be lower than Fail Threshold calibration:
McpDiag.InRaw.PwmDutySumPlaus_PhsW &lt; K_McpDiag.HwGtDrvGrp.PwmDutySumPlaus_PhsW.FltSetThrsh</t>
  </si>
  <si>
    <t xml:space="preserve">K_McpDiag.HwGtDrvGrp.PwmDutySumPlaus_PhsW.LimFailSec </t>
  </si>
  <si>
    <t>K_McpDiag.HwGtDrvGrp.PwmDutySumPlaus_PhsW.EnblTyp</t>
  </si>
  <si>
    <t>PWM duty plausibility values for phase W must be above or equal to the Pass Threshold:
McpDiag.InRaw.PwmDutySumPlaus_PhsW &gt;= K_McpDiag.HwGtDrvGrp.PwmDutySumPlaus_PhsW.FltHyst</t>
  </si>
  <si>
    <t>K_McpDiag.HwGtDrvGrp.PwmDutySumPlaus_PhsW.LimPassSec</t>
  </si>
  <si>
    <t>383 - HwGtDrvGrp.SC_PhsUH
IGBT Short Circuit</t>
  </si>
  <si>
    <t>Fault Flag from Low-level Driver
SC bit reporting power device IGBT short-circuit by current sensing must be over 1V threshold to be active
RTE bit read (BIT 1)  from
Intrfc.InRaw.GDIC_HS_U_Status1 should be 1
Built In Self Test is part of Shut Off Path Test.
To trigger this fault in application layer below override can be used:
K_McpIntrfc.Ovrrd.In.GDIC_HS_U_Status1.Sgnl =0x0002
K_McpIntrfc.Ovrrd.In.GDIC_HS_U_Status1.SgnlEnbl =1</t>
  </si>
  <si>
    <t>IF K_McpDiag.HwGtDrvGrp.SC_PhsUH.FstRtryEnbl = 1
Quick Fail Count is above Quick Fault Set Threshold:
McpDiag.HwGtDrvGrp.SC_PhsUH.QckFail_Cnt &gt; 
K_McpDiag.HwGtDrvGrp.SC_PhsUH.QckFltSetThrsh
OR
Overall Fail Count is above Overall Fault Set Threshold:
McpDiag.HwGtDrvGrp.SC_PhsUH.OvrllFail_Cnt &gt; 
K_McpDiag.HwGtDrvGrp.SC_PhsUH.OvrllFltSetThrsh
OR
Consecutive Fail Timer is above Fault Set Threshold:
McpDiag.HwGtDrvGrp.SC_PhsUH.ConsecutTm_Sec &gt; K_McpDiag.HwGtDrvGrp.SC_PhsUH.ConsecutFltSetThrsh
ELSE K_McpDiag.HwGtDrvGrp.SC_PhsUH.FstRtryEnbl = 0
No Mature Time (=NA)</t>
  </si>
  <si>
    <t>K_McpDiag.HwGtDrvGrp.SC_PhsUH.EnblTyp</t>
  </si>
  <si>
    <t xml:space="preserve">IF K_McpDiag.HwGtDrvGrp.SC_PhsUH.FstRtryEnbl = 0
Fault Flag from Low-level Driver
SC bit reporting power device IGBT short-circuit by current sensing must be below 1V threshold to be not active
RTE bit read (BIT 1)  from
Intrfc.InRaw.GDIC_HS_U_Status1 = 0
ELSE K_McpDiag.HwGtDrvGrp.SC_PhsUH.FstRtryEnbl = 1
No De-Maturation (=NA) </t>
  </si>
  <si>
    <t>380 - HwGtDrvGrp.SC_PhsUL
IGBT Short Circuit</t>
  </si>
  <si>
    <t>Fault Flag from Low-level Driver
SC bit reporting power device IGBT short-circuit by current sensing must be over 1V threshold to be active
RTE bit read (BIT 1)  from
Intrfc.InRaw.GDIC_LS_U_Status1 should be 1
Built In Self Test is part of Shut Off Path Test.
To trigger this fault in application layer below override can be used:
K_McpIntrfc.Ovrrd.In.GDIC_LS_U_Status1.Sgnl =0x0002
K_McpIntrfc.Ovrrd.In.GDIC_LS_U_Status1.SgnlEnbl =1</t>
  </si>
  <si>
    <t>IF K_McpDiag.HwGtDrvGrp.SC_PhsUL.FstRtryEnbl = 1
Quick Fail Count is above Quick Fault Set Threshold:
McpDiag.HwGtDrvGrp.SC_PhsUL.QckFail_Cnt &gt; 
K_McpDiag.HwGtDrvGrp.SC_PhsUL.QckFltSetThrsh
OR
Overall Fail Count is above Overall Fault Set Threshold:
McpDiag.HwGtDrvGrp.SC_PhsUL.OvrllFail_Cnt &gt; 
K_McpDiag.HwGtDrvGrp.SC_PhsUL.OvrllFltSetThrsh
OR
Consecutive Fail Timer is above Fault Set Threshold:
McpDiag.HwGtDrvGrp.SC_PhsUL.ConsecutTm_Sec &gt; K_McpDiag.HwGtDrvGrp.SC_PhsUL.ConsecutFltSetThrsh
ELSE K_McpDiag.HwGtDrvGrp.SC_PhsUL.FstRtryEnbl = 0
No Mature Time (=NA)</t>
  </si>
  <si>
    <t>K_McpDiag.HwGtDrvGrp.SC_PhsUL.EnblTyp</t>
  </si>
  <si>
    <t xml:space="preserve">IF K_McpDiag.HwGtDrvGrp.SC_PhsUL.FstRtryEnbl = 0
Fault Flag from Low-level Driver
SC bit reporting power device IGBT short-circuit by current sensing must be below 1V threshold to be not active
RTE bit read (BIT 1)  from
Intrfc.InRaw.GDIC_LS_U_Status1 = 0
ELSE K_McpDiag.HwGtDrvGrp.SC_PhsUL.FstRtryEnbl = 1
No De-Maturation (=NA) </t>
  </si>
  <si>
    <t>384 - HwGtDrvGrp.SC_PhsVH
IGBT Short Circuit</t>
  </si>
  <si>
    <t>Fault Flag from Low-level Driver
SC bit reporting power device IGBT short-circuit by current sensing must be over 1V threshold to be active
RTE bit read (BIT 1)  from
Intrfc.InRaw.GDIC_HS_V_Status1 should be 1
Built In Self Test is part of Shut Off Path Test.
To trigger this fault in application layer below override can be used:
K_McpIntrfc.Ovrrd.In.GDIC_HS_V_Status1.Sgnl =0x0002
K_McpIntrfc.Ovrrd.In.GDIC_HS_V_Status1.SgnlEnbl =1</t>
  </si>
  <si>
    <t>IF K_McpDiag.HwGtDrvGrp.SC_PhsVH.FstRtryEnbl = 1
Quick Fail Count is above Quick Fault Set Threshold:
McpDiag.HwGtDrvGrp.SC_PhsVH.QckFail_Cnt &gt; 
K_McpDiag.HwGtDrvGrp.SC_PhsVH.QckFltSetThrsh
OR
Overall Fail Count is above Overall Fault Set Threshold:
McpDiag.HwGtDrvGrp.SC_PhsVH.OvrllFail_Cnt &gt; 
K_McpDiag.HwGtDrvGrp.SC_PhsVH.OvrllFltSetThrsh
OR
Consecutive Fail Timer is above Fault Set Threshold:
McpDiag.HwGtDrvGrp.SC_PhsVH.ConsecutTm_Sec &gt; K_McpDiag.HwGtDrvGrp.SC_PhsVH.ConsecutFltSetThrsh
ELSE K_McpDiag.HwGtDrvGrp.SC_PhsVH.FstRtryEnbl = 0
No Mature Time (=NA)</t>
  </si>
  <si>
    <t>K_McpDiag.HwGtDrvGrp.SC_PhsVH.EnblTyp</t>
  </si>
  <si>
    <t xml:space="preserve">IF K_McpDiag.HwGtDrvGrp.SC_PhsVH.FstRtryEnbl = 0
Fault Flag from Low-level Driver
SC bit reporting power device IGBT short-circuit by current sensing must be below 1V threshold to be not active
RTE bit read (BIT 1)  from
Intrfc.InRaw.GDIC_HS_V_Status1 = 0
ELSE K_McpDiag.HwGtDrvGrp.SC_PhsVH.FstRtryEnbl = 1
No De-Maturation (=NA) </t>
  </si>
  <si>
    <t>381 - HwGtDrvGrp.SC_PhsVL
IGBT Short Circuit</t>
  </si>
  <si>
    <t>Fault Flag from Low-level Driver
SC bit reporting power device IGBT short-circuit by current sensing must be over 1V threshold to be active
RTE bit read (BIT 1)  from
Intrfc.InRaw.GDIC_LS_V_Status1 should be 1
Built In Self Test is part of Shut Off Path Test.
To trigger this fault in application layer below override can be used:
K_McpIntrfc.Ovrrd.In.GDIC_LS_V_Status1.Sgnl =0x0002
K_McpIntrfc.Ovrrd.In.GDIC_LS_V_Status1.SgnlEnbl =1</t>
  </si>
  <si>
    <t>IF K_McpDiag.HwGtDrvGrp.SC_PhsVL.FstRtryEnbl = 1
Quick Fail Count is above Quick Fault Set Threshold:
McpDiag.HwGtDrvGrp.SC_PhsVL.QckFail_Cnt &gt; 
K_McpDiag.HwGtDrvGrp.SC_PhsVL.QckFltSetThrsh
OR
Overall Fail Count is above Overall Fault Set Threshold:
McpDiag.HwGtDrvGrp.SC_PhsVL.OvrllFail_Cnt &gt; 
K_McpDiag.HwGtDrvGrp.SC_PhsVL.OvrllFltSetThrsh
OR
Consecutive Fail Timer is above Fault Set Threshold:
McpDiag.HwGtDrvGrp.SC_PhsVL.ConsecutTm_Sec &gt; K_McpDiag.HwGtDrvGrp.SC_PhsVL.ConsecutFltSetThrsh
ELSE K_McpDiag.HwGtDrvGrp.SC_PhsVL.FstRtryEnbl = 0
No Mature Time (=NA)</t>
  </si>
  <si>
    <t>K_McpDiag.HwGtDrvGrp.SC_PhsVL.EnblTyp</t>
  </si>
  <si>
    <t xml:space="preserve">IF K_McpDiag.HwGtDrvGrp.SC_PhsVL.FstRtryEnbl = 0
Fault Flag from Low-level Driver
SC bit reporting power device IGBT short-circuit by current sensing must be below 1V threshold to be not active
RTE bit read (BIT 1)  from
Intrfc.InRaw.GDIC_LS_V_Status1 = 0
ELSE K_McpDiag.HwGtDrvGrp.SC_PhsVL.FstRtryEnbl = 1
No De-Maturation (=NA) </t>
  </si>
  <si>
    <t>385 - HwGtDrvGrp.SC_PhsWH
IGBT Short Circuit</t>
  </si>
  <si>
    <t>Fault Flag from Low-level Driver
SC bit reporting power device IGBT short-circuit by current sensing must be over 1V threshold to be active
RTE bit read (BIT 1)  from
Intrfc.InRaw.GDIC_HS_W_Status1 should be 1
Built In Self Test is part of Shut Off Path Test.
To trigger this fault in application layer below override can be used:
K_McpIntrfc.Ovrrd.In.GDIC_HS_W_Status1.Sgnl =0x0002
K_McpIntrfc.Ovrrd.In.GDIC_HS_W_Status1.SgnlEnbl =1</t>
  </si>
  <si>
    <t>IF K_McpDiag.HwGtDrvGrp.SC_PhsWH.FstRtryEnbl = 1
Quick Fail Count is above Quick Fault Set Threshold:
McpDiag.HwGtDrvGrp.SC_PhsWH.QckFail_Cnt &gt; 
K_McpDiag.HwGtDrvGrp.SC_PhsWH.QckFltSetThrsh
OR
Overall Fail Count is above Overall Fault Set Threshold:
McpDiag.HwGtDrvGrp.SC_PhsWH.OvrllFail_Cnt &gt; 
K_McpDiag.HwGtDrvGrp.SC_PhsWH.OvrllFltSetThrsh
OR
Consecutive Fail Timer is above Fault Set Threshold:
McpDiag.HwGtDrvGrp.SC_PhsWH.ConsecutTm_Sec &gt; K_McpDiag.HwGtDrvGrp.SC_PhsWH.ConsecutFltSetThrsh
ELSE K_McpDiag.HwGtDrvGrp.SC_PhsWH.FstRtryEnbl = 0
No Mature Time (=NA)</t>
  </si>
  <si>
    <t>K_McpDiag.HwGtDrvGrp.SC_PhsWH.EnblTyp</t>
  </si>
  <si>
    <t xml:space="preserve">IF K_McpDiag.HwGtDrvGrp.SC_PhsWH.FstRtryEnbl = 0
Fault Flag from Low-level Driver
SC bit reporting power device IGBT short-circuit by current sensing must be below 1V threshold to be not active
RTE bit read (BIT 1)  from
Intrfc.InRaw.GDIC_HS_W_Status1 = 0
ELSE K_McpDiag.HwGtDrvGrp.SC_PhsWH.FstRtryEnbl = 1
No De-Maturation (=NA) </t>
  </si>
  <si>
    <t>382 - HwGtDrvGrp.SC_PhsWL
IGBT Short Circuit</t>
  </si>
  <si>
    <t>Fault Flag from Low-level Driver
SC bit reporting power device IGBT short-circuit by current sensing must be over 1V threshold to be active
RTE bit read (BIT 1)  from
Intrfc.InRaw.GDIC_LS_W_Status1 should be 1
Built In Self Test is part of Shut Off Path Test.
To trigger this fault in application layer below override can be used:
K_McpIntrfc.Ovrrd.In.GDIC_LS_W_Status1.Sgnl =0x0002
K_McpIntrfc.Ovrrd.In.GDIC_LS_W_Status1.SgnlEnbl =1</t>
  </si>
  <si>
    <t>IF K_McpDiag.HwGtDrvGrp.SC_PhsWL.FstRtryEnbl = 1
Quick Fail Count is above Quick Fault Set Threshold:
McpDiag.HwGtDrvGrp.SC_PhsWL.QckFail_Cnt &gt; 
K_McpDiag.HwGtDrvGrp.SC_PhsWL.QckFltSetThrsh
OR
Overall Fail Count is above Overall Fault Set Threshold:
McpDiag.HwGtDrvGrp.SC_PhsWL.OvrllFail_Cnt &gt; 
K_McpDiag.HwGtDrvGrp.SC_PhsWL.OvrllFltSetThrsh
OR
Consecutive Fail Timer is above Fault Set Threshold:
McpDiag.HwGtDrvGrp.SC_PhsWL.ConsecutTm_Sec &gt; K_McpDiag.HwGtDrvGrp.SC_PhsWL.ConsecutFltSetThrsh
ELSE K_McpDiag.HwGtDrvGrp.SC_PhsWL.FstRtryEnbl = 0
No Mature Time (=NA)</t>
  </si>
  <si>
    <t>K_McpDiag.HwGtDrvGrp.SC_PhsWL.EnblTyp</t>
  </si>
  <si>
    <t xml:space="preserve">IF K_McpDiag.HwGtDrvGrp.SC_PhsWL.FstRtryEnbl = 0
Fault Flag from Low-level Driver
SC bit reporting power device IGBT short-circuit by current sensing must be below 1V threshold to be not active
RTE bit read (BIT 1)  from
Intrfc.InRaw.GDIC_LS_W_Status1 = 0
ELSE K_McpDiag.HwGtDrvGrp.SC_PhsWL.FstRtryEnbl = 1
No De-Maturation (=NA) </t>
  </si>
  <si>
    <t>353 - HwGtDrvGrp.SPI_PhsUH
Gate Driver SPI Communication Error</t>
  </si>
  <si>
    <t>Fault Flag from Low-level Driver
SPIERR bit that reports incorrect SPI message frame or CRC error must be active.
RTE bit read (BIT 6)  from
Intrfc.InRaw.GDIC_HS_U_Status2 should be 1
Built In Self Test is part of Shut Off Path Test.
To trigger this fault in application layer below override can be used:
K_McpIntrfc.Ovrrd.In.GDIC_HS_U_Status2.Sgnl =0x0040
K_McpIntrfc.Ovrrd.In.GDIC_HS_U_Status2.SgnlEnbl =1</t>
  </si>
  <si>
    <t>IF K_McpDiag.HwGtDrvGrp.SPI_PhsUH.FstRtryEnbl = 1
Quick Fail Count is above Quick Fault Set Threshold:
McpDiag.HwGtDrvGrp.SPI_PhsUH.QckFail_Cnt &gt; 
K_McpDiag.HwGtDrvGrp.SPI_PhsUH.QckFltSetThrsh
OR
Overall Fail Count is above Overall Fault Set Threshold:
McpDiag.HwGtDrvGrp.SPI_PhsUH.OvrllFail_Cnt &gt; 
K_McpDiag.HwGtDrvGrp.SPI_PhsUH.OvrllFltSetThrsh
OR
Consecutive Fail Timer is above Fault Set Threshold:
McpDiag.HwGtDrvGrp.SPI_PhsUH.ConsecutTm_Sec &gt; K_McpDiag.HwGtDrvGrp.SPI_PhsUH.ConsecutFltSetThrsh
ELSE K_McpDiag.HwGtDrvGrp.SPI_PhsUH.FstRtryEnbl = 0
No Mature Time (=NA)</t>
  </si>
  <si>
    <t>K_McpDiag.HwGtDrvGrp.SPI_PhsUH.EnblTyp</t>
  </si>
  <si>
    <t xml:space="preserve">IF K_McpDiag.HwGtDrvGrp.SPI_PhsUH.FstRtryEnbl = 0
Fault Flag from Low-level Drive
SPIERR bit that reports incorrect SPI message frame or CRC error must be not active.
RTE bit read (BIT 6)  from
Intrfc.InRaw.GDIC_HS_U_Status2 = 0
ELSE K_McpDiag.HwGtDrvGrp.SPI_PhsUH.FstRtryEnbl = 1
No De-Maturation (=NA) </t>
  </si>
  <si>
    <t>350 - HwGtDrvGrp.SPI_PhsUL
Gate Driver SPI Communication Error</t>
  </si>
  <si>
    <t>Fault Flag from Low-level Driver
SPIERR bit that reports incorrect SPI message frame or CRC error must be active.
RTE bit read (BIT 6)  from
Intrfc.InRaw.GDIC_LS_U_Status2 should be 1
Built In Self Test is part of Shut Off Path Test.
To trigger this fault in application layer below override can be used:
K_McpIntrfc.Ovrrd.In.GDIC_LS_U_Status2.Sgnl =0x0040
K_McpIntrfc.Ovrrd.In.GDIC_LS_U_Status2.SgnlEnbl =1</t>
  </si>
  <si>
    <t>IF K_McpDiag.HwGtDrvGrp.SPI_PhsUL.FstRtryEnbl = 1
Quick Fail Count is above Quick Fault Set Threshold:
McpDiag.HwGtDrvGrp.SPI_PhsUL.QckFail_Cnt &gt; 
K_McpDiag.HwGtDrvGrp.SPI_PhsUL.QckFltSetThrsh
OR
Overall Fail Count is above Overall Fault Set Threshold:
McpDiag.HwGtDrvGrp.SPI_PhsUL.OvrllFail_Cnt &gt; 
K_McpDiag.HwGtDrvGrp.SPI_PhsUL.OvrllFltSetThrsh
OR
Consecutive Fail Timer is above Fault Set Threshold:
McpDiag.HwGtDrvGrp.SPI_PhsUL.ConsecutTm_Sec &gt; K_McpDiag.HwGtDrvGrp.SPI_PhsUL.ConsecutFltSetThrsh
ELSE K_McpDiag.HwGtDrvGrp.SPI_PhsUL.FstRtryEnbl = 0
No Mature Time (=NA)</t>
  </si>
  <si>
    <t>K_McpDiag.HwGtDrvGrp.SPI_PhsUL.EnblTyp</t>
  </si>
  <si>
    <t xml:space="preserve">IF K_McpDiag.HwGtDrvGrp.SPI_PhsUL.FstRtryEnbl = 0
Fault Flag from Low-level Driver
SPIERR bit that reports incorrect SPI message frame or CRC error must be not active.
RTE bit read (BIT 6)  from
Intrfc.InRaw.GDIC_LS_U_Status2 = 0
ELSE K_McpDiag.HwGtDrvGrp.SPI_PhsUL.FstRtryEnbl = 1
No De-Maturation (=NA) </t>
  </si>
  <si>
    <t>354 - HwGtDrvGrp.SPI_PhsVH
Gate Driver SPI Communication Error</t>
  </si>
  <si>
    <t>Fault Flag from Low-level Driver
SPIERR bit that reports incorrect SPI message frame or CRC error must be active.
RTE bit read (BIT 6)  from
Intrfc.InRaw.GDIC_HS_V_Status2 should be 1
Built In Self Test is part of Shut Off Path Test.
To trigger this fault in application layer below override can be used:
K_McpIntrfc.Ovrrd.In.GDIC_HS_V_Status2.Sgnl =0x0040
K_McpIntrfc.Ovrrd.In.GDIC_HS_V_Status2.SgnlEnbl =1</t>
  </si>
  <si>
    <t>IF K_McpDiag.HwGtDrvGrp.SPI_PhsVH.FstRtryEnbl = 1
Quick Fail Count is above Quick Fault Set Threshold:
McpDiag.HwGtDrvGrp.SPI_PhsVH.QckFail_Cnt &gt; 
K_McpDiag.HwGtDrvGrp.SPI_PhsVH.QckFltSetThrsh
OR
Overall Fail Count is above Overall Fault Set Threshold:
McpDiag.HwGtDrvGrp.SPI_PhsVH.OvrllFail_Cnt &gt; 
K_McpDiag.HwGtDrvGrp.SPI_PhsVH.OvrllFltSetThrsh
OR
Consecutive Fail Timer is above Fault Set Threshold:
McpDiag.HwGtDrvGrp.SPI_PhsVH.ConsecutTm_Sec &gt; K_McpDiag.HwGtDrvGrp.SPI_PhsVH.ConsecutFltSetThrsh
ELSE K_McpDiag.HwGtDrvGrp.SPI_PhsVH.FstRtryEnbl = 0
No Mature Time (=NA)</t>
  </si>
  <si>
    <t>K_McpDiag.HwGtDrvGrp.SPI_PhsVH.EnblTyp</t>
  </si>
  <si>
    <t xml:space="preserve">IF K_McpDiag.HwGtDrvGrp.SPI_PhsVH.FstRtryEnbl = 0
Fault Flag from Low-level Driver
SPIERR bit that reports incorrect SPI message frame or CRC error must be not active.
RTE bit read (BIT 6)  from
Intrfc.InRaw.GDIC_HS_V_Status2 = 0
ELSE K_McpDiag.HwGtDrvGrp.SPI_PhsVH.FstRtryEnbl = 1
No De-Maturation (=NA) </t>
  </si>
  <si>
    <t>351 - HwGtDrvGrp.SPI_PhsVL
Gate Driver SPI Communication Error</t>
  </si>
  <si>
    <t>Fault Flag from Low-level Driver
SPIERR bit that reports incorrect SPI message frame or CRC error must be active.
RTE bit read (BIT 6)  from
Intrfc.InRaw.GDIC_LS_V_Status2 should be 1
Built In Self Test is part of Shut Off Path Test.
To trigger this fault in application layer below override can be used:
K_McpIntrfc.Ovrrd.In.GDIC_LS_V_Status2.Sgnl =0x0040
K_McpIntrfc.Ovrrd.In.GDIC_LS_V_Status2.SgnlEnbl =1</t>
  </si>
  <si>
    <t>IF K_McpDiag.HwGtDrvGrp.SPI_PhsVL.FstRtryEnbl = 1
Quick Fail Count is above Quick Fault Set Threshold:
McpDiag.HwGtDrvGrp.SPI_PhsVL.QckFail_Cnt &gt; 
K_McpDiag.HwGtDrvGrp.SPI_PhsVL.QckFltSetThrsh
OR
Overall Fail Count is above Overall Fault Set Threshold:
McpDiag.HwGtDrvGrp.SPI_PhsVL.OvrllFail_Cnt &gt; 
K_McpDiag.HwGtDrvGrp.SPI_PhsVL.OvrllFltSetThrsh
OR
Consecutive Fail Timer is above Fault Set Threshold:
McpDiag.HwGtDrvGrp.SPI_PhsVL.ConsecutTm_Sec &gt; K_McpDiag.HwGtDrvGrp.SPI_PhsVL.ConsecutFltSetThrsh
ELSE K_McpDiag.HwGtDrvGrp.SPI_PhsVL.FstRtryEnbl = 0
No Mature Time (=NA)</t>
  </si>
  <si>
    <t>K_McpDiag.HwGtDrvGrp.SPI_PhsVL.EnblTyp</t>
  </si>
  <si>
    <t xml:space="preserve">IF K_McpDiag.HwGtDrvGrp.SPI_PhsVL.FstRtryEnbl = 0
Fault Flag from Low-level Driver
SPIERR bit that reports incorrect SPI message frame or CRC error must be not active.
RTE bit read (BIT 6)  from
Intrfc.InRaw.GDIC_LS_V_Status2 = 0
ELSE K_McpDiag.HwGtDrvGrp.SPI_PhsVL.FstRtryEnbl = 1
No De-Maturation (=NA) </t>
  </si>
  <si>
    <t>355 - HwGtDrvGrp.SPI_PhsWH
Gate Driver SPI Communication Error</t>
  </si>
  <si>
    <t>Fault Flag from Low-level Driver
SPIERR bit that reports incorrect SPI message frame or CRC error must be active.
RTE bit read (BIT 6)  from
Intrfc.InRaw.GDIC_HS_W_Status2 should be 1
Built In Self Test is part of Shut Off Path Test.
To trigger this fault in application layer below override can be used:
K_McpIntrfc.Ovrrd.In.GDIC_HS_W_Status2.Sgnl =0x0040
K_McpIntrfc.Ovrrd.In.GDIC_HS_W_Status2.SgnlEnbl =1</t>
  </si>
  <si>
    <t>IF K_McpDiag.HwGtDrvGrp.SPI_PhsWH.FstRtryEnbl = 1
Quick Fail Count is above Quick Fault Set Threshold:
McpDiag.HwGtDrvGrp.SPI_PhsWH.QckFail_Cnt &gt; 
K_McpDiag.HwGtDrvGrp.SPI_PhsWH.QckFltSetThrsh
OR
Overall Fail Count is above Overall Fault Set Threshold:
McpDiag.HwGtDrvGrp.SPI_PhsWH.OvrllFail_Cnt &gt; 
K_McpDiag.HwGtDrvGrp.SPI_PhsWH.OvrllFltSetThrsh
OR
Consecutive Fail Timer is above Fault Set Threshold:
McpDiag.HwGtDrvGrp.SPI_PhsWH.ConsecutTm_Sec &gt; K_McpDiag.HwGtDrvGrp.SPI_PhsWH.ConsecutFltSetThrsh
ELSE K_McpDiag.HwGtDrvGrp.SPI_PhsWH.FstRtryEnbl = 0
No Mature Time (=NA)</t>
  </si>
  <si>
    <t>K_McpDiag.HwGtDrvGrp.SPI_PhsWH.EnblTyp</t>
  </si>
  <si>
    <t xml:space="preserve">IF K_McpDiag.HwGtDrvGrp.SPI_PhsWH.FstRtryEnbl = 0
Fault Flag from Low-level Driver
SPIERR bit that reports incorrect SPI message frame or CRC error must be not active.
RTE bit read (BIT 6)  from
Intrfc.InRaw.GDIC_HS_W_Status2 = 0
ELSE K_McpDiag.HwGtDrvGrp.SPI_PhsWH.FstRtryEnbl = 1
No De-Maturation (=NA) </t>
  </si>
  <si>
    <t>352 - HwGtDrvGrp.SPI_PhsWL
Gate Driver SPI Communication Error</t>
  </si>
  <si>
    <t>Fault Flag from Low-level Driver
SPIERR bit that reports incorrect SPI message frame or CRC error must be active.
RTE bit read (BIT 6)  from
Intrfc.InRaw.GDIC_LS_W_Status2 should be 1
Built In Self Test is part of Shut Off Path Test.
To trigger this fault in application layer below override can be used:
K_McpIntrfc.Ovrrd.In.GDIC_LS_W_Status2.Sgnl =0x0040
K_McpIntrfc.Ovrrd.In.GDIC_LS_W_Status2.SgnlEnbl =1</t>
  </si>
  <si>
    <t>IF K_McpDiag.HwGtDrvGrp.SPI_PhsWL.FstRtryEnbl = 1
Quick Fail Count is above Quick Fault Set Threshold:
McpDiag.HwGtDrvGrp.SPI_PhsWL.QckFail_Cnt &gt; 
K_McpDiag.HwGtDrvGrp.SPI_PhsWL.QckFltSetThrsh
OR
Overall Fail Count is above Overall Fault Set Threshold:
McpDiag.HwGtDrvGrp.SPI_PhsWL.OvrllFail_Cnt &gt; 
K_McpDiag.HwGtDrvGrp.SPI_PhsWL.OvrllFltSetThrsh
OR
Consecutive Fail Timer is above Fault Set Threshold:
McpDiag.HwGtDrvGrp.SPI_PhsWL.ConsecutTm_Sec &gt; K_McpDiag.HwGtDrvGrp.SPI_PhsWL.ConsecutFltSetThrsh
ELSE K_McpDiag.HwGtDrvGrp.SPI_PhsWL.FstRtryEnbl = 0
No Mature Time (=NA)</t>
  </si>
  <si>
    <t>K_McpDiag.HwGtDrvGrp.SPI_PhsWL.EnblTyp</t>
  </si>
  <si>
    <t xml:space="preserve">IF K_McpDiag.HwGtDrvGrp.SPI_PhsWL.FstRtryEnbl = 0
Fault Flag from Low-level Driver
SPIERR bit that reports incorrect SPI message frame or CRC error must be not active.
RTE bit read (BIT 6)  from
Intrfc.InRaw.GDIC_LS_W_Status2 = 0
ELSE K_McpDiag.HwGtDrvGrp.SPI_PhsWL.FstRtryEnbl = 1
No De-Maturation (=NA) </t>
  </si>
  <si>
    <t>555 - HwGtDrvGrp.UVLO_BOT_FLT_FB_HW
Gate Driver Voltage is Out Of Range</t>
  </si>
  <si>
    <t>Fault Flag from Low-level Driver
RTE bit read (BIT 11)  from
IntrfcT1.In.Inv_Status_1 should be 1
Built In Self Test is part of Shut Off Path Test.
To trigger this fault in application layer below override can be used:
K_McpIntrfc.Ovrrd.In.Inv_Status_1.Sgnl =0x00000800
K_McpIntrfc.Ovrrd.In.Inv_Status_1.SgnlEnbl =1
(M_UVLO_BOT_DIG_IN = 1)
this flag gets true if 
Gate Driver supply Voltage too low LS GDIC</t>
  </si>
  <si>
    <t>IF K_McpDiag.HwGtDrvGrp.UVLO_BOT_FLT_FB_HW.FstRtryEnbl = 1
Quick Fail Count is above Quick Fault Set Threshold:
McpDiag.HwGtDrvGrp.UVLO_BOT_FLT_FB_HW.QckFail_Cnt &gt; 
K_McpDiag.HwGtDrvGrp.UVLO_BOT_FLT_FB_HW.QckFltSetThrsh
OR
Overall Fail Count is above Overall Fault Set Threshold:
McpDiag.HwGtDrvGrp.UVLO_BOT_FLT_FB_HW.OvrllFail_Cnt &gt; 
K_McpDiag.HwGtDrvGrp.UVLO_BOT_FLT_FB_HW.OvrllFltSetThrsh
OR
Consecutive Fail Timer is above Fault Set Threshold:
McpDiag.HwGtDrvGrp.UVLO_BOT_FLT_FB_HW.ConsecutTm_Sec &gt; K_McpDiag.HwGtDrvGrp.UVLO_BOT_FLT_FB_HW.ConsecutFltSetThrsh
ELSE K_McpDiag.HwGtDrvGrp.UVLO_BOT_FLT_FB_HW.FstRtryEnbl = 0
No Mature Time (=NA)</t>
  </si>
  <si>
    <t>K_McpDiag.HwGtDrvGrp.UVLO_BOT_FLT_FB_HW.EnblTyp</t>
  </si>
  <si>
    <t xml:space="preserve">IF K_McpDiag.HwGtDrvGrp.UVLO_BOT_FLT_FB_HW.FstRtryEnbl = 0
Fault Flag from Low-level Driver
RTE bit read (BIT 11)  from
IntrfcT1.In.Inv_Status_1 = 0
ELSE K_McpDiag.HwGtDrvGrp.UVLO_BOT_FLT_FB_HW.FstRtryEnbl = 1
No De-Maturation (=NA) </t>
  </si>
  <si>
    <t>553 - HwGtDrvGrp.UVLO_TOP_FLT_FB_HW
Gate Driver Voltage is Out Of Range</t>
  </si>
  <si>
    <t>Fault Flag from Low-level Driver
RTE bit read (BIT 9)  from
IntrfcT1.In.Inv_Status_1 should be 1
Built In Self Test is part of Shut Off Path Test.
To trigger this fault in application layer below override can be used:
K_McpIntrfc.Ovrrd.In.Inv_Status_1.Sgnl =0x00000200
K_McpIntrfc.Ovrrd.In.Inv_Status_1.SgnlEnbl =1
(M_UVLO_TOP_DIG_IN = 1)
this flag gets true if 
Gate Driver supply Voltage too low HS GDIC</t>
  </si>
  <si>
    <t>IF K_McpDiag.HwGtDrvGrp.UVLO_TOP_FLT_FB_HW.FstRtryEnbl = 1
Quick Fail Count is above Quick Fault Set Threshold:
McpDiag.HwGtDrvGrp.UVLO_TOP_FLT_FB_HW.QckFail_Cnt &gt; 
K_McpDiag.HwGtDrvGrp.UVLO_TOP_FLT_FB_HW.QckFltSetThrsh
OR
Overall Fail Count is above Overall Fault Set Threshold:
McpDiag.HwGtDrvGrp.UVLO_TOP_FLT_FB_HW.OvrllFail_Cnt &gt; 
K_McpDiag.HwGtDrvGrp.UVLO_TOP_FLT_FB_HW.OvrllFltSetThrsh
OR
Consecutive Fail Timer is above Fault Set Threshold:
McpDiag.HwGtDrvGrp.UVLO_TOP_FLT_FB_HW.ConsecutTm_Sec &gt; K_McpDiag.HwGtDrvGrp.UVLO_TOP_FLT_FB_HW.ConsecutFltSetThrsh
ELSE K_McpDiag.HwGtDrvGrp.UVLO_TOP_FLT_FB_HW.FstRtryEnbl = 0
No Mature Time (=NA)</t>
  </si>
  <si>
    <t>K_McpDiag.HwGtDrvGrp.UVLO_TOP_FLT_FB_HW.EnblTyp</t>
  </si>
  <si>
    <t xml:space="preserve">IF K_McpDiag.HwGtDrvGrp.UVLO_TOP_FLT_FB_HW.FstRtryEnbl = 0
Fault Flag from Low-level Driver
RTE bit read (BIT 9)  from
IntrfcT1.In.Inv_Status_1 = 0
ELSE K_McpDiag.HwGtDrvGrp.UVLO_TOP_FLT_FB_HW.FstRtryEnbl = 1
No De-Maturation (=NA) </t>
  </si>
  <si>
    <t>437 - HwGtDrvGrp.VCCOV_PhsUH
Gate Driver VCC  Over Voltage</t>
  </si>
  <si>
    <t>Fault Flag from Low-level Driver
VCCOV bit reporting VCC overvoltage must be over 23 V threshold to be active.
RTE bit read (BIT 9)  from
Intrfc.InRaw.GDIC_HS_U_Status1 should be 1
Built In Self Test is part of Shut Off Path Test.
To trigger this fault in application layer below override can be used:
K_McpIntrfc.Ovrrd.In.GDIC_HS_U_Status1.Sgnl =0x0200
K_McpIntrfc.Ovrrd.In.GDIC_HS_U_Status1.SgnlEnbl =1</t>
  </si>
  <si>
    <t>IF K_McpDiag.HwGtDrvGrp.VCCOV_PhsUH.FstRtryEnbl = 1
Quick Fail Count is above Quick Fault Set Threshold:
McpDiag.HwGtDrvGrp.VCCOV_PhsUH.QckFail_Cnt &gt; 
K_McpDiag.HwGtDrvGrp.VCCOV_PhsUH.QckFltSetThrsh
OR
Overall Fail Count is above Overall Fault Set Threshold:
McpDiag.HwGtDrvGrp.VCCOV_PhsUH.OvrllFail_Cnt &gt; 
K_McpDiag.HwGtDrvGrp.VCCOV_PhsUH.OvrllFltSetThrsh
OR
Consecutive Fail Timer is above Fault Set Threshold:
McpDiag.HwGtDrvGrp.VCCOV_PhsUH.ConsecutTm_Sec &gt; K_McpDiag.HwGtDrvGrp.VCCOV_PhsUH.ConsecutFltSetThrsh
ELSE K_McpDiag.HwGtDrvGrp.VCCOV_PhsUH.FstRtryEnbl = 0
No Mature Time (=NA)</t>
  </si>
  <si>
    <t>K_McpDiag.HwGtDrvGrp.VCCOV_PhsUH.EnblTyp</t>
  </si>
  <si>
    <t xml:space="preserve">IF K_McpDiag.HwGtDrvGrp.VCCOV_PhsUH.FstRtryEnbl = 0
Fault Flag from Low-level Driver
VCCOV bit reporting VCC overvoltage must be below 23 V threshold to be not active.
RTE bit read (BIT 9)  from
Intrfc.InRaw.GDIC_HS_U_Status1 = 0
ELSE K_McpDiag.HwGtDrvGrp.VCCOV_PhsUH.FstRtryEnbl = 1
No De-Maturation (=NA) </t>
  </si>
  <si>
    <t>434 - HwGtDrvGrp.VCCOV_PhsUL
Gate Driver VCC  Over Voltage</t>
  </si>
  <si>
    <t>Fault Flag from Low-level Driver
VCCOV bit reporting VCC overvoltage must be over 23 V threshold to be active.
RTE bit read (BIT 9)  from
Intrfc.InRaw.GDIC_LS_U_Status1 should be 1
Built In Self Test is part of Shut Off Path Test.
To trigger this fault in application layer below override can be used:
K_McpIntrfc.Ovrrd.In.GDIC_LS_U_Status1.Sgnl =0x0200
K_McpIntrfc.Ovrrd.In.GDIC_LS_U_Status1.SgnlEnbl =1</t>
  </si>
  <si>
    <t>IF K_McpDiag.HwGtDrvGrp.VCCOV_PhsUL.FstRtryEnbl = 1
Quick Fail Count is above Quick Fault Set Threshold:
McpDiag.HwGtDrvGrp.VCCOV_PhsUL.QckFail_Cnt &gt; 
K_McpDiag.HwGtDrvGrp.VCCOV_PhsUL.QckFltSetThrsh
OR
Overall Fail Count is above Overall Fault Set Threshold:
McpDiag.HwGtDrvGrp.VCCOV_PhsUL.OvrllFail_Cnt &gt; 
K_McpDiag.HwGtDrvGrp.VCCOV_PhsUL.OvrllFltSetThrsh
OR
Consecutive Fail Timer is above Fault Set Threshold:
McpDiag.HwGtDrvGrp.VCCOV_PhsULConsecutTm_Sec &gt; K_McpDiag.HwGtDrvGrp.VCCOV_PhsUL.ConsecutFltSetThrsh
ELSE K_McpDiag.HwGtDrvGrp.VCCOV_PhsUL.FstRtryEnbl = 0
No Mature Time (=NA)</t>
  </si>
  <si>
    <t>K_McpDiag.HwGtDrvGrp.VCCOV_PhsUL.EnblTyp</t>
  </si>
  <si>
    <t xml:space="preserve">IF K_McpDiag.HwGtDrvGrp.VCCOV_PhsUL.FstRtryEnbl = 0
Fault Flag from Low-level Driver
VCCOV bit reporting VCC overvoltage must be below 23 V threshold to be not active.
RTE bit read (BIT 9)  from
Intrfc.InRaw.GDIC_LS_U_Status1 = 0
ELSE K_McpDiag.HwGtDrvGrp.VCCOV_PhsUL.FstRtryEnbl = 1
No De-Maturation (=NA) </t>
  </si>
  <si>
    <t>438 - HwGtDrvGrp.VCCOV_PhsVH
Gate Driver VCC  Over Voltage</t>
  </si>
  <si>
    <t>Fault Flag from Low-level Driver
VCCOV bit reporting VCC overvoltage must be over 23 V threshold to be active.
RTE bit read (BIT 9)  from
Intrfc.InRaw.GDIC_HS_V_Status1 should be 1
Built In Self Test is part of Shut Off Path Test.
To trigger this fault in application layer below override can be used:
K_McpIntrfc.Ovrrd.In.GDIC_HS_V_Status1.Sgnl =0x0200
K_McpIntrfc.Ovrrd.In.GDIC_HS_V_Status1.SgnlEnbl =1</t>
  </si>
  <si>
    <t>IF K_McpDiag.HwGtDrvGrp.VCCOV_PhsVH.FstRtryEnbl = 1
Quick Fail Count is above Quick Fault Set Threshold:
McpDiag.HwGtDrvGrp.VCCOV_PhsVH.QckFail_Cnt &gt; 
K_McpDiag.HwGtDrvGrp.VCCOV_PhsVH.QckFltSetThrsh
OR
Overall Fail Count is above Overall Fault Set Threshold:
McpDiag.HwGtDrvGrp.VCCOV_PhsVH.OvrllFail_Cnt &gt; 
K_McpDiag.HwGtDrvGrp.VCCOV_PhsVH.OvrllFltSetThrsh
OR
Consecutive Fail Timer is above Fault Set Threshold:
McpDiag.HwGtDrvGrp.VCCOV_PhsVH.ConsecutTm_Sec &gt; K_McpDiag.HwGtDrvGrp.VCCOV_PhsVH.ConsecutFltSetThrsh
ELSE K_McpDiag.HwGtDrvGrp.VCCOV_PhsVH.FstRtryEnbl = 0
No Mature Time (=NA)</t>
  </si>
  <si>
    <t>K_McpDiag.HwGtDrvGrp.VCCOV_PhsVH.EnblTyp</t>
  </si>
  <si>
    <t xml:space="preserve">IF K_McpDiag.HwGtDrvGrp.VCCOV_PhsVH.FstRtryEnbl = 0
Fault Flag from Low-level Driver
VCCOV bit reporting VCC overvoltage must be below 23 V threshold to be not active.
RTE bit read (BIT 9)  from
Intrfc.InRaw.GDIC_HS_V_Status1 = 0
ELSE K_McpDiag.HwGtDrvGrp.VCCOV_PhsVH.FstRtryEnbl = 1
No De-Maturation (=NA) </t>
  </si>
  <si>
    <t>435 - HwGtDrvGrp.VCCOV_PhsVL
Gate Driver VCC  Over Voltage</t>
  </si>
  <si>
    <t>Fault Flag from Low-level Driver
VCCOV bit reporting VCC overvoltage must be over 23 V threshold to be active.
RTE bit read (BIT 9)  from
Intrfc.InRaw.GDIC_LS_V_Status1 should be 1
Built In Self Test is part of Shut Off Path Test.
To trigger this fault in application layer below override can be used:
K_McpIntrfc.Ovrrd.In.GDIC_LS_V_Status1.Sgnl =0x0200
K_McpIntrfc.Ovrrd.In.GDIC_LS_V_Status1.SgnlEnbl =1</t>
  </si>
  <si>
    <t>IF K_McpDiag.HwGtDrvGrp.VCCOV_PhsVL.FstRtryEnbl = 1
Quick Fail Count is above Quick Fault Set Threshold:
McpDiag.HwGtDrvGrp.VCCOV_PhsVL.QckFail_Cnt &gt; 
K_McpDiag.HwGtDrvGrp.VCCOV_PhsVL.QckFltSetThrsh
OR
Overall Fail Count is above Overall Fault Set Threshold:
McpDiag.HwGtDrvGrp.VCCOV_PhsVL.OvrllFail_Cnt &gt; 
K_McpDiag.HwGtDrvGrp.VCCOV_PhsVL.OvrllFltSetThrsh
OR
Consecutive Fail Timer is above Fault Set Threshold:
McpDiag.HwGtDrvGrp.VCCOV_PhsVL.ConsecutTm_Sec &gt; K_McpDiag.HwGtDrvGrp.VCCOV_PhsVL.ConsecutFltSetThrsh
ELSE K_McpDiag.HwGtDrvGrp.VCCOV_PhsVL.FstRtryEnbl = 0
No Mature Time (=NA)</t>
  </si>
  <si>
    <t>K_McpDiag.HwGtDrvGrp.VCCOV_PhsVL.EnblTyp</t>
  </si>
  <si>
    <t xml:space="preserve">IF K_McpDiag.HwGtDrvGrp.VCCOV_PhsVL.FstRtryEnbl = 0
Fault Flag from Low-level Driver
VCCOV bit reporting VCC overvoltage must be below 23 V threshold to be not active.
RTE bit read (BIT 9)  from
Intrfc.InRaw.GDIC_LS_V_Status1 = 0
ELSE K_McpDiag.HwGtDrvGrp.VCCOV_PhsVL.FstRtryEnbl = 1
No De-Maturation (=NA) </t>
  </si>
  <si>
    <t>439 - HwGtDrvGrp.VCCOV_PhsWH
Gate Driver VCC  Over Voltage</t>
  </si>
  <si>
    <t>Fault Flag from Low-level Driver
VCCOV bit reporting VCC overvoltage must be over 23 V threshold to be active.
RTE bit read (BIT 9)  from
Intrfc.InRaw.GDIC_HS_W_Status1 should be 1
Built In Self Test is part of Shut Off Path Test.
To trigger this fault in application layer below override can be used:
K_McpIntrfc.Ovrrd.In.GDIC_HS_W_Status1.Sgnl =0x0200
K_McpIntrfc.Ovrrd.In.GDIC_HS_W_Status1.SgnlEnbl =1</t>
  </si>
  <si>
    <t>IF K_McpDiag.HwGtDrvGrp.VCCOV_PhsWH.FstRtryEnbl = 1
Quick Fail Count is above Quick Fault Set Threshold:
McpDiag.HwGtDrvGrp.VCCOV_PhsWH.QckFail_Cnt &gt; 
K_McpDiag.HwGtDrvGrp.VCCOV_PhsWH.QckFltSetThrsh
OR
Overall Fail Count is above Overall Fault Set Threshold:
McpDiag.HwGtDrvGrp.VCCOV_PhsWH.OvrllFail_Cnt &gt; 
K_McpDiag.HwGtDrvGrp.VCCOV_PhsWH.OvrllFltSetThrsh
OR
Consecutive Fail Timer is above Fault Set Threshold:
McpDiag.HwGtDrvGrp.VCCOV_PhsWH.ConsecutTm_Sec &gt; K_McpDiag.HwGtDrvGrp.VCCOV_PhsWH.ConsecutFltSetThrsh
ELSE K_McpDiag.HwGtDrvGrp.VCCOV_PhsWH.FstRtryEnbl = 0
No Mature Time (=NA)</t>
  </si>
  <si>
    <t>K_McpDiag.HwGtDrvGrp.VCCOV_PhsWH.EnblTyp</t>
  </si>
  <si>
    <t xml:space="preserve">IF K_McpDiag.HwGtDrvGrp.VCCOV_PhsWH.FstRtryEnbl = 0
Fault Flag from Low-level Driver
VCCOV bit reporting VCC overvoltage must be below 23 V threshold to be not active.
RTE bit read (BIT 9)  from
Intrfc.InRaw.GDIC_HS_W_Status1 = 0
ELSE K_McpDiag.HwGtDrvGrp.VCCOV_PhsWH.FstRtryEnbl = 1
No De-Maturation (=NA) </t>
  </si>
  <si>
    <t>436 - HwGtDrvGrp.VCCOV_PhsWL
Gate Driver VCC  Over Voltage</t>
  </si>
  <si>
    <t>Fault Flag from Low-level Driver
VCCOV bit reporting VCC overvoltage must be over 23 V threshold to be active.
RTE bit read (BIT 9)  from
Intrfc.InRaw.GDIC_LS_W_Status1 should be 1
Built In Self Test is part of Shut Off Path Test.
To trigger this fault in application layer below override can be used:
K_McpIntrfc.Ovrrd.In.GDIC_LS_W_Status1.Sgnl =0x0200
K_McpIntrfc.Ovrrd.In.GDIC_LS_W_Status1.SgnlEnbl =1</t>
  </si>
  <si>
    <t>IF K_McpDiag.HwGtDrvGrp.VCCOV_PhsWL.FstRtryEnbl = 1
Quick Fail Count is above Quick Fault Set Threshold:
McpDiag.HwGtDrvGrp.VCCOV_PhsWL.QckFail_Cnt &gt; 
K_McpDiag.HwGtDrvGrp.VCCOV_PhsWL.QckFltSetThrsh
OR
Overall Fail Count is above Overall Fault Set Threshold:
McpDiag.HwGtDrvGrp.VCCOV_PhsWL.OvrllFail_Cnt &gt; 
K_McpDiag.HwGtDrvGrp.VCCOV_PhsWL.OvrllFltSetThrsh
OR
Consecutive Fail Timer is above Fault Set Threshold:
McpDiag.HwGtDrvGrp.VCCOV_PhsWL.ConsecutTm_Sec &gt; K_McpDiag.HwGtDrvGrp.VCCOV_PhsWL.ConsecutFltSetThrsh
ELSE K_McpDiag.HwGtDrvGrp.VCCOV_PhsWL.FstRtryEnbl = 0
No Mature Time (=NA)</t>
  </si>
  <si>
    <t>K_McpDiag.HwGtDrvGrp.VCCOV_PhsWL.EnblTyp</t>
  </si>
  <si>
    <t xml:space="preserve">IF K_McpDiag.HwGtDrvGrp.VCCOV_PhsWL.FstRtryEnbl = 0
Fault Flag from Low-level Driver
VCCOV bit reporting VCC overvoltage must be below 23 V threshold to be not active.
RTE bit read (BIT 9)  from
Intrfc.InRaw.GDIC_LS_W_Status1 = 0
ELSE K_McpDiag.HwGtDrvGrp.VCCOV_PhsWL.FstRtryEnbl = 1
No De-Maturation (=NA) </t>
  </si>
  <si>
    <t>425 - HwGtDrvGrp.VCCREGUV_PhsUH
Gate Driver Regulator Under Voltage</t>
  </si>
  <si>
    <t>Fault Flag from Low-level Driver
VCCREG_UV bit sensing 15V VCCREG undervoltage must be below 13V voltage threshold to be active.
RTE bit read (BIT 8)  from
Intrfc.InRaw.GDIC_HS_U_Status1 should be 1
Built In Self Test is part of Shut Off Path Test.
To trigger this fault in application layer below override can be used:
K_McpIntrfc.Ovrrd.In.GDIC_HS_U_Status1.Sgnl =0x0100
K_McpIntrfc.Ovrrd.In.GDIC_HS_U_Status1.SgnlEnbl =1</t>
  </si>
  <si>
    <t>IF K_McpDiag.HwGtDrvGrp.VCCREGUV_PhsUH.FstRtryEnbl = 1
Quick Fail Count is above Quick Fault Set Threshold:
McpDiag.HwGtDrvGrp.VCCREGUV_PhsUH.QckFail_Cnt &gt; 
K_McpDiag.HwGtDrvGrp.VCCREGUV_PhsUH.QckFltSetThrsh
OR
Overall Fail Count is above Overall Fault Set Threshold:
McpDiag.HwGtDrvGrp.VCCREGUV_PhsUH.OvrllFail_Cnt &gt; 
K_McpDiag.HwGtDrvGrp.VCCREGUV_PhsUH.OvrllFltSetThrsh
OR
Consecutive Fail Timer is above Fault Set Threshold:
McpDiag.HwGtDrvGrp.VCCREGUV_PhsUH.ConsecutTm_Sec &gt; K_McpDiag.HwGtDrvGrp.VCCREGUV_PhsUH.ConsecutFltSetThrsh
ELSE K_McpDiag.HwGtDrvGrp.VCCREGUV_PhsUH.FstRtryEnbl = 0
No Mature Time (=NA)</t>
  </si>
  <si>
    <t>K_McpDiag.HwGtDrvGrp.VCCREGUV_PhsUH.EnblTyp</t>
  </si>
  <si>
    <t xml:space="preserve">IF K_McpDiag.HwGtDrvGrp.VCCREGUV_PhsUH.FstRtryEnbl = 0
Fault Flag from Low-level Driver
VCCREG_UV bit sensing 15V VCCREG undervoltage must be above 13V voltage threshold to be not active.
RTE bit read (BIT 8)  from
Intrfc.InRaw.GDIC_HS_U_Status1 = 0
ELSE K_McpDiag.HwGtDrvGrp.VCCREGUV_PhsUH.FstRtryEnbl = 1
No De-Maturation (=NA) </t>
  </si>
  <si>
    <t>422 - HwGtDrvGrp.VCCREGUV_PhsUL
Gate Driver Regulator Under Voltage</t>
  </si>
  <si>
    <t>Fault Flag from Low-level Driver
VCCREG_UV bit sensing 15V VCCREG undervoltage must be below 13V voltage threshold to be active
RTE bit read (BIT 8)  from
Intrfc.InRaw.GDIC_LS_U_Status1 should be 1
Built In Self Test is part of Shut Off Path Test.
To trigger this fault in application layer below override can be used:
K_McpIntrfc.Ovrrd.In.GDIC_LS_U_Status1.Sgnl =0x0100
K_McpIntrfc.Ovrrd.In.GDIC_LS_U_Status1.SgnlEnbl =1</t>
  </si>
  <si>
    <t>IF K_McpDiag.HwGtDrvGrp.VCCREGUV_PhsUL.FstRtryEnbl = 1
Quick Fail Count is above Quick Fault Set Threshold:
McpDiag.HwGtDrvGrp.VCCREGUV_PhsUL.QckFail_Cnt &gt; 
K_McpDiag.HwGtDrvGrp.VCCREGUV_PhsUL.QckFltSetThrsh
OR
Overall Fail Count is above Overall Fault Set Threshold:
McpDiag.HwGtDrvGrp.VCCREGUV_PhsUL.OvrllFail_Cnt &gt; 
K_McpDiag.HwGtDrvGrp.VCCREGUV_PhsUL.OvrllFltSetThrsh
OR
Consecutive Fail Timer is above Fault Set Threshold:
McpDiagHwGtDrvGrp.VCCREGUV_PhsUL.ConsecutTm_Sec &gt; K_McpDiag.HwGtDrvGrp.VCCREGUV_PhsUL.ConsecutFltSetThrsh
ELSE K_McpDiag.HwGtDrvGrp.VCCREGUV_PhsUL.FstRtryEnbl = 0
No Mature Time (=NA)</t>
  </si>
  <si>
    <t>K_McpDiag.HwGtDrvGrp.VCCREGUV_PhsUL.EnblTyp</t>
  </si>
  <si>
    <t xml:space="preserve">IF K_McpDiag.HwGtDrvGrp.VCCREGUV_PhsUL.FstRtryEnbl = 0
Fault Flag from Low-level Driver
VCCREG_UV bit sensing 15V VCCREG undervoltage must be above 13V voltage threshold to be not active.
RTE bit read (BIT 8)  from
Intrfc.InRaw.GDIC_LS_U_Status1 = 0
ELSE K_McpDiag.HwGtDrvGrp.VCCREGUV_PhsUL.FstRtryEnbl = 1
No De-Maturation (=NA) </t>
  </si>
  <si>
    <t>426 - HwGtDrvGrp.VCCREGUV_PhsVH
Gate Driver Regulator Under Voltage</t>
  </si>
  <si>
    <t>Fault Flag from Low-level Driver
VCCREG_UV bit sensing 15V VCCREG undervoltage must be below 13V voltage threshold to be active
RTE bit read (BIT 8)  from
Intrfc.InRaw.GDIC_HS_V_Status1 should be 1
Built In Self Test is part of Shut Off Path Test.
To trigger this fault in application layer below override can be used:
K_McpIntrfc.Ovrrd.In.GDIC_HS_V_Status1.Sgnl =0x0100
K_McpIntrfc.Ovrrd.In.GDIC_HS_V_Status1.SgnlEnbl =1</t>
  </si>
  <si>
    <t>IF K_McpDiag.HwGtDrvGrp.VCCREGUV_PhsVH.FstRtryEnbl = 1
Quick Fail Count is above Quick Fault Set Threshold:
McpDiag.HwGtDrvGrp.VCCREGUV_PhsVH.QckFail_Cnt &gt; 
K_McpDiag.HwGtDrvGrp.VCCREGUV_PhsVH.QckFltSetThrsh
OR
Overall Fail Count is above Overall Fault Set Threshold:
McpDiag.HwGtDrvGrp.VCCREGUV_PhsVH.OvrllFail_Cnt &gt; 
K_McpDiag.HwGtDrvGrp.VCCREGUV_PhsVH.OvrllFltSetThrsh
OR
Consecutive Fail Timer is above Fault Set Threshold:
McpDiag.HwGtDrvGrp.VCCREGUV_PhsVH.ConsecutTm_Sec &gt; K_McpDiag.HwGtDrvGrp.VCCREGUV_PhsVH.ConsecutFltSetThrsh
ELSE K_McpDiag.HwGtDrvGrp.VCCREGUV_PhsVH.FstRtryEnbl = 0
No Mature Time (=NA)</t>
  </si>
  <si>
    <t>K_McpDiag.HwGtDrvGrp.VCCREGUV_PhsVH.EnblTyp</t>
  </si>
  <si>
    <t xml:space="preserve">IF K_McpDiag.HwGtDrvGrp.VCCREGUV_PhsVH.FstRtryEnbl = 0
Fault Flag from Low-level Driver 
VCCREG_UV bit sensing 15V VCCREG undervoltage must be above 13V voltage threshold to be not active.
RTE bit read (BIT 8)  from
Intrfc.InRaw.GDIC_HS_V_Status1 = 0
ELSE K_McpDiag.HwGtDrvGrp.VCCREGUV_PhsVH.FstRtryEnbl = 1
No De-Maturation (=NA) </t>
  </si>
  <si>
    <t>423 - HwGtDrvGrp.VCCREGUV_PhsVL
Gate Driver Regulator Under Voltage</t>
  </si>
  <si>
    <t>Fault Flag from Low-level Driver
VCCREG_UV bit sensing 15V VCCREG undervoltage must be below 13V voltage threshold to be active
RTE bit read (BIT 8)  from
Intrfc.InRaw.GDIC_LS_V_Status1 should be 1
Built In Self Test is part of Shut Off Path Test.
To trigger this fault in application layer below override can be used:
K_McpIntrfc.Ovrrd.In.GDIC_LS_V_Status1.Sgnl =0x0100
K_McpIntrfc.Ovrrd.In.GDIC_LS_V_Status1.SgnlEnbl =1</t>
  </si>
  <si>
    <t>IF K_McpDiag.HwGtDrvGrp.VCCREGUV_PhsVL.FstRtryEnbl = 1
Quick Fail Count is above Quick Fault Set Threshold:
McpDiag.HwGtDrvGrp.VCCREGUV_PhsVL.QckFail_Cnt &gt; 
K_McpDiag.HwGtDrvGrp.VCCREGUV_PhsVL.QckFltSetThrsh
OR
Overall Fail Count is above Overall Fault Set Threshold:
McpDiag.HwGtDrvGrp.VCCREGUV_PhsVL.OvrllFail_Cnt &gt; 
K_McpDiag.HwGtDrvGrp.VCCREGUV_PhsVL.OvrllFltSetThrsh
OR
Consecutive Fail Timer is above Fault Set Threshold:
McpDiag.HwGtDrvGrp.VCCREGUV_PhsVL.ConsecutTm_Sec &gt; K_McpDiag.HwGtDrvGrp.VCCREGUV_PhsVL.ConsecutFltSetThrsh
ELSE K_McpDiag.HwGtDrvGrp.VCCREGUV_PhsVL.FstRtryEnbl = 0
No Mature Time (=NA)</t>
  </si>
  <si>
    <t>K_McpDiag.HwGtDrvGrp.VCCREGUV_PhsVL.EnblTyp</t>
  </si>
  <si>
    <t xml:space="preserve">IF K_McpDiag.HwGtDrvGrp.VCCREGUV_PhsVL.FstRtryEnbl = 0
Fault Flag from Low-level Driver
VCCREG_UV bit sensing 15V VCCREG undervoltage must be above 13V voltage threshold to be not active.
RTE bit read (BIT 8)  from
Intrfc.InRaw.GDIC_LS_V_Status1 = 0
ELSE K_McpDiag.HwGtDrvGrp.VCCREGUV_PhsVL.FstRtryEnbl = 1
No De-Maturation (=NA) </t>
  </si>
  <si>
    <t>427 - HwGtDrvGrp.VCCREGUV_PhsWH
Gate Driver Regulator Under Voltage</t>
  </si>
  <si>
    <t>Fault Flag from Low-level Driver
VCCREG_UV bit sensing 15V VCCREG undervoltage must be below 13V voltage threshold to be active
RTE bit read (BIT 8)  from
Intrfc.InRaw.GDIC_HS_W_Status1 should be 1
Built In Self Test is part of Shut Off Path Test.
To trigger this fault in application layer below override can be used:
K_McpIntrfc.Ovrrd.In.GDIC_HS_W_Status1.Sgnl =0x0100
K_McpIntrfc.Ovrrd.In.GDIC_HS_W_Status1.SgnlEnbl =1</t>
  </si>
  <si>
    <t>IF K_McpDiag.HwGtDrvGrp.VCCREGUV_PhsWH.FstRtryEnbl = 1
Quick Fail Count is above Quick Fault Set Threshold:
McpDiag.HwGtDrvGrp.VCCREGUV_PhsWH.QckFail_Cnt &gt; 
K_McpDiag.HwGtDrvGrp.VCCREGUV_PhsWH.QckFltSetThrsh
OR
Overall Fail Count is above Overall Fault Set Threshold:
McpDiag.HwGtDrvGrp.VCCREGUV_PhsWH.OvrllFail_Cnt &gt; 
K_McpDiag.HwGtDrvGrp.VCCREGUV_PhsWH.OvrllFltSetThrsh
OR
Consecutive Fail Timer is above Fault Set Threshold:
McpDiag.HwGtDrvGrp.VCCREGUV_PhsWH.ConsecutTm_Sec &gt; K_McpDiag.HwGtDrvGrp.VCCREGUV_PhsWH.ConsecutFltSetThrsh
ELSE K_McpDiag.HwGtDrvGrp.VCCREGUV_PhsWH.FstRtryEnbl = 0
No Mature Time (=NA)</t>
  </si>
  <si>
    <t>K_McpDiag.HwGtDrvGrp.VCCREGUV_PhsWH.EnblTyp</t>
  </si>
  <si>
    <t xml:space="preserve">IF K_McpDiag.HwGtDrvGrp.VCCREGUV_PhsWH.FstRtryEnbl = 0
Fault Flag from Low-level Driver
VCCREG_UV bit sensing 15V VCCREG undervoltage must be above 13V voltage threshold to be not active.
RTE bit read (BIT 8)  from
Intrfc.InRaw.GDIC_HS_W_Status1 = 0
ELSE K_McpDiag.HwGtDrvGrp.VCCREGUV_PhsWH.FstRtryEnbl = 1
No De-Maturation (=NA) </t>
  </si>
  <si>
    <t>424 - HwGtDrvGrp.VCCREGUV_PhsWL
Gate Driver Regulator Under Voltage</t>
  </si>
  <si>
    <t>Fault Flag from Low-level Driver
VCCREG_UV bit sensing 15V VCCREG undervoltage must be below 13V voltage threshold to be active
RTE bit read (BIT 8)  from
Intrfc.InRaw.GDIC_LS_W_Status1 should be 1
Built In Self Test is part of Shut Off Path Test.
To trigger this fault in application layer below override can be used:
K_McpIntrfc.Ovrrd.In.GDIC_LS_W_Status1.Sgnl =0x0100
K_McpIntrfc.Ovrrd.In.GDIC_LS_W_Status1.SgnlEnbl =1</t>
  </si>
  <si>
    <t>IF K_McpDiag.HwGtDrvGrp.VCCREGUV_PhsWL.FstRtryEnbl = 1
Quick Fail Count is above Quick Fault Set Threshold:
McpDiag.HwGtDrvGrp.VCCREGUV_PhsWL.QckFail_Cnt &gt; 
K_McpDiag.HwGtDrvGrp.VCCREGUV_PhsWL.QckFltSetThrsh
OR
Overall Fail Count is above Overall Fault Set Threshold:
McpDiag.HwGtDrvGrp.VCCREGUV_PhsWL.OvrllFail_Cnt &gt; 
K_McpDiag.HwGtDrvGrp.VCCREGUV_PhsWLOvrllFltSetThrsh
OR
Consecutive Fail Timer is above Fault Set Threshold:
McpDiag.HwGtDrvGrp.VCCREGUV_PhsWL.ConsecutTm_Sec &gt; K_McpDiag.HwGtDrvGrp.VCCREGUV_PhsWL.ConsecutFltSetThrsh
ELSE K_McpDiag.HwGtDrvGrp.VCCREGUV_PhsWL.FstRtryEnbl = 0
No Mature Time (=NA)</t>
  </si>
  <si>
    <t>K_McpDiag.HwGtDrvGrp.VCCREGUV_PhsWL.EnblTyp</t>
  </si>
  <si>
    <t xml:space="preserve">IF K_McpDiag.HwGtDrvGrp.VCCREGUV_PhsWL.FstRtryEnbl = 0
Fault Flag from Low-level Driver
VCCREG_UV bit sensing 15V VCCREG undervoltage must be above 13V voltage threshold to be not active.
RTE bit read (BIT 8)  from
Intrfc.InRaw.GDIC_LS_W_Status1 = 0
ELSE K_McpDiag.HwGtDrvGrp.VCCREGUV_PhsWL.FstRtryEnbl = 1
No De-Maturation (=NA) </t>
  </si>
  <si>
    <t>365 - HwGtDrvGrp.VDDUVOV_PhsUH
VDD  Gate Driver Voltage is Out Of Range</t>
  </si>
  <si>
    <t>Fault Flag from Low-level Driver
VDD_UVOV bit reporting supply voltage VDD out of range must be either below 4.3V (UV undervoltage) or above 5.5V (OV overvoltage) to be active.
RTE bit read (BIT 8)  from
Intrfc.InRaw.GDIC_HS_U_Status2 should be 1
Built In Self Test is part of Shut Off Path Test.
To trigger this fault in application layer below override can be used:
K_McpIntrfc.Ovrrd.In.GDIC_HS_U_Status2.Sgnl =0x0100
K_McpIntrfc.Ovrrd.In.GDIC_HS_U_Status2.SgnlEnbl =1</t>
  </si>
  <si>
    <t>IF K_McpDiag.HwGtDrvGrp.VDDUVOV_PhsUH.FstRtryEnbl = 1
Quick Fail Count is above Quick Fault Set Threshold:
McpDiag.HwGtDrvGrp.VDDUVOV_PhsUH.QckFail_Cnt &gt; 
K_McpDiag.HwGtDrvGrp.VDDUVOV_PhsUH.QckFltSetThrsh
OR
Overall Fail Count is above Overall Fault Set Threshold:
McpDiag.HwGtDrvGrp.VDDUVOV_PhsUH.OvrllFail_Cnt &gt; 
K_McpDiag.HwGtDrvGrp.VDDUVOV_PhsUH.OvrllFltSetThrsh
OR
Consecutive Fail Timer is above Fault Set Threshold:
McpDiag.HwGtDrvGrp.VDDUVOV_PhsUH.ConsecutTm_Sec &gt; K_McpDiag.HwGtDrvGrp.VDDUVOV_PhsUH.ConsecutFltSetThrsh
ELSE K_McpDiag.HwGtDrvGrp.VDDUVOV_PhsUH.FstRtryEnbl = 0
No Mature Time (=NA)</t>
  </si>
  <si>
    <t>K_McpDiag.HwGtDrvGrp.VDDUVOV_PhsUH.EnblTyp</t>
  </si>
  <si>
    <t xml:space="preserve">IF K_McpDiag.HwGtDrvGrp.VDDUVOV_PhsUH.FstRtryEnbl = 0
Fault Flag from Low-level Driver
VDD_UVOV bit reporting supply voltage VDD out of range must be either above 4.3V (UV undervoltage) or below 5.5V (OV overvoltage) to be not active.
RTE bit read (BIT 8)  from
Intrfc.InRaw.GDIC_HS_U_Status2 = 0
ELSE K_McpDiag.HwGtDrvGrp.VDDUVOV_PhsUH.FstRtryEnbl = 1
No De-Maturation (=NA) </t>
  </si>
  <si>
    <t>362 - HwGtDrvGrp.VDDUVOV_PhsUL
VDD  Gate Driver Voltage is Out Of Range</t>
  </si>
  <si>
    <t>Fault Flag from Low-level Driver
VDD_UVOV bit reporting supply voltage VDD out of range must be either below 4.3V (UV undervoltage) or above 5.5V (OV overvoltage) to be active.
RTE bit read (BIT 8)  from
Intrfc.InRaw.GDIC_LS_U_Status2 should be 1
Built In Self Test is part of Shut Off Path Test.
To trigger this fault in application layer below override can be used:
K_McpIntrfc.Ovrrd.In.GDIC_LS_U_Status2.Sgnl =0x0100
K_McpIntrfc.Ovrrd.In.GDIC_LS_U_Status2.SgnlEnbl =1</t>
  </si>
  <si>
    <t>IF K_McpDiag.HwGtDrvGrp.VDDUVOV_PhsUL.FstRtryEnbl = 1
Quick Fail Count is above Quick Fault Set Threshold:
McpDiag.HwGtDrvGrp.VDDUVOV_PhsUL.QckFail_Cnt &gt; 
K_McpDiag.HwGtDrvGrp.VDDUVOV_PhsUL.QckFltSetThrsh
OR
Overall Fail Count is above Overall Fault Set Threshold:
McpDiag.HwGtDrvGrp.VDDUVOV_PhsUL.OvrllFail_Cnt &gt; 
K_McpDiag.HwGtDrvGrp.VDDUVOV_PhsUL.OvrllFltSetThrsh
OR
Consecutive Fail Timer is above Fault Set Threshold:
McpDiag.HwGtDrvGrp.VDDUVOV_PhsUL.ConsecutTm_Sec &gt; K_McpDiag.HwGtDrvGrp.VDDUVOV_PhsUL.ConsecutFltSetThrsh
ELSE K_McpDiag.HwGtDrvGrp.VDDUVOV_PhsUL.FstRtryEnbl = 0
No Mature Time (=NA)</t>
  </si>
  <si>
    <t>K_McpDiag.HwGtDrvGrp.VDDUVOV_PhsUL.EnblTyp</t>
  </si>
  <si>
    <t xml:space="preserve">IF K_McpDiag.HwGtDrvGrp.VDDUVOV_PhsUL.FstRtryEnbl = 0
Fault Flag from Low-level Driver
VDD_UVOV bit reporting supply voltage VDD out of range must be either above 4.3V (UV undervoltage) or below 5.5V (OV overvoltage) to be not active.
RTE bit read (BIT 8)  from
Intrfc.InRaw.GDIC_LS_U_Status2 = 0
ELSE K_McpDiag.HwGtDrvGrp.VDDUVOV_PhsUL.FstRtryEnbl = 1
No De-Maturation (=NA) </t>
  </si>
  <si>
    <t>366 - HwGtDrvGrp.VDDUVOV_PhsVH
VDD  Gate Driver Voltage is Out Of Range</t>
  </si>
  <si>
    <t>Fault Flag from Low-level Driver
VDD_UVOV bit reporting supply voltage VDD out of range must be either below 4.3V (UV undervoltage) or above 5.5V (OV overvoltage) to be active.
RTE bit read (BIT 8)  from
Intrfc.InRaw.GDIC_HS_V_Status2 should be 1
Built In Self Test is part of Shut Off Path Test.
To trigger this fault in application layer below override can be used:
K_McpIntrfc.Ovrrd.In.GDIC_HS_V_Status2.Sgnl =0x0100
K_McpIntrfc.Ovrrd.In.GDIC_HS_V_Status2.SgnlEnbl =1</t>
  </si>
  <si>
    <t>IF K_McpDiag.HwGtDrvGrp.VDDUVOV_PhsVH.FstRtryEnbl = 1
Quick Fail Count is above Quick Fault Set Threshold:
McpDiag.HwGtDrvGrp.VDDUVOV_PhsVH.QckFail_Cnt &gt; 
K_McpDiag.HwGtDrvGrp.VDDUVOV_PhsVH.QckFltSetThrsh
OR
Overall Fail Count is above Overall Fault Set Threshold:
McpDiag.HwGtDrvGrp.VDDUVOV_PhsVH.OvrllFail_Cnt &gt; 
K_McpDiag.HwGtDrvGrp.VDDUVOV_PhsVH.OvrllFltSetThrsh
OR
Consecutive Fail Timer is above Fault Set Threshold:
McpDiag.HwGtDrvGrp.VDDUVOV_PhsVH.ConsecutTm_Sec &gt; K_McpDiag.HwGtDrvGrp.VDDUVOV_PhsVH.ConsecutFltSetThrsh
ELSE K_McpDiag.HwGtDrvGrp.VDDUVOV_PhsVH.FstRtryEnbl = 0
No Mature Time (=NA)</t>
  </si>
  <si>
    <t>K_McpDiag.HwGtDrvGrp.VDDUVOV_PhsVH.EnblTyp</t>
  </si>
  <si>
    <t xml:space="preserve">IF K_McpDiag.HwGtDrvGrp.VDDUVOV_PhsVH.FstRtryEnbl = 0
Fault Flag from Low-level Driver
VDD_UVOV bit reporting supply voltage VDD out of range must be either above 4.3V (UV undervoltage) or below 5.5V (OV overvoltage) to be not active.
RTE bit read (BIT 8)  from
Intrfc.InRaw.GDIC_HS_V_Status2 = 0
ELSE K_McpDiag.HwGtDrvGrp.VDDUVOV_PhsVH.FstRtryEnbl = 1
No De-Maturation (=NA) </t>
  </si>
  <si>
    <t>363 - HwGtDrvGrp.VDDUVOV_PhsVL
VDD  Gate Driver Voltage is Out Of Range</t>
  </si>
  <si>
    <t>Fault Flag from Low-level Driver
VDD_UVOV bit reporting supply voltage VDD out of range must be either below 4.3V (UV undervoltage) or above 5.5V (OV overvoltage) to be active.
RTE bit read (BIT 8)  from
Intrfc.InRaw.GDIC_LS_V_Status2 should be 1
Built In Self Test is part of Shut Off Path Test.
To trigger this fault in application layer below override can be used:
K_McpIntrfc.Ovrrd.In.GDIC_LS_V_Status2.Sgnl =0x0100
K_McpIntrfc.Ovrrd.In.GDIC_LS_V_Status2.SgnlEnbl =1</t>
  </si>
  <si>
    <t>IF K_McpDiag.HwGtDrvGrp.VDDUVOV_PhsVL.FstRtryEnbl = 1
Quick Fail Count is above Quick Fault Set Threshold:
McpDiag.HwGtDrvGrp.VDDUVOV_PhsVL.QckFail_Cnt &gt; 
K_McpDiag.HwGtDrvGrp.VDDUVOV_PhsVL.QckFltSetThrsh
OR
Overall Fail Count is above Overall Fault Set Threshold:
McpDiag.HwGtDrvGrp.VDDUVOV_PhsVL.OvrllFail_Cnt &gt; 
K_McpDiag.HwGtDrvGrp.VDDUVOV_PhsVL.OvrllFltSetThrsh
OR
Consecutive Fail Timer is above Fault Set Threshold:
McpDiag.HwGtDrvGrp.VDDUVOV_PhsVL.ConsecutTm_Sec &gt; K_McpDiag.HwGtDrvGrp.VDDUVOV_PhsVL.ConsecutFltSetThrsh
ELSE K_McpDiag.HwGtDrvGrp.VDDUVOV_PhsVL.FstRtryEnbl = 0
No Mature Time (=NA)</t>
  </si>
  <si>
    <t>K_McpDiag.HwGtDrvGrp.VDDUVOV_PhsVL.EnblTyp</t>
  </si>
  <si>
    <t xml:space="preserve">IF K_McpDiag.HwGtDrvGrp.VDDUVOV_PhsVL.FstRtryEnbl = 0
Fault Flag from Low-level Driver
VDD_UVOV bit reporting supply voltage VDD out of range must be either above 4.3V (UV undervoltage) or below 5.5V (OV overvoltage) to be not active.
RTE bit read (BIT 8)  from
Intrfc.InRaw.GDIC_LS_V_Status2 = 0
ELSE K_McpDiag.HwGtDrvGrp.VDDUVOV_PhsVL.FstRtryEnbl = 1
No De-Maturation (=NA) </t>
  </si>
  <si>
    <t>367 - HwGtDrvGrp.VDDUVOV_PhsWH
VDD  Gate Driver Voltage is Out Of Range</t>
  </si>
  <si>
    <t>Fault Flag from Low-level Driver
VDD_UVOV bit reporting supply voltage VDD out of range must be either below 4.3V (UV undervoltage) or above 5.5V (OV overvoltage) to be active.
RTE bit read (BIT 8)  from
Intrfc.InRaw.GDIC_HS_W_Status2 should be 1
Built In Self Test is part of Shut Off Path Test.
To trigger this fault in application layer below override can be used:
K_McpIntrfc.Ovrrd.In.GDIC_HS_W_Status2.Sgnl =0x0100
K_McpIntrfc.Ovrrd.In.GDIC_HS_W_Status2.SgnlEnbl =1</t>
  </si>
  <si>
    <t>IF K_McpDiag.HwGtDrvGrp.VDDUVOV_PhsWH.FstRtryEnbl = 1
Quick Fail Count is above Quick Fault Set Threshold:
McpDiag.HwGtDrvGrp.VDDUVOV_PhsWH.QckFail_Cnt &gt; 
K_McpDiag.HwGtDrvGrp.VDDUVOV_PhsWH.QckFltSetThrsh
OR
Overall Fail Count is above Overall Fault Set Threshold:
McpDiag.HwGtDrvGrp.VDDUVOV_PhsWH.OvrllFail_Cnt &gt; 
K_McpDiag.HwGtDrvGrp.VDDUVOV_PhsWH.OvrllFltSetThrsh
OR
Consecutive Fail Timer is above Fault Set Threshold:
McpDiag.HwGtDrvGrp.VDDUVOV_PhsWH.ConsecutTm_Sec &gt; K_McpDiag.HwGtDrvGrp.VDDUVOV_PhsWH.ConsecutFltSetThrsh
ELSE K_McpDiag.HwGtDrvGrp.VDDUVOV_PhsWH.FstRtryEnbl = 0
No Mature Time (=NA)</t>
  </si>
  <si>
    <t>K_McpDiag.HwGtDrvGrp.VDDUVOV_PhsWH.EnblTyp</t>
  </si>
  <si>
    <t xml:space="preserve">IF K_McpDiag.HwGtDrvGrp.VDDUVOV_PhsWH.FstRtryEnbl = 0
Fault Flag from Low-level Driver
VDD_UVOV bit reporting supply voltage VDD out of range must be either above 4.3V (UV undervoltage) or below 5.5V (OV overvoltage) to be not active.
RTE bit read (BIT 8)  from
Intrfc.InRaw.GDIC_HS_W_Status2 = 0
ELSE K_McpDiag.HwGtDrvGrp.VDDUVOV_PhsWH.FstRtryEnbl = 1
No De-Maturation (=NA) </t>
  </si>
  <si>
    <t>364 - HwGtDrvGrp.VDDUVOV_PhsWL
VDD  Gate Driver Voltage is Out Of Range</t>
  </si>
  <si>
    <t>Fault Flag from Low-level Driver
VDD_UVOV bit reporting supply voltage VDD out of range must be either below 4.3V (UV undervoltage) or above 5.5V (OV overvoltage) to be active.
RTE bit read (BIT 8)  from
Intrfc.InRaw.GDIC_LS_W_Status2 should be 1
Built In Self Test is part of Shut Off Path Test.
To trigger this fault in application layer below override can be used:
K_McpIntrfc.Ovrrd.In.GDIC_LS_W_Status2.Sgnl =0x0100
K_McpIntrfc.Ovrrd.In.GDIC_LS_W_Status2.SgnlEnbl =1</t>
  </si>
  <si>
    <t>IF K_McpDiag.HwGtDrvGrp.VDDUVOV_PhsWL.FstRtryEnbl = 1
Quick Fail Count is above Quick Fault Set Threshold:
McpDiag.HwGtDrvGrp.VDDUVOV_PhsWL.QckFail_Cnt &gt; 
K_McpDiag.HwGtDrvGrp.VDDUVOV_PhsWL.QckFltSetThrsh
OR
Overall Fail Count is above Overall Fault Set Threshold:
McpDiag.HwGtDrvGrp.VDDUVOV_PhsWL.OvrllFail_Cnt &gt; 
K_McpDiag.HwGtDrvGrp.VDDUVOV_PhsWL.OvrllFltSetThrsh
OR
Consecutive Fail Timer is above Fault Set Threshold:
McpDiag.HwGtDrvGrp.VDDUVOV_PhsWL.ConsecutTm_Sec &gt; K_McpDiag.HwGtDrvGrp.VDDUVOV_PhsWL.ConsecutFltSetThrsh
ELSE K_McpDiag.HwGtDrvGrp.VDDUVOV_PhsWL.FstRtryEnbl = 0
No Mature Time (=NA)</t>
  </si>
  <si>
    <t>K_McpDiag.HwGtDrvGrp.VDDUVOV_PhsWL.EnblTyp</t>
  </si>
  <si>
    <t xml:space="preserve">IF K_McpDiag.HwGtDrvGrp.VDDUVOV_PhsWL.FstRtryEnbl = 0
Fault Flag from Low-level Driver
VDD_UVOV bit reporting supply voltage VDD out of range must be either above 4.3V (UV undervoltage) or below 5.5V (OV overvoltage) to be not active.
RTE bit read (BIT 8)  from
Intrfc.InRaw.GDIC_LS_W_Status2 = 0
ELSE K_McpDiag.HwGtDrvGrp.VDDUVOV_PhsWL.FstRtryEnbl = 1
No De-Maturation (=NA) </t>
  </si>
  <si>
    <t>323 - HwGtDrvGrp.VEE_OOR_PhsUH
VEE Gate Driver Voltage is Out Of Range</t>
  </si>
  <si>
    <t>Fault Flag from Low-level Driver
VEE_OOR bit reporting supply voltage VEE out of range must be active.
RTE bit read (BIT 0)  from
Intrfc.InRaw.GDIC_HS_U_Status2 should be 1
Built In Self Test is part of Shut Off Path Test.
To trigger this fault in application layer below override can be used:
K_McpIntrfc.Ovrrd.In.GDIC_HS_U_Status2.Sgnl =0x0001
K_McpIntrfc.Ovrrd.In.GDIC_HS_U_Status2.SgnlEnbl =1</t>
  </si>
  <si>
    <t>IF K_McpDiag.HwGtDrvGrp.VEE_OOR_PhsUH.FstRtryEnbl = 1
Quick Fail Count is above Quick Fault Set Threshold:
McpDiag.HwGtDrvGrp.VEE_OOR_PhsUH.QckFail_Cnt &gt; 
K_McpDiag.HwGtDrvGrp.VEE_OOR_PhsUH.QckFltSetThrsh
OR
Overall Fail Count is above Overall Fault Set Threshold:
McpDiag.HwGtDrvGrp.VEE_OOR_PhsUH.OvrllFail_Cnt &gt; 
K_McpDiag.HwGtDrvGrp.VEE_OOR_PhsUH.OvrllFltSetThrsh
OR
Consecutive Fail Timer is above Fault Set Threshold:
McpDiag.HwGtDrvGrp.VEE_OOR_PhsUH.ConsecutTm_Sec &gt; K_McpDiag.HwGtDrvGrp.VEE_OOR_PhsUH.ConsecutFltSetThrsh
ELSE K_McpDiag.HwGtDrvGrp.VEE_OOR_PhsUH.FstRtryEnbl = 0
No Mature Time (=NA)</t>
  </si>
  <si>
    <t>K_McpDiag.HwGtDrvGrp.VEE_OOR_PhsUH.EnblTyp</t>
  </si>
  <si>
    <t xml:space="preserve">IF K_McpDiag.HwGtDrvGrp.VEE_OOR_PhsUH.FstRtryEnbl = 0
Fault Flag from Low-level Driver
VEE_OOR bit reporting supply voltage VEE out of range must be  not active.
RTE bit read (BIT 0)  from
Intrfc.InRaw.GDIC_HS_U_Status2 = 0
ELSE K_McpDiag.HwGtDrvGrp.VEE_OOR_PhsUH.FstRtryEnbl = 1
No De-Maturation (=NA) </t>
  </si>
  <si>
    <t>320 - HwGtDrvGrp.VEE_OOR_PhsUL
VEE Gate Driver Voltage is Out Of Range</t>
  </si>
  <si>
    <t>Fault Flag from Low-level Driver
VEE_OOR bit reporting supply voltage VEE out of range must be active.
RTE bit read (BIT 0)  from
Intrfc.InRaw.GDIC_LS_U_Status2 should be 1
Built In Self Test is part of Shut Off Path Test.
To trigger this fault in application layer below override can be used:
K_McpIntrfc.Ovrrd.In.GDIC_LS_U_Status2.Sgnl =0x0001
K_McpIntrfc.Ovrrd.In.GDIC_LS_U_Status2.SgnlEnbl =1</t>
  </si>
  <si>
    <t>IF K_McpDiag.HwGtDrvGrp.VEE_OOR_PhsUL.FstRtryEnbl = 1
Quick Fail Count is above Quick Fault Set Threshold:
McpDiag.HwGtDrvGrp.VEE_OOR_PhsUL.QckFail_Cnt &gt; 
K_McpDiag.HwGtDrvGrp.VEE_OOR_PhsUL.QckFltSetThrsh
OR
Overall Fail Count is above Overall Fault Set Threshold:
McpDiag.HwGtDrvGrp.VEE_OOR_PhsUL.OvrllFail_Cnt &gt; 
K_McpDiag.HwGtDrvGrp.VEE_OOR_PhsUL.OvrllFltSetThrsh
OR
Consecutive Fail Timer is above Fault Set Threshold:
McpDiag.HwGtDrvGrp.VEE_OOR_PhsUL.ConsecutTm_Sec &gt; K_McpDiag.HwGtDrvGrp.VEE_OOR_PhsUL.ConsecutFltSetThrsh
ELSE K_McpDiag.HwGtDrvGrp.VEE_OOR_PhsUL.FstRtryEnbl = 0
No Mature Time (=NA)</t>
  </si>
  <si>
    <t>K_McpDiag.HwGtDrvGrp.VEE_OOR_PhsUL.EnblTyp</t>
  </si>
  <si>
    <t xml:space="preserve">IF K_McpDiag.HwGtDrvGrp.VEE_OOR_PhsUL.FstRtryEnbl = 0
Fault Flag from Low-level Driver
VEE_OOR bit reporting supply voltage VEE out of range must be  not active.
RTE bit read (BIT 0)  from
Intrfc.InRaw.GDIC_LS_U_Status2 = 0
ELSE K_McpDiag.HwGtDrvGrp.VEE_OOR_PhsUL.FstRtryEnbl = 1
No De-Maturation (=NA) </t>
  </si>
  <si>
    <t>324 - HwGtDrvGrp.VEE_OOR_PhsVH
VEE Gate Driver Voltage is Out Of Range</t>
  </si>
  <si>
    <t>Fault Flag from Low-level Driver
VEE_OOR bit reporting supply voltage VEE out of range must be active.
RTE bit read (BIT 0)  from
Intrfc.InRaw.GDIC_HS_V_Status2 should be 1
Built In Self Test is part of Shut Off Path Test.
To trigger this fault in application layer below override can be used:
K_McpIntrfc.Ovrrd.In.GDIC_HS_V_Status2.Sgnl =0x0001
K_McpIntrfc.Ovrrd.In.GDIC_HS_V_Status2.SgnlEnbl =1</t>
  </si>
  <si>
    <t>IF K_McpDiag.HwGtDrvGrp.VEE_OOR_PhsVH.FstRtryEnbl = 1
Quick Fail Count is above Quick Fault Set Threshold:
McpDiag.HwGtDrvGrp.VEE_OOR_PhsVH.QckFail_Cnt &gt; 
K_McpDiag.HwGtDrvGrp.VEE_OOR_PhsVH.QckFltSetThrsh
OR
Overall Fail Count is above Overall Fault Set Threshold:
McpDiag.HwGtDrvGrp.VEE_OOR_PhsVH.OvrllFail_Cnt &gt; 
K_McpDiag.HwGtDrvGrp.VEE_OOR_PhsVH.OvrllFltSetThrsh
OR
Consecutive Fail Timer is above Fault Set Threshold:
McpDiag.HwGtDrvGrp.VEE_OOR_PhsVH.ConsecutTm_Sec &gt; K_McpDiag.HwGtDrvGrp.VEE_OOR_PhsVH.ConsecutFltSetThrsh
ELSE K_McpDiag.HwGtDrvGrp.VEE_OOR_PhsVH.FstRtryEnbl = 0
No Mature Time (=NA)</t>
  </si>
  <si>
    <t>K_McpDiag.HwGtDrvGrp.VEE_OOR_PhsVH.EnblTyp</t>
  </si>
  <si>
    <t xml:space="preserve">IF K_McpDiag.HwGtDrvGrp.VEE_OOR_PhsVH.FstRtryEnbl = 0
Fault Flag from Low-level Driver
VEE_OOR bit reporting supply voltage VEE out of range must be  not active.
RTE bit read (BIT 0)  from
Intrfc.InRaw.GDIC_HS_V_Status2 = 0
ELSE K_McpDiag.HwGtDrvGrp.VEE_OOR_PhsVH.FstRtryEnbl = 1
No De-Maturation (=NA) </t>
  </si>
  <si>
    <t>321 - HwGtDrvGrp.VEE_OOR_PhsVL
VEE Gate Driver Voltage is Out Of Range</t>
  </si>
  <si>
    <t>Fault Flag from Low-level Driver
VEE_OOR bit reporting supply voltage VEE out of range must be active.
RTE bit read (BIT 0)  from
Intrfc.InRaw.GDIC_LS_V_Status2 should be 1
Built In Self Test is part of Shut Off Path Test.
To trigger this fault in application layer below override can be used:
K_McpIntrfc.Ovrrd.In.GDIC_LS_V_Status2.Sgnl =0x0001
K_McpIntrfc.Ovrrd.In.GDIC_LS_V_Status2.SgnlEnbl =1</t>
  </si>
  <si>
    <t>IF K_McpDiag.HwGtDrvGrp.VEE_OOR_PhsVL.FstRtryEnbl = 1
Quick Fail Count is above Quick Fault Set Threshold:
McpDiag.HwGtDrvGrp.VEE_OOR_PhsVL.QckFail_Cnt &gt; 
K_McpDiag.HwGtDrvGrp.VEE_OOR_PhsVL.QckFltSetThrsh
OR
Overall Fail Count is above Overall Fault Set Threshold:
McpDiag.HwGtDrvGrp.VEE_OOR_PhsVL.OvrllFail_Cnt &gt; 
K_McpDiag.HwGtDrvGrp.VEE_OOR_PhsVL.OvrllFltSetThrsh
OR
Consecutive Fail Timer is above Fault Set Threshold:
McpDiag.HwGtDrvGrp.VEE_OOR_PhsVL.ConsecutTm_Sec &gt; K_McpDiag.HwGtDrvGrp.VEE_OOR_PhsVL.ConsecutFltSetThrsh
ELSE K_McpDiag.HwGtDrvGrp.VEE_OOR_PhsVL.FstRtryEnbl = 0
No Mature Time (=NA)</t>
  </si>
  <si>
    <t>K_McpDiag.HwGtDrvGrp.VEE_OOR_PhsVL.EnblTyp</t>
  </si>
  <si>
    <t xml:space="preserve">IF K_McpDiag.HwGtDrvGrp.VEE_OOR_PhsVL.FstRtryEnbl = 0
Fault Flag from Low-level Driver
VEE_OOR bit reporting supply voltage VEE out of range must be  not active.
RTE bit read (BIT 0)  from
Intrfc.InRaw.GDIC_LS_V_Status2 = 0
ELSE K_McpDiag.HwGtDrvGrp.VEE_OOR_PhsVL.FstRtryEnbl = 1
No De-Maturation (=NA) </t>
  </si>
  <si>
    <t>325 - HwGtDrvGrp.VEE_OOR_PhsWH
VEE Gate Driver Voltage is Out Of Range</t>
  </si>
  <si>
    <t>Fault Flag from Low-level Driver
VEE_OOR bit reporting supply voltage VEE out of range must be active.
RTE bit read (BIT 0)  from
Intrfc.InRaw.GDIC_HS_W_Status2 should be 1
Built In Self Test is part of Shut Off Path Test.
To trigger this fault in application layer below override can be used:
K_McpIntrfc.Ovrrd.In.GDIC_HS_W_Status2.Sgnl =0x0001
K_McpIntrfc.Ovrrd.In.GDIC_HS_W_Status2.SgnlEnbl =1</t>
  </si>
  <si>
    <t>IF K_McpDiag.HwGtDrvGrp.VEE_OOR_PhsWH.FstRtryEnbl = 1
Quick Fail Count is above Quick Fault Set Threshold:
McpDiag.HwGtDrvGrp.VEE_OOR_PhsWH.QckFail_Cnt &gt; 
K_McpDiag.HwGtDrvGrp.VEE_OOR_PhsWH.QckFltSetThrsh
OR
Overall Fail Count is above Overall Fault Set Threshold:
McpDiag.HwGtDrvGrp.VEE_OOR_PhsWH.OvrllFail_Cnt &gt; 
K_McpDiag.HwGtDrvGrp.VEE_OOR_PhsWH.OvrllFltSetThrsh
OR
Consecutive Fail Timer is above Fault Set Threshold:
McpDiag.HwGtDrvGrp.VEE_OOR_PhsWH.ConsecutTm_Sec &gt; K_McpDiag.HwGtDrvGrp.VEE_OOR_PhsWH.ConsecutFltSetThrsh
ELSE K_McpDiag.HwGtDrvGrp.VEE_OOR_PhsWH.FstRtryEnbl = 0
No Mature Time (=NA)</t>
  </si>
  <si>
    <t>K_McpDiag.HwGtDrvGrp.VEE_OOR_PhsWH.EnblTyp</t>
  </si>
  <si>
    <t xml:space="preserve">IF K_McpDiag.HwGtDrvGrp.VEE_OOR_PhsWH.FstRtryEnbl = 0
Fault Flag from Low-level Driver
VEE_OOR bit reporting supply voltage VEE out of range must be  not active.
RTE bit read (BIT 0)  from
Intrfc.InRaw.GDIC_HS_W_Status2 = 0
ELSE K_McpDiag.HwGtDrvGrp.VEE_OOR_PhsWH.FstRtryEnbl = 1
No De-Maturation (=NA) </t>
  </si>
  <si>
    <t>322 - HwGtDrvGrp.VEE_OOR_PhsWL
VEE Gate Driver Voltage is Out Of Range</t>
  </si>
  <si>
    <t>Fault Flag from Low-level Driver
VEE_OOR bit reporting supply voltage VEE out of range must be active.
RTE bit read (BIT 0)  from
Intrfc.InRaw.GDIC_LS_W_Status2 should be 1
Built In Self Test is part of Shut Off Path Test.
To trigger this fault in application layer below override can be used:
K_McpIntrfc.Ovrrd.In.GDIC_LS_W_Status2.Sgnl =0x0001
K_McpIntrfc.Ovrrd.In.GDIC_LS_W_Status2.SgnlEnbl =1</t>
  </si>
  <si>
    <t>IF K_McpDiag.HwGtDrvGrp.VEE_OOR_PhsWL.FstRtryEnbl = 1
Quick Fail Count is above Quick Fault Set Threshold:
McpDiag.HwGtDrvGrp.VEE_OOR_PhsWL.QckFail_Cnt &gt; 
K_McpDiag.HwGtDrvGrp.VEE_OOR_PhsWL.QckFltSetThrsh
OR
Overall Fail Count is above Overall Fault Set Threshold:
McpDiag.HwGtDrvGrp.VEE_OOR_PhsWL.OvrllFail_Cnt &gt; 
K_McpDiag.HwGtDrvGrp.VEE_OOR_PhsWL.OvrllFltSetThrsh
OR
Consecutive Fail Timer is above Fault Set Threshold:
McpDiag.HwGtDrvGrp.VEE_OOR_PhsWL.ConsecutTm_Sec &gt; K_McpDiag.HwGtDrvGrp.VEE_OOR_PhsWL.ConsecutFltSetThrsh
ELSE K_McpDiag.HwGtDrvGrp.VEE_OOR_PhsWL.FstRtryEnbl = 0
No Mature Time (=NA)</t>
  </si>
  <si>
    <t>K_McpDiag.HwGtDrvGrp.VEE_OOR_PhsWL.EnblTyp</t>
  </si>
  <si>
    <t xml:space="preserve">IF K_McpDiag.HwGtDrvGrp.VEE_OOR_PhsWL.FstRtryEnbl = 0
Fault Flag from Low-level Driver
VEE_OOR bit reporting supply voltage VEE out of range must be  not active.
RTE bit read (BIT 0)  from
Intrfc.InRaw.GDIC_LS_W_Status2 = 0
ELSE K_McpDiag.HwGtDrvGrp.VEE_OOR_PhsWL.FstRtryEnbl = 1
No De-Maturation (=NA) </t>
  </si>
  <si>
    <t>449 - HwGtDrvGrp.VGE_PhsUH
VEG-  Gate-emitter voltage failed</t>
  </si>
  <si>
    <t>Fault Flag from Low-level Driver
Only valid if RTMON_CFG=0, LV domain detected that VGE(RTMON_CFG = 0) is not tracking commanded state must be active.
RTE bit read (BIT 4)  from
Intrfc.InRaw.GDIC_HS_U_Status2 should be 1
Built In Self Test is part of Shut Off Path Test.
To trigger this fault in application layer below override can be used:
K_McpIntrfc.Ovrrd.In.GDIC_HS_U_Status2.Sgnl =0x0010
K_McpIntrfc.Ovrrd.In.GDIC_HS_U_Status2.SgnlEnbl =1</t>
  </si>
  <si>
    <t>IF K_McpDiag.HwGtDrvGrp.VGE_PhsUH.FstRtryEnbl = 1
Quick Fail Count is above Quick Fault Set Threshold:
McpDiag.HwGtDrvGrp.VGE_PhsUH.QckFail_Cnt &gt; 
K_McpDiag.HwGtDrvGrp.VGE_PhsUH.QckFltSetThrsh
OR
Overall Fail Count is above Overall Fault Set Threshold:
McpDiag.HwGtDrvGrp.VGE_PhsUH.OvrllFail_Cnt &gt; 
K_McpDiag.HwGtDrvGrp.VGE_PhsUH.OvrllFltSetThrsh
OR
Consecutive Fail Timer is above Fault Set Threshold:
McpDiag.HwGtDrvGrp.VGE_PhsUH.ConsecutTm_Sec &gt; K_McpDiag.HwGtDrvGrp.VGE_PhsUH.ConsecutFltSetThrsh
ELSE K_McpDiag.HwGtDrvGrp.VGE_PhsUH.FstRtryEnbl = 0
No Mature Time (=NA)</t>
  </si>
  <si>
    <t>K_McpDiag.HwGtDrvGrp.VGE_PhsUH.EnblTyp</t>
  </si>
  <si>
    <t xml:space="preserve">IF K_McpDiag.HwGtDrvGrp.VGE_PhsUH.FstRtryEnbl = 0
Fault Flag from Low-level Driver
Only valid if RTMON_CFG=0, LV domain detected that VGE(RTMON_CFG = 0) is not tracking commanded state must be not active.
RTE bit read (BIT 4)  from
Intrfc.InRaw.GDIC_HS_U_Status2 = 0
ELSE K_McpDiag.HwGtDrvGrp.VGE_PhsUH.FstRtryEnbl = 1
No De-Maturation (=NA) </t>
  </si>
  <si>
    <t>446 - HwGtDrvGrp.VGE_PhsUL
VEG-  Gate-emitter voltage failed</t>
  </si>
  <si>
    <t>Fault Flag from Low-level Driver
Only valid if RTMON_CFG=0, LV domain detected that VGE(RTMON_CFG = 0) is not tracking commanded state must be active.
RTE bit read (BIT 4)  from
Intrfc.InRaw.GDIC_LS_U_Status2 should be 1
Built In Self Test is part of Shut Off Path Test.
To trigger this fault in application layer below override can be used:
K_McpIntrfc.Ovrrd.In.GDIC_LS_U_Status2.Sgnl =0x0010
K_McpIntrfc.Ovrrd.In.GDIC_LS_U_Status2.SgnlEnbl =1</t>
  </si>
  <si>
    <t>IF K_McpDiag.HwGtDrvGrp.VGE_PhsUL.FstRtryEnbl = 1
Quick Fail Count is above Quick Fault Set Threshold:
McpDiag.HwGtDrvGrp.VGE_PhsUL.QckFail_Cnt &gt; 
K_McpDiag.HwGtDrvGrp.VGE_PhsUL.QckFltSetThrsh
OR
Overall Fail Count is above Overall Fault Set Threshold:
McpDiag.HwGtDrvGrp.VGE_PhsUL.OvrllFail_Cnt &gt; 
K_McpDiag.HwGtDrvGrp.VGE_PhsUL.OvrllFltSetThrsh
OR
Consecutive Fail Timer is above Fault Set Threshold:
McpDiag.HwGtDrvGrp.VGE_PhsUL.ConsecutTm_Sec &gt; K_McpDiag.HwGtDrvGrp.VGE_PhsUL.ConsecutFltSetThrsh
ELSE K_McpDiag.HwGtDrvGrp.VGE_PhsUL.FstRtryEnbl = 0
No Mature Time (=NA)</t>
  </si>
  <si>
    <t>K_McpDiag.HwGtDrvGrp.VGE_PhsUL.EnblTyp</t>
  </si>
  <si>
    <t xml:space="preserve">IF K_McpDiag.HwGtDrvGrp.VGE_PhsUL.FstRtryEnbl = 0
Fault Flag from Low-level Driver
Only valid if RTMON_CFG=0, LV domain detected that VGE(RTMON_CFG = 0) is not tracking commanded state must be not active.
RTE bit read (BIT 4)  from
Intrfc.InRaw.GDIC_LS_U_Status2 = 0
ELSE K_McpDiag.HwGtDrvGrp.VGE_PhsUL.FstRtryEnbl = 1
No De-Maturation (=NA) </t>
  </si>
  <si>
    <t>450 - HwGtDrvGrp.VGE_PhsVH
VEG-  Gate-emitter voltage failed</t>
  </si>
  <si>
    <t>Fault Flag from Low-level Driver
Only valid if RTMON_CFG=0, LV domain detected that VGE(RTMON_CFG = 0) is not tracking commanded state must be active.
RTE bit read (BIT 4)  from
Intrfc.InRaw.GDIC_HS_V_Status2 should be 1
Built In Self Test is part of Shut Off Path Test.
To trigger this fault in application layer below override can be used:
K_McpIntrfc.Ovrrd.In.GDIC_HS_V_Status2.Sgnl =0x0010
K_McpIntrfc.Ovrrd.In.GDIC_HS_V_Status2.SgnlEnbl =1</t>
  </si>
  <si>
    <t>IF K_McpDiag.HwGtDrvGrp.VGE_PhsVH.FstRtryEnbl = 1
Quick Fail Count is above Quick Fault Set Threshold:
McpDiag.HwGtDrvGrp.VGE_PhsVH.QckFail_Cnt &gt; 
K_McpDiag.HwGtDrvGrp.VGE_PhsVH.QckFltSetThrsh
OR
Overall Fail Count is above Overall Fault Set Threshold:
McpDiag.HwGtDrvGrp.VGE_PhsVH.OvrllFail_Cnt &gt; 
K_McpDiag.HwGtDrvGrp.VGE_PhsVH.OvrllFltSetThrsh
OR
Consecutive Fail Timer is above Fault Set Threshold:
McpDiag.HwGtDrvGrp.VGE_PhsVH.ConsecutTm_Sec &gt; K_McpDiag.HwGtDrvGrp.VGE_PhsVH.ConsecutFltSetThrsh
ELSE K_McpDiag.HwGtDrvGrp.VGE_PhsVH.FstRtryEnbl = 0
No Mature Time (=NA)</t>
  </si>
  <si>
    <t>K_McpDiag.HwGtDrvGrp.VGE_PhsVH.EnblTyp</t>
  </si>
  <si>
    <t xml:space="preserve">IF K_McpDiag.HwGtDrvGrp.VGE_PhsVH.FstRtryEnbl = 0
Fault Flag from Low-level Driver
Only valid if RTMON_CFG=0, LV domain detected that VGE(RTMON_CFG = 0) is not tracking commanded state must be not active.
RTE bit read (BIT 4)  from
Intrfc.InRaw.GDIC_HS_V_Status2 = 0
ELSE K_McpDiag.HwGtDrvGrp.VGE_PhsVH.FstRtryEnbl = 1
No De-Maturation (=NA) </t>
  </si>
  <si>
    <t>447 - HwGtDrvGrp.VGE_PhsVL
VEG-  Gate-emitter voltage failed</t>
  </si>
  <si>
    <t>Fault Flag from Low-level Driver
Only valid if RTMON_CFG=0, LV domain detected that VGE(RTMON_CFG = 0) is not tracking commanded state must be active.
RTE bit read (BIT 4)  from
Intrfc.InRaw.GDIC_LS_V_Status2 should be 1
Built In Self Test is part of Shut Off Path Test.
To trigger this fault in application layer below override can be used:
K_McpIntrfc.Ovrrd.In.GDIC_LS_V_Status2.Sgnl =0x0010
K_McpIntrfc.Ovrrd.In.GDIC_LS_V_Status2.SgnlEnbl =1</t>
  </si>
  <si>
    <t>IF K_McpDiag.HwGtDrvGrp.VGE_PhsVL.FstRtryEnbl = 1
Quick Fail Count is above Quick Fault Set Threshold:
McpDiag.HwGtDrvGrp.VGE_PhsVL.QckFail_Cnt &gt; 
K_McpDiag.HwGtDrvGrp.VGE_PhsVL.QckFltSetThrsh
OR
Overall Fail Count is above Overall Fault Set Threshold:
McpDiag.HwGtDrvGrp.VGE_PhsVL.OvrllFail_Cnt &gt; 
K_McpDiag.HwGtDrvGrp.VGE_PhsVL.OvrllFltSetThrsh
OR
Consecutive Fail Timer is above Fault Set Threshold:
McpDiag.HwGtDrvGrp.VGE_PhsVL.ConsecutTm_Sec &gt; K_McpDiag.HwGtDrvGrp.VGE_PhsVL.ConsecutFltSetThrsh
ELSE K_McpDiag.HwGtDrvGrp.VGE_PhsVL.FstRtryEnbl = 0
No Mature Time (=NA)</t>
  </si>
  <si>
    <t>K_McpDiag.HwGtDrvGrp.VGE_PhsVL.EnblTyp</t>
  </si>
  <si>
    <t xml:space="preserve">IF K_McpDiag.HwGtDrvGrp.VGE_PhsVL.FstRtryEnbl = 0
Fault Flag from Low-level Driver
Only valid if RTMON_CFG=0, LV domain detected that VGE(RTMON_CFG = 0) is not tracking commanded state must be not active.
RTE bit read (BIT 4)  from
Intrfc.InRaw.GDIC_LS_V_Status2 = 0
ELSE K_McpDiag.HwGtDrvGrp.VGE_PhsVL.FstRtryEnbl = 1
No De-Maturation (=NA) </t>
  </si>
  <si>
    <t>451 - HwGtDrvGrp.VGE_PhsWH
VEG-  Gate-emitter voltage failed</t>
  </si>
  <si>
    <t>Fault Flag from Low-level Driver
Only valid if RTMON_CFG=0, LV domain detected that VGE(RTMON_CFG = 0) is not tracking commanded state must be active.
RTE bit read (BIT 4)  from
Intrfc.InRaw.GDIC_HS_W_Status2 should be 1
Built In Self Test is part of Shut Off Path Test.
To trigger this fault in application layer below override can be used:
K_McpIntrfc.Ovrrd.In.GDIC_HS_W_Status2.Sgnl =0x0010
K_McpIntrfc.Ovrrd.In.GDIC_HS_W_Status2.SgnlEnbl =1</t>
  </si>
  <si>
    <t>IF K_McpDiag.HwGtDrvGrp.VGE_PhsWH.FstRtryEnbl = 1
Quick Fail Count is above Quick Fault Set Threshold:
McpDiag.HwGtDrvGrp.VGE_PhsWH.QckFail_Cnt &gt; 
K_McpDiag.HwGtDrvGrp.VGE_PhsWH.QckFltSetThrsh
OR
Overall Fail Count is above Overall Fault Set Threshold:
McpDiag.HwGtDrvGrp.VGE_PhsWH.OvrllFail_Cnt &gt; 
K_McpDiag.HwGtDrvGrp.VGE_PhsWH.OvrllFltSetThrsh
OR
Consecutive Fail Timer is above Fault Set Threshold:
McpDiag.HwGtDrvGrp.VGE_PhsWHConsecutTm_Sec &gt; K_McpDiag.HwGtDrvGrp.VGE_PhsWH.ConsecutFltSetThrsh
ELSE K_McpDiag.HwGtDrvGrp.VGE_PhsWH.FstRtryEnbl = 0
No Mature Time (=NA)</t>
  </si>
  <si>
    <t>K_McpDiag.HwGtDrvGrp.VGE_PhsWH.EnblTyp</t>
  </si>
  <si>
    <t xml:space="preserve">IF K_McpDiag.HwGtDrvGrp.VGE_PhsWH.FstRtryEnbl = 0
Fault Flag from Low-level Driver
Only valid if RTMON_CFG=0, LV domain detected that VGE(RTMON_CFG = 0) is not tracking commanded state must be not active.
RTE bit read (BIT 4)  from
Intrfc.InRaw.GDIC_HS_W_Status2 = 0
ELSE K_McpDiag.HwGtDrvGrp.VGE_PhsWH.FstRtryEnbl = 1
No De-Maturation (=NA) </t>
  </si>
  <si>
    <t>448 - HwGtDrvGrp.VGE_PhsWL
VEG-  Gate-emitter voltage failed</t>
  </si>
  <si>
    <t>Fault Flag from Low-level Driver
Only valid if RTMON_CFG=0, LV domain detected that VGE(RTMON_CFG = 0) is not tracking commanded state must be active.
RTE bit read (BIT 4)  from
Intrfc.InRaw.GDIC_LS_W_Status2 should be 1
Built In Self Test is part of Shut Off Path Test.
To trigger this fault in application layer below override can be used:
K_McpIntrfc.Ovrrd.In.GDIC_LS_W_Status2.Sgnl =0x0010
K_McpIntrfc.Ovrrd.In.GDIC_LS_W_Status2.SgnlEnbl =1</t>
  </si>
  <si>
    <t>IF K_McpDiag.HwGtDrvGrp.VGE_PhsWL.FstRtryEnbl = 1
Quick Fail Count is above Quick Fault Set Threshold:
McpDiag.HwGtDrvGrp.VGE_PhsWL.QckFail_Cnt &gt; 
K_McpDiag.HwGtDrvGrp.VGE_PhsWL.QckFltSetThrsh
OR
Overall Fail Count is above Overall Fault Set Threshold:
McpDiag.HwGtDrvGrp.VGE_PhsWL.OvrllFail_Cnt &gt; 
K_McpDiag.HwGtDrvGrp.VGE_PhsWL.OvrllFltSetThrsh
OR
Consecutive Fail Timer is above Fault Set Threshold:
McpDiag.HwGtDrvGrp.VGE_PhsWL.ConsecutTm_Sec &gt; K_McpDiag.HwGtDrvGrp.VGE_PhsWL.ConsecutFltSetThrsh
ELSE K_McpDiag.HwGtDrvGrp.VGE_PhsWL.FstRtryEnbl = 0
No Mature Time (=NA)</t>
  </si>
  <si>
    <t>K_McpDiag.HwGtDrvGrp.VGE_PhsWL.EnblTyp</t>
  </si>
  <si>
    <t xml:space="preserve">IF K_McpDiag.HwGtDrvGrp.VGE_PhsWL.FstRtryEnbl = 0
Fault Flag from Low-level Driver
Only valid if RTMON_CFG=0, LV domain detected that VGE(RTMON_CFG = 0) is not tracking commanded state must be not active.
RTE bit read (BIT 4)  from
Intrfc.InRaw.GDIC_LS_W_Status2 = 0
ELSE K_McpDiag.HwGtDrvGrp.VGE_PhsWL.FstRtryEnbl = 1
No De-Maturation (=NA) </t>
  </si>
  <si>
    <t>329 - HwGtDrvGrp.VREF_UV_PhsUH
Gate driver VREF undervoltage detection</t>
  </si>
  <si>
    <t>Fault Flag from Low-level Driver
VREF_UV bit reporting undervoltage VREF must be below 4.3V to be active.
RTE bit read (BIT 1)  from
Intrfc.InRaw.GDIC_HS_U_Status2 should be 1
Built In Self Test is part of Shut Off Path Test.
To trigger this fault in application layer below override can be used:
K_McpIntrfc.Ovrrd.In.GDIC_HS_U_Status2.Sgnl =0x0002
K_McpIntrfc.Ovrrd.In.GDIC_HS_U_Status2.SgnlEnbl =1</t>
  </si>
  <si>
    <t>IF K_McpDiag.HwGtDrvGrp.VREF_UV_PhsUH.FstRtryEnbl = 1
Quick Fail Count is above Quick Fault Set Threshold:
McpDiag.HwGtDrvGrp.VREF_UV_PhsUH.QckFail_Cnt &gt; 
K_McpDiag.HwGtDrvGrp.VREF_UV_PhsUH.QckFltSetThrsh
OR
Overall Fail Count is above Overall Fault Set Threshold:
McpDiag.HwGtDrvGrp.VREF_UV_PhsUH.OvrllFail_Cnt &gt; 
K_McpDiag.HwGtDrvGrp.VREF_UV_PhsUH.OvrllFltSetThrsh
OR
Consecutive Fail Timer is above Fault Set Threshold:
McpDiag.HwGtDrvGrp.VREF_UV_PhsUH.ConsecutTm_Sec &gt; K_McpDiag.HwGtDrvGrp.VREF_UV_PhsUH.ConsecutFltSetThrsh
ELSE K_McpDiag.HwGtDrvGrp.VREF_UV_PhsUH.FstRtryEnbl = 0
No Mature Time (=NA)</t>
  </si>
  <si>
    <t>K_McpDiag.HwGtDrvGrp.VREF_UV_PhsUH.EnblTyp</t>
  </si>
  <si>
    <t xml:space="preserve">IF K_McpDiag.HwGtDrvGrp.VREF_UV_PhsUH.FstRtryEnbl = 0
Fault Flag from Low-level Driver
VREF_UV bit reporting undervoltage VREF must be above 4.3V to be not active.
RTE bit read (BIT 1)  from
Intrfc.InRaw.GDIC_HS_U_Status2 = 0
ELSE K_McpDiag.HwGtDrvGrp.VREF_UV_PhsUH.FstRtryEnbl = 1
No De-Maturation (=NA) </t>
  </si>
  <si>
    <t>326 - HwGtDrvGrp.VREF_UV_PhsUL
Gate driver VREF undervoltage detection</t>
  </si>
  <si>
    <t>Fault Flag from Low-level Driver
VREF_UV bit reporting undervoltage VREF must be below 4.3V to be active.
RTE bit read (BIT 1)  from
Intrfc.InRaw.GDIC_LS_U_Status2 should be 1
Built In Self Test is part of Shut Off Path Test.
To trigger this fault in application layer below override can be used:
K_McpIntrfc.Ovrrd.In.GDIC_LS_U_Status2.Sgnl =0x0002
K_McpIntrfc.Ovrrd.In.GDIC_LS_U_Status2.SgnlEnbl =1</t>
  </si>
  <si>
    <t>IF K_McpDiag.HwGtDrvGrp.VREF_UV_PhsUL.FstRtryEnbl = 1
Quick Fail Count is above Quick Fault Set Threshold:
McpDiag.HwGtDrvGrp.VREF_UV_PhsUL.QckFail_Cnt &gt; 
K_McpDiag.HwGtDrvGrp.VREF_UV_PhsUL.QckFltSetThrsh
OR
Overall Fail Count is above Overall Fault Set Threshold:
McpDiag.HwGtDrvGrp.VREF_UV_PhsUL.OvrllFail_Cnt &gt; 
K_McpDiag.HwGtDrvGrp.VREF_UV_PhsUL.OvrllFltSetThrsh
OR
Consecutive Fail Timer is above Fault Set Threshold:
McpDiag.HwGtDrvGrp.VREF_UV_PhsUL.ConsecutTm_Sec &gt; K_McpDiag.HwGtDrvGrp.VREF_UV_PhsUL.ConsecutFltSetThrsh
ELSE K_McpDiag.HwGtDrvGrp.VREF_UV_PhsUL.FstRtryEnbl = 0
No Mature Time (=NA)</t>
  </si>
  <si>
    <t>K_McpDiag.HwGtDrvGrp.VREF_UV_PhsUL.EnblTyp</t>
  </si>
  <si>
    <t xml:space="preserve">IF K_McpDiag.HwGtDrvGrp.VREF_UV_PhsUL.FstRtryEnbl = 0
Fault Flag from Low-level Driver
VREF_UV bit reporting undervoltage VREF must be above 4.3V to be not active.
RTE bit read (BIT 1)  from
Intrfc.InRaw.GDIC_LS_U_Status2 = 0
ELSE K_McpDiag.HwGtDrvGrp.VREF_UV_PhsUL.FstRtryEnbl = 1
No De-Maturation (=NA) </t>
  </si>
  <si>
    <t>330 - HwGtDrvGrp.VREF_UV_PhsVH
Gate driver VREF undervoltage detection</t>
  </si>
  <si>
    <t>Fault Flag from Low-level Driver
VREF_UV bit reporting undervoltage VREF must be below 4.3V to be active.
RTE bit read (BIT 1)  from
Intrfc.InRaw.GDIC_HS_V_Status2 should be 1
Built In Self Test is part of Shut Off Path Test.
To trigger this fault in application layer below override can be used:
K_McpIntrfc.Ovrrd.In.GDIC_HS_V_Status2.Sgnl =0x0002
K_McpIntrfc.Ovrrd.In.GDIC_HS_V_Status2.SgnlEnbl =1</t>
  </si>
  <si>
    <t>IF K_McpDiag.HwGtDrvGrp.VREF_UV_PhsVH.FstRtryEnbl = 1
Quick Fail Count is above Quick Fault Set Threshold:
McpDiag.HwGtDrvGrp.VREF_UV_PhsVH.QckFail_Cnt &gt; 
K_McpDiag.HwGtDrvGrp.VREF_UV_PhsVH.QckFltSetThrsh
OR
Overall Fail Count is above Overall Fault Set Threshold:
McpDiag.HwGtDrvGrp.VREF_UV_PhsVH.OvrllFail_Cnt &gt; 
K_McpDiag.HwGtDrvGrp.VREF_UV_PhsVH.OvrllFltSetThrsh
OR
Consecutive Fail Timer is above Fault Set Threshold:
McpDiag.HwGtDrvGrp.VREF_UV_PhsVH.ConsecutTm_Sec &gt; K_McpDiag.HwGtDrvGrp.VREF_UV_PhsVH.ConsecutFltSetThrsh
ELSE K_McpDiag.HwGtDrvGrp.VREF_UV_PhsVH.FstRtryEnbl = 0
No Mature Time (=NA)</t>
  </si>
  <si>
    <t>K_McpDiag.HwGtDrvGrp.VREF_UV_PhsVH.EnblTyp</t>
  </si>
  <si>
    <t xml:space="preserve">IF K_McpDiag.HwGtDrvGrp.VREF_UV_PhsVH.FstRtryEnbl = 0
Fault Flag from Low-level Driver
VREF_UV bit reporting undervoltage VREF must be above 4.3V to be not active.
RTE bit read (BIT 1)  from
Intrfc.InRaw.GDIC_HS_V_Status2 = 0
ELSE K_McpDiag.HwGtDrvGrp.VREF_UV_PhsVH.FstRtryEnbl = 1
No De-Maturation (=NA) </t>
  </si>
  <si>
    <t>327 - HwGtDrvGrp.VREF_UV_PhsVL
Gate driver VREF undervoltage detection</t>
  </si>
  <si>
    <t>Fault Flag from Low-level Driver
REF_UV bit reporting undervoltage VREF must be below 4.3V to be active.
RTE bit read (BIT 1)  from
Intrfc.InRaw.GDIC_LS_V_Status2 should be 1
Built In Self Test is part of Shut Off Path Test.
To trigger this fault in application layer below override can be used:
K_McpIntrfc.Ovrrd.In.GDIC_LS_V_Status2.Sgnl =0x0002
K_McpIntrfc.Ovrrd.In.GDIC_LS_V_Status2.SgnlEnbl =1</t>
  </si>
  <si>
    <t>IF K_McpDiag.HwGtDrvGrp.VREF_UV_PhsVL.FstRtryEnbl = 1
Quick Fail Count is above Quick Fault Set Threshold:
McpDiag.HwGtDrvGrp.VREF_UV_PhsVL.QckFail_Cnt &gt; 
K_McpDiag.HwGtDrvGrp.VREF_UV_PhsVL.QckFltSetThrsh
OR
Overall Fail Count is above Overall Fault Set Threshold:
McpDiag.HwGtDrvGrp.VREF_UV_PhsVL.OvrllFail_Cnt &gt; 
K_McpDiag.HwGtDrvGrp.VREF_UV_PhsVL.OvrllFltSetThrsh
OR
Consecutive Fail Timer is above Fault Set Threshold:
McpDiag.HwGtDrvGrp.VREF_UV_PhsVL.ConsecutTm_Sec &gt; K_McpDiag.HwGtDrvGrp.VREF_UV_PhsVL.ConsecutFltSetThrsh
ELSE K_McpDiag.HwGtDrvGrp.VREF_UV_PhsVL.FstRtryEnbl = 0
No Mature Time (=NA)</t>
  </si>
  <si>
    <t>K_McpDiag.HwGtDrvGrp.VREF_UV_PhsVL.EnblTyp</t>
  </si>
  <si>
    <t xml:space="preserve">IF K_McpDiag.HwGtDrvGrp.VREF_UV_PhsVL.FstRtryEnbl = 0
Fault Flag from Low-level Driver
VREF_UV bit reporting undervoltage VREF must be above 4.3V to be not active.
RTE bit read (BIT 1)  from
Intrfc.InRaw.GDIC_LS_V_Status2 = 0
ELSE K_McpDiag.HwGtDrvGrp.VREF_UV_PhsVL.FstRtryEnbl = 1
No De-Maturation (=NA) </t>
  </si>
  <si>
    <t>331 - HwGtDrvGrp.VREF_UV_PhsWH
Gate driver VREF undervoltage detection</t>
  </si>
  <si>
    <t>Fault Flag from Low-level Driver
VREF_UV bit reporting undervoltage VREF must be below 4.3V to be active.
RTE bit read (BIT 1)  from
Intrfc.InRaw.GDIC_HS_W_Status2 should be 1
Built In Self Test is part of Shut Off Path Test.
To trigger this fault in application layer below override can be used:
K_McpIntrfc.Ovrrd.In.GDIC_HS_W_Status2.Sgnl =0x0002
K_McpIntrfc.Ovrrd.In.GDIC_HS_W_Status2.SgnlEnbl =1</t>
  </si>
  <si>
    <t>IF K_McpDiag.HwGtDrvGrp.VREF_UV_PhsWH.FstRtryEnbl = 1
Quick Fail Count is above Quick Fault Set Threshold:
McpDiag.HwGtDrvGrp.VREF_UV_PhsWH.QckFail_Cnt &gt; 
K_McpDiag.HwGtDrvGrp.VREF_UV_PhsWH.QckFltSetThrsh
OR
Overall Fail Count is above Overall Fault Set Threshold:
McpDiag.HwGtDrvGrp.VREF_UV_PhsWH.OvrllFail_Cnt &gt; 
K_McpDiag.HwGtDrvGrp.VREF_UV_PhsWH.OvrllFltSetThrsh
OR
Consecutive Fail Timer is above Fault Set Threshold:
McpDiag.HwGtDrvGrp.VREF_UV_PhsWH.ConsecutTm_Sec &gt; K_McpDiag.HwGtDrvGrp.VREF_UV_PhsWH.ConsecutFltSetThrsh
ELSE K_McpDiag.HwGtDrvGrp.VREF_UV_PhsWH.FstRtryEnbl = 0
No Mature Time (=NA)</t>
  </si>
  <si>
    <t>K_McpDiag.HwGtDrvGrp.VREF_UV_PhsWH.EnblTyp</t>
  </si>
  <si>
    <t xml:space="preserve">IF K_McpDiag.HwGtDrvGrp.VREF_UV_PhsWH.FstRtryEnbl = 0
Fault Flag from Low-level Driver
VREF_UV bit reporting undervoltage VREF must be above 4.3V to be not active.
RTE bit read (BIT 1)  from
Intrfc.InRaw.GDIC_HS_W_Status2 = 0
ELSE K_McpDiag.HwGtDrvGrp.VREF_UV_PhsWH.FstRtryEnbl = 1
No De-Maturation (=NA) </t>
  </si>
  <si>
    <t>328 - HwGtDrvGrp.VREF_UV_PhsWL
Gate driver VREF undervoltage detection</t>
  </si>
  <si>
    <t>Fault Flag from Low-level Driver
VREF_UV bit reporting undervoltage VREF must be below 4.3V to be active.
RTE bit read (BIT 1)  from
Intrfc.InRaw.GDIC_LS_W_Status2 should be 1
Built In Self Test is part of Shut Off Path Test.
To trigger this fault in application layer below override can be used:
K_McpIntrfc.Ovrrd.In.GDIC_LS_W_Status2.Sgnl =0x0002
K_McpIntrfc.Ovrrd.In.GDIC_LS_W_Status2.SgnlEnbl =1</t>
  </si>
  <si>
    <t>IF K_McpDiag.HwGtDrvGrp.VREF_UV_PhsWL.FstRtryEnbl = 1
Quick Fail Count is above Quick Fault Set Threshold:
McpDiag.HwGtDrvGrp.VREF_UV_PhsWL.QckFail_Cnt &gt; 
K_McpDiag.HwGtDrvGrp.VREF_UV_PhsWL.QckFltSetThrsh
OR
Overall Fail Count is above Overall Fault Set Threshold:
McpDiag.HwGtDrvGrp.VREF_UV_PhsWL.OvrllFail_Cnt &gt; 
K_McpDiag.HwGtDrvGrp.VREF_UV_PhsWL.OvrllFltSetThrsh
OR
Consecutive Fail Timer is above Fault Set Threshold:
McpDiag.HwGtDrvGrp.VREF_UV_PhsWL.ConsecutTm_Sec &gt; K_McpDiag.HwGtDrvGrp.VREF_UV_PhsWL.ConsecutFltSetThrsh
ELSE K_McpDiag.HwGtDrvGrp.VREF_UV_PhsWL.FstRtryEnbl = 0
No Mature Time (=NA)</t>
  </si>
  <si>
    <t>K_McpDiag.HwGtDrvGrp.VREF_UV_PhsWL.EnblTyp</t>
  </si>
  <si>
    <t xml:space="preserve">IF K_McpDiag.HwGtDrvGrp.VREF_UV_PhsWL.FstRtryEnbl = 0
Fault Flag from Low-level Driver
VREF_UV bit reporting undervoltage VREF must be above 4.3V to be not active.
RTE bit read (BIT 1)  from
Intrfc.InRaw.GDIC_LS_W_Status2 = 0
ELSE K_McpDiag.HwGtDrvGrp.VREF_UV_PhsWL.FstRtryEnbl = 1
No De-Maturation (=NA) </t>
  </si>
  <si>
    <t>419 - HwGtDrvGrp.VSUPOV_PhsUH
Gate Driver Voltage Supply Over Voltage</t>
  </si>
  <si>
    <t>Fault Flag from Low-level Driver
VSUPOV bit reporting supply overvoltage (OV) must be active.
RTE bit read (BIT 7)  from
Intrfc.InRaw.GDIC_HS_U_Status1 should be 1
Built In Self Test is part of Shut Off Path Test.
To trigger this fault in application layer below override can be used:
K_McpIntrfc.Ovrrd.In.GDIC_HS_U_Status1.Sgnl =0x0080
K_McpIntrfc.Ovrrd.In.GDIC_HS_U_Status1.SgnlEnbl =1</t>
  </si>
  <si>
    <t>IF K_McpDiag.HwGtDrvGrp.VSUPOV_PhsUH.FstRtryEnbl = 1
Quick Fail Count is above Quick Fault Set Threshold:
McpDiag.HwGtDrvGrp.VSUPOV_PhsUH.QckFail_Cnt &gt; 
K_McpDiag.HwGtDrvGrp.VSUPOV_PhsUH.QckFltSetThrsh
OR
Overall Fail Count is above Overall Fault Set Threshold:
McpDiag.HwGtDrvGrp.VSUPOV_PhsUH.OvrllFail_Cnt &gt; 
K_McpDiag.HwGtDrvGrp.VSUPOV_PhsUH.OvrllFltSetThrsh
OR
Consecutive Fail Timer is above Fault Set Threshold:
McpDiag.HwGtDrvGrp.VSUPOV_PhsUH.ConsecutTm_Sec &gt; K_McpDiag.HwGtDrvGrp.VSUPOV_PhsUH.ConsecutFltSetThrsh
ELSE K_McpDiag.HwGtDrvGrp.VSUPOV_PhsUH.FstRtryEnbl = 0
No Mature Time (=NA)</t>
  </si>
  <si>
    <t>K_McpDiag.HwGtDrvGrp.VSUPOV_PhsUH.EnblTyp</t>
  </si>
  <si>
    <t xml:space="preserve">IF K_McpDiag.HwGtDrvGrp.VSUPOV_PhsUH.FstRtryEnbl = 0
Fault Flag from Low-level Driver
VSUPOV bit reporting supply overvoltage (OV) must be active.
RTE bit read (BIT 7)  from
Intrfc.InRaw.GDIC_HS_U_Status1 = 0
ELSE K_McpDiag.HwGtDrvGrp.VSUPOV_PhsUH.FstRtryEnbl = 1
No De-Maturation (=NA) </t>
  </si>
  <si>
    <t>416 - HwGtDrvGrp.VSUPOV_PhsUL
Gate Driver Voltage Supply Over Voltage</t>
  </si>
  <si>
    <t>Fault Flag from Low-level Driver
VSUPOV bit reporting supply overvoltage (OV) must be active.
RTE bit read (BIT 7)  from
Intrfc.InRaw.GDIC_LS_U_Status1 should be 1
Built In Self Test is part of Shut Off Path Test.
To trigger this fault in application layer below override can be used:
K_McpIntrfc.Ovrrd.In.GDIC_LS_U_Status1.Sgnl =0x0080
K_McpIntrfc.Ovrrd.In.GDIC_LS_U_Status1.SgnlEnbl =1</t>
  </si>
  <si>
    <t>IF K_McpDiag.HwGtDrvGrp.VSUPOV_PhsUL.FstRtryEnbl = 1
Quick Fail Count is above Quick Fault Set Threshold:
McpDiag.HwGtDrvGrp.VSUPOV_PhsUL.QckFail_Cnt &gt; 
K_McpDiag.HwGtDrvGrp.VSUPOV_PhsUL.QckFltSetThrsh
OR
Overall Fail Count is above Overall Fault Set Threshold:
McpDiag.HwGtDrvGrp.VSUPOV_PhsUL.OvrllFail_Cnt &gt; 
K_McpDiag.HwGtDrvGrp.VSUPOV_PhsUL.OvrllFltSetThrsh
OR
Consecutive Fail Timer is above Fault Set Threshold:
McpDiag.HwGtDrvGrp.VSUPOV_PhsUL.ConsecutTm_Sec &gt; K_McpDiag.HwGtDrvGrp.VSUPOV_PhsUL.ConsecutFltSetThrsh
ELSE K_McpDiag.HwGtDrvGrp.VSUPOV_PhsUL.FstRtryEnbl = 0
No Mature Time (=NA)</t>
  </si>
  <si>
    <t>K_McpDiag.HwGtDrvGrp.VSUPOV_PhsUL.EnblTyp</t>
  </si>
  <si>
    <t xml:space="preserve">IF K_McpDiag.HwGtDrvGrp.VSUPOV_PhsUL.FstRtryEnbl = 0
Fault Flag from Low-level Driver
VSUPOV bit reporting supply overvoltage (OV) must be active.
RTE bit read (BIT 7)  from
Intrfc.InRaw.GDIC_LS_U_Status1 = 0
ELSE K_McpDiag.HwGtDrvGrp.VSUPOV_PhsUL.FstRtryEnbl = 1
No De-Maturation (=NA) </t>
  </si>
  <si>
    <t>420 - HwGtDrvGrp.VSUPOV_PhsVH
Gate Driver Voltage Supply Over Voltage</t>
  </si>
  <si>
    <t>Fault Flag from Low-level Driver
VSUPOV bit reporting supply overvoltage (OV) must be active.
RTE bit read (BIT 7)  from
Intrfc.InRaw.GDIC_HS_V_Status1 should be 1
Built In Self Test is part of Shut Off Path Test.
To trigger this fault in application layer below override can be used:
K_McpIntrfc.Ovrrd.In.GDIC_HS_V_Status1.Sgnl =0x0080
K_McpIntrfc.Ovrrd.In.GDIC_HS_V_Status1.SgnlEnbl =1</t>
  </si>
  <si>
    <t>IF K_McpDiag.HwGtDrvGrp.VSUPOV_PhsVH.FstRtryEnbl = 1
Quick Fail Count is above Quick Fault Set Threshold:
McpDiag.HwGtDrvGrp.VSUPOV_PhsVH.QckFail_Cnt &gt; 
K_McpDiag.HwGtDrvGrp.VSUPOV_PhsVH.QckFltSetThrsh
OR
Overall Fail Count is above Overall Fault Set Threshold:
McpDiag.HwGtDrvGrp.VSUPOV_PhsVH.OvrllFail_Cnt &gt; 
K_McpDiag.HwGtDrvGrp.VSUPOV_PhsVH.OvrllFltSetThrsh
OR
Consecutive Fail Timer is above Fault Set Threshold:
McpDiag.HwGtDrvGrp.VSUPOV_PhsVH.ConsecutTm_Sec &gt; K_McpDiag.HwGtDrvGrp.VSUPOV_PhsVH.ConsecutFltSetThrsh
ELSE K_McpDiag.HwGtDrvGrp.VSUPOV_PhsVH.FstRtryEnbl = 0
No Mature Time (=NA)</t>
  </si>
  <si>
    <t>K_McpDiag.HwGtDrvGrp.VSUPOV_PhsVH.EnblTyp</t>
  </si>
  <si>
    <t xml:space="preserve">IF K_McpDiag.HwGtDrvGrp.VSUPOV_PhsVH.FstRtryEnbl = 0
Fault Flag from Low-level Driver
VSUPOV bit reporting supply overvoltage (OV) must be active.
RTE bit read (BIT 7)  from
Intrfc.InRaw.GDIC_HS_V_Status1 = 0
ELSE K_McpDiag.HwGtDrvGrp.VSUPOV_PhsVH.FstRtryEnbl = 1
No De-Maturation (=NA) </t>
  </si>
  <si>
    <t>417 - HwGtDrvGrp.VSUPOV_PhsVL
Gate Driver Voltage Supply Over Voltage</t>
  </si>
  <si>
    <t>Fault Flag from Low-level Driver
VSUPOV bit reporting supply overvoltage (OV) must be active.
RTE bit read (BIT 7)  from
Intrfc.InRaw.GDIC_LS_V_Status1 should be 1
Built In Self Test is part of Shut Off Path Test.
To trigger this fault in application layer below override can be used:
K_McpIntrfc.Ovrrd.In.GDIC_LS_V_Status1.Sgnl =0x0080
K_McpIntrfc.Ovrrd.In.GDIC_LS_V_Status1.SgnlEnbl =1</t>
  </si>
  <si>
    <t>IF K_McpDiag.HwGtDrvGrp.VSUPOV_PhsVL.FstRtryEnbl = 1
Quick Fail Count is above Quick Fault Set Threshold:
McpDiag.HwGtDrvGrp.VSUPOV_PhsVL.QckFail_Cnt &gt; 
K_McpDiag.HwGtDrvGrp.VSUPOV_PhsVL.QckFltSetThrsh
OR
Overall Fail Count is above Overall Fault Set Threshold:
McpDiag.HwGtDrvGrp.VSUPOV_PhsVL.OvrllFail_Cnt &gt; 
K_McpDiag.HwGtDrvGrp.VSUPOV_PhsVL.OvrllFltSetThrsh
OR
Consecutive Fail Timer is above Fault Set Threshold:
McpDiag.HwGtDrvGrp.VSUPOV_PhsVL.ConsecutTm_Sec &gt; K_McpDiag.HwGtDrvGrp.VSUPOV_PhsVL.ConsecutFltSetThrsh
ELSE K_McpDiag.HwGtDrvGrp.VSUPOV_PhsVL.FstRtryEnbl = 0
No Mature Time (=NA)</t>
  </si>
  <si>
    <t>K_McpDiag.HwGtDrvGrp.VSUPOV_PhsVL.EnblTyp</t>
  </si>
  <si>
    <t xml:space="preserve">IF K_McpDiag.HwGtDrvGrp.VSUPOV_PhsVL.FstRtryEnbl = 0
Fault Flag from Low-level Driver
VSUPOV bit reporting supply overvoltage (OV) must be active.
RTE bit read (BIT 7)  from
Intrfc.InRaw.GDIC_LS_V_Status1 = 0
ELSE K_McpDiag.HwGtDrvGrp.VSUPOV_PhsVL.FstRtryEnbl = 1
No De-Maturation (=NA) </t>
  </si>
  <si>
    <t>421 - HwGtDrvGrp.VSUPOV_PhsWH
Gate Driver Voltage Supply Over Voltage</t>
  </si>
  <si>
    <t>Fault Flag from Low-level Driver
VSUPOV bit reporting supply overvoltage (OV) must be active.
RTE bit read (BIT 7)  from
Intrfc.InRaw.GDIC_HS_W_Status1 should be 1
Built In Self Test is part of Shut Off Path Test.
To trigger this fault in application layer below override can be used:
K_McpIntrfc.Ovrrd.In.GDIC_HS_W_Status1.Sgnl =0x0080
K_McpIntrfc.Ovrrd.In.GDIC_HS_W_Status1.SgnlEnbl =1</t>
  </si>
  <si>
    <t>IF K_McpDiag.HwGtDrvGrp.VSUPOV_PhsWH.FstRtryEnbl = 1
Quick Fail Count is above Quick Fault Set Threshold:
McpDiag.HwGtDrvGrp.VSUPOV_PhsWH.QckFail_Cnt &gt; 
K_McpDiag.HwGtDrvGrp.VSUPOV_PhsWH.QckFltSetThrsh
OR
Overall Fail Count is above Overall Fault Set Threshold:
McpDiag.HwGtDrvGrp.VSUPOV_PhsWH.OvrllFail_Cnt &gt; 
K_McpDiag.HwGtDrvGrp.VSUPOV_PhsWH.OvrllFltSetThrsh
OR
Consecutive Fail Timer is above Fault Set Threshold:
McpDiag.HwGtDrvGrp.VSUPOV_PhsWH.ConsecutTm_Sec &gt; K_McpDiag.HwGtDrvGrp.VSUPOV_PhsWH.ConsecutFltSetThrsh
ELSE K_McpDiag.HwGtDrvGrp.VSUPOV_PhsWH.FstRtryEnbl = 0
No Mature Time (=NA)</t>
  </si>
  <si>
    <t>K_McpDiag.HwGtDrvGrp.VSUPOV_PhsWH.EnblTyp</t>
  </si>
  <si>
    <t xml:space="preserve">IF K_McpDiag.HwGtDrvGrp.VSUPOV_PhsWH.FstRtryEnbl = 0
Fault Flag from Low-level Driver
VSUPOV bit reporting supply overvoltage (OV) must be active.
RTE bit read (BIT 7)  from
Intrfc.InRaw.GDIC_HS_W_Status1 = 0
ELSE K_McpDiag.HwGtDrvGrp.VSUPOV_PhsWH.FstRtryEnbl = 1
No De-Maturation (=NA) </t>
  </si>
  <si>
    <t>418 - HwGtDrvGrp.VSUPOV_PhsWL
Gate Driver Voltage Supply Over Voltage</t>
  </si>
  <si>
    <t>Fault Flag from Low-level Driver
VSUPOV bit reporting supply overvoltage (OV) must be active.
RTE bit read (BIT 7)  from
Intrfc.InRaw.GDIC_LS_W_Status1 should be 1
Built In Self Test is part of Shut Off Path Test.
To trigger this fault in application layer below override can be used:
K_McpIntrfc.Ovrrd.In.GDIC_LS_W_Status1.Sgnl =0x0080
K_McpIntrfc.Ovrrd.In.GDIC_LS_W_Status1.SgnlEnbl =1</t>
  </si>
  <si>
    <t>IF K_McpDiag.HwGtDrvGrp.VSUPOV_PhsWL.FstRtryEnbl = 1
Quick Fail Count is above Quick Fault Set Threshold:
McpDiag.HwGtDrvGrp.VSUPOV_PhsWL.QckFail_Cnt &gt; 
K_McpDiag.HwGtDrvGrp.VSUPOV_PhsWL.QckFltSetThrsh
OR
Overall Fail Count is above Overall Fault Set Threshold:
McpDiag.HwGtDrvGrp.VSUPOV_PhsWL.OvrllFail_Cnt &gt; 
K_McpDiag.HwGtDrvGrp.VSUPOV_PhsWL.OvrllFltSetThrsh
OR
Consecutive Fail Timer is above Fault Set Threshold:
McpDiag.HwGtDrvGrp.VSUPOV_PhsWL.ConsecutTm_Sec &gt; K_McpDiag.HwGtDrvGrp.VSUPOV_PhsWL.ConsecutFltSetThrsh
ELSE K_McpDiag.HwGtDrvGrp.VSUPOV_PhsWL.FstRtryEnbl = 0
No Mature Time (=NA)</t>
  </si>
  <si>
    <t>K_McpDiag.HwGtDrvGrp.VSUPOV_PhsWL.EnblTyp</t>
  </si>
  <si>
    <t xml:space="preserve">IF K_McpDiag.HwGtDrvGrp.VSUPOV_PhsWL.FstRtryEnbl = 0
Fault Flag from Low-level Driver
VSUPOV bit reporting supply overvoltage (OV) must be active.
RTE bit read (BIT 7)  from
Intrfc.InRaw.GDIC_LS_W_Status1 = 0
ELSE K_McpDiag.HwGtDrvGrp.VSUPOV_PhsWL.FstRtryEnbl = 1
No De-Maturation (=NA) </t>
  </si>
  <si>
    <t>341 - HwGtDrvGrp.WDOG_PhsUH
Gate Driver Watchdog Error</t>
  </si>
  <si>
    <t>Fault Flag from Low-level Driver
Low Voltage LV domain or High Voltage HV domain detects a loss of LV/HV domain communication (WDOG_FLT) must be active.
RTE bit read (BIT 3)  from
Intrfc.InRaw.GDIC_HS_U_Status2 should be 1
Built In Self Test is part of Shut Off Path Test.
To trigger this fault in application layer below override can be used:
K_McpIntrfc.Ovrrd.In.GDIC_HS_U_Status2.Sgnl =0x0008
K_McpIntrfc.Ovrrd.In.GDIC_HS_U_Status2.SgnlEnbl =1</t>
  </si>
  <si>
    <t>IF K_McpDiag.HwGtDrvGrp.WDOG_PhsUH.FstRtryEnbl = 1
Quick Fail Count is above Quick Fault Set Threshold:
McpDiag.HwGtDrvGrp.WDOG_PhsUH.QckFail_Cnt &gt; 
K_McpDiag.HwGtDrvGrp.WDOG_PhsUH.QckFltSetThrsh
OR
Overall Fail Count is above Overall Fault Set Threshold:
McpDiag.HwGtDrvGrp.WDOG_PhsUH.OvrllFail_Cnt &gt; 
K_McpDiag.HwGtDrvGrp.WDOG_PhsUH.OvrllFltSetThrsh
OR
Consecutive Fail Timer is above Fault Set Threshold:
McpDiag.HwGtDrvGrp.WDOG_PhsUH.ConsecutTm_Sec &gt; K_McpDiag.HwGtDrvGrp.WDOG_PhsUH.ConsecutFltSetThrsh
ELSE K_McpDiag.HwGtDrvGrp.WDOG_PhsUH.FstRtryEnbl = 0
No Mature Time (=NA)</t>
  </si>
  <si>
    <t>K_McpDiag.HwGtDrvGrp.WDOG_PhsUH.EnblTyp</t>
  </si>
  <si>
    <t>IF K_McpDiag.HwGtDrvGrp.WDOG_PhsUH.FstRtryEnbl = 0
Fault Flag from Low-level Driver
Low Voltage LV domain or High Voltage HV domain detects a loss of LV/HV domain communication (WDOG_FLT) must be not active.
RTE bit read (BIT 3)  from
Intrfc.InRaw.GDIC_HS_U_Status2 = 0
ELSE K_McpDiag.HwGtDrvGrp.WDOG_PhsUH.FstRtryEnbl = 1
No De-Maturation (=NA)</t>
  </si>
  <si>
    <t>338 - HwGtDrvGrp.WDOG_PhsUL
Gate Driver Watchdog Error</t>
  </si>
  <si>
    <t>Fault Flag from Low-level Driver
Low Voltage LV domain or High Voltage HV domain detects a loss of LV/HV domain communication (WDOG_FLT) must be active.
RTE bit read (BIT 3)  from
Intrfc.InRaw.GDIC_LS_U_Status2 should be 1
Built In Self Test is part of Shut Off Path Test.
To trigger this fault in application layer below override can be used:
K_McpIntrfc.Ovrrd.In.GDIC_LS_U_Status2.Sgnl =0x0008
K_McpIntrfc.Ovrrd.In.GDIC_LS_U_Status2.SgnlEnbl =1</t>
  </si>
  <si>
    <t>IF K_McpDiag.HwGtDrvGrp.WDOG_PhsUL.FstRtryEnbl = 1
Quick Fail Count is above Quick Fault Set Threshold:
McpDiag.HwGtDrvGrp.WDOG_PhsUL.QckFail_Cnt &gt; 
K_McpDiag.HwGtDrvGrp.WDOG_PhsUL.QckFltSetThrsh
OR
Overall Fail Count is above Overall Fault Set Threshold:
McpDiag.HwGtDrvGrp.WDOG_PhsUL.OvrllFail_Cnt &gt; 
K_McpDiag.HwGtDrvGrp.WDOG_PhsUL.OvrllFltSetThrsh
OR
Consecutive Fail Timer is above Fault Set Threshold:
McpDiag.HwGtDrvGrp.WDOG_PhsUL.ConsecutTm_Sec &gt; K_McpDiag.HwGtDrvGrp.WDOG_PhsUL.ConsecutFltSetThrsh
ELSE K_McpDiag.HwGtDrvGrp.WDOG_PhsUL.FstRtryEnbl = 0
No Mature Time (=NA)</t>
  </si>
  <si>
    <t>K_McpDiag.HwGtDrvGrp.WDOG_PhsUL.EnblTyp</t>
  </si>
  <si>
    <t>IF K_McpDiag.HwGtDrvGrp.WDOG_PhsUL.FstRtryEnbl = 0
Fault Flag from Low-level Driver
Low Voltage LV domain or High Voltage HV domain detects a loss of LV/HV domain communication (WDOG_FLT) must be not active.
RTE bit read (BIT 3)  from
Intrfc.InRaw.GDIC_LS_U_Status2 = 0
ELSE K_McpDiag.HwGtDrvGrp.WDOG_PhsUL.FstRtryEnbl = 1
No De-Maturation (=NA)</t>
  </si>
  <si>
    <t>342 - HwGtDrvGrp.WDOG_PhsVH
Gate Driver Watchdog Error</t>
  </si>
  <si>
    <t>Fault Flag from Low-level Driver
Low Voltage LV domain or High Voltage HV domain detects a loss of LV/HV domain communication (WDOG_FLT) must be active.
RTE bit read (BIT 3)  from
Intrfc.InRaw.GDIC_HS_V_Status2 should be 1
Built In Self Test is part of Shut Off Path Test.
To trigger this fault in application layer below override can be used:
K_McpIntrfc.Ovrrd.In.GDIC_HS_V_Status2.Sgnl =0x0008
K_McpIntrfc.Ovrrd.In.GDIC_HS_V_Status2.SgnlEnbl =1</t>
  </si>
  <si>
    <t>IF K_McpDiag.HwGtDrvGrp.WDOG_PhsVH.FstRtryEnbl = 1
Quick Fail Count is above Quick Fault Set Threshold:
McpDiag.HwGtDrvGrp.WDOG_PhsVH.QckFail_Cnt &gt; 
K_McpDiag.HwGtDrvGrp.WDOG_PhsVH.QckFltSetThrsh
OR
Overall Fail Count is above Overall Fault Set Threshold:
McpDiag.HwGtDrvGrp.WDOG_PhsVH.OvrllFail_Cnt &gt; 
K_McpDiag.HwGtDrvGrp.WDOG_PhsVH.OvrllFltSetThrsh
OR
Consecutive Fail Timer is above Fault Set Threshold:
McpDiag.HwGtDrvGrp.WDOG_PhsVH.ConsecutTm_Sec &gt; K_McpDiag.HwGtDrvGrp.WDOG_PhsVH.ConsecutFltSetThrsh
ELSE K_McpDiag.HwGtDrvGrp.WDOG_PhsVH.FstRtryEnbl = 0
No Mature Time (=NA)</t>
  </si>
  <si>
    <t>K_McpDiag.HwGtDrvGrp.WDOG_PhsVH.EnblTyp</t>
  </si>
  <si>
    <t>IF K_McpDiag.HwGtDrvGrp.WDOG_PhsVH.FstRtryEnbl = 0
Fault Flag from Low-level Driver
Low Voltage LV domain or High Voltage HV domain detects a loss of LV/HV domain communication (WDOG_FLT) must be not active.
RTE bit read (BIT 3)  from
Intrfc.InRaw.GDIC_HS_V_Status2 = 0
ELSE K_McpDiag.HwGtDrvGrp.WDOG_PhsVH.FstRtryEnbl = 1
No De-Maturation (=NA)</t>
  </si>
  <si>
    <t>339 - HwGtDrvGrp.WDOG_PhsVL
Gate Driver Watchdog Error</t>
  </si>
  <si>
    <t>Fault Flag from Low-level Driver
Low Voltage LV domain or High Voltage HV domain detects a loss of LV/HV domain communication (WDOG_FLT) must be active.
RTE bit read (BIT 3)  from
Intrfc.InRaw.GDIC_LS_V_Status2 should be 1
Built In Self Test is part of Shut Off Path Test.
To trigger this fault in application layer below override can be used:
K_McpIntrfc.Ovrrd.In.GDIC_LS_V_Status2.Sgnl =0x0008
K_McpIntrfc.Ovrrd.In.GDIC_LS_V_Status2.SgnlEnbl =1</t>
  </si>
  <si>
    <t>IF K_McpDiag.HwGtDrvGrp.WDOG_PhsVL.FstRtryEnbl = 1
Quick Fail Count is above Quick Fault Set Threshold:
McpDiag.HwGtDrvGrp.WDOG_PhsVL.QckFail_Cnt &gt; 
K_McpDiag.HwGtDrvGrp.WDOG_PhsVL.QckFltSetThrsh
OR
Overall Fail Count is above Overall Fault Set Threshold:
McpDiag.HwGtDrvGrp.WDOG_PhsVL.OvrllFail_Cnt &gt; 
K_McpDiag.HwGtDrvGrp.WDOG_PhsVL.OvrllFltSetThrsh
OR
Consecutive Fail Timer is above Fault Set Threshold:
McpDiag.HwGtDrvGrp.WDOG_PhsVL.ConsecutTm_Sec &gt; K_McpDiag.HwGtDrvGrp.WDOG_PhsVL.ConsecutFltSetThrsh
ELSE K_McpDiag.HwGtDrvGrp.WDOG_PhsVL.FstRtryEnbl = 0
No Mature Time (=NA)</t>
  </si>
  <si>
    <t>K_McpDiag.HwGtDrvGrp.WDOG_PhsVL.EnblTyp</t>
  </si>
  <si>
    <t>IF K_McpDiag.HwGtDrvGrp.WDOG_PhsVL.FstRtryEnbl = 0
Fault Flag from Low-level Driver
Low Voltage LV domain or High Voltage HV domain detects a loss of LV/HV domain communication (WDOG_FLT) must be not active.
RTE bit read (BIT 3)  from
Intrfc.InRaw.GDIC_LS_V_Status2 = 0
ELSE K_McpDiag.HwGtDrvGrp.WDOG_PhsVL.FstRtryEnbl = 1
No De-Maturation (=NA)</t>
  </si>
  <si>
    <t>343 - HwGtDrvGrp.WDOG_PhsWH
Gate Driver Watchdog Error</t>
  </si>
  <si>
    <t>Fault Flag from Low-level Driver
Low Voltage LV domain or High Voltage HV domain detects a loss of LV/HV domain communication (WDOG_FLT) must be active.
RTE bit read (BIT 3)  from
Intrfc.InRaw.GDIC_HS_W_Status2 should be 1
Built In Self Test is part of Shut Off Path Test.
To trigger this fault in application layer below override can be used:
K_McpIntrfc.Ovrrd.In.GDIC_HS_W_Status2.Sgnl =0x0008
K_McpIntrfc.Ovrrd.In.GDIC_HS_W_Status2.SgnlEnbl =1</t>
  </si>
  <si>
    <t>IF K_McpDiag.HwGtDrvGrp.WDOG_PhsWH.FstRtryEnbl = 1
Quick Fail Count is above Quick Fault Set Threshold:
McpDiag.HwGtDrvGrp.WDOG_PhsWH.QckFail_Cnt &gt; 
K_McpDiag.HwGtDrvGrp.WDOG_PhsWH.QckFltSetThrsh
OR
Overall Fail Count is above Overall Fault Set Threshold:
McpDiag.HwGtDrvGrp.WDOG_PhsWH.OvrllFail_Cnt &gt; 
K_McpDiag.HwGtDrvGrp.WDOG_PhsWH.OvrllFltSetThrsh
OR
Consecutive Fail Timer is above Fault Set Threshold:
McpDiag.HwGtDrvGrp.WDOG_PhsWH.ConsecutTm_Sec &gt; K_McpDiag.HwGtDrvGrp.WDOG_PhsWH.ConsecutFltSetThrsh
ELSE K_McpDiag.HwGtDrvGrp.WDOG_PhsWH.FstRtryEnbl = 0
No Mature Time (=NA)</t>
  </si>
  <si>
    <t>K_McpDiag.HwGtDrvGrp.WDOG_PhsWH.EnblTyp</t>
  </si>
  <si>
    <t>IF K_McpDiag.HwGtDrvGrp.WDOG_PhsWH.FstRtryEnbl = 0
Fault Flag from Low-level Driver
Low Voltage LV domain or High Voltage HV domain detects a loss of LV/HV domain communication (WDOG_FLT) must be not active.
RTE bit read (BIT 3)  from
Intrfc.InRaw.GDIC_HS_W_Status2 = 0
ELSE K_McpDiag.HwGtDrvGrp.WDOG_PhsWH.FstRtryEnbl = 1
No De-Maturation (=NA)</t>
  </si>
  <si>
    <t>340 - HwGtDrvGrp.WDOG_PhsWL
Gate Driver Watchdog Error</t>
  </si>
  <si>
    <t>Fault Flag from Low-level Driver
Low Voltage LV domain or High Voltage HV domain detects a loss of LV/HV domain communication (WDOG_FLT) must be active.
RTE bit read (BIT 3)  from
Intrfc.InRaw.GDIC_LS_W_Status2 should be 1
Built In Self Test is part of Shut Off Path Test.
To trigger this fault in application layer below override can be used:
K_McpIntrfc.Ovrrd.In.GDIC_LS_W_Status2.Sgnl =0x0008
K_McpIntrfc.Ovrrd.In.GDIC_LS_W_Status2.SgnlEnbl =1</t>
  </si>
  <si>
    <t>IF K_McpDiag.HwGtDrvGrp.WDOG_PhsWL.FstRtryEnbl = 1
Quick Fail Count is above Quick Fault Set Threshold:
McpDiag.HwGtDrvGrp.WDOG_PhsWL.QckFail_Cnt &gt; 
K_McpDiag.HwGtDrvGrp.WDOG_PhsWL.QckFltSetThrsh
OR
Overall Fail Count is above Overall Fault Set Threshold:
McpDiag.HwGtDrvGrp.WDOG_PhsWL.OvrllFail_Cnt &gt; 
K_McpDiag.HwGtDrvGrp.WDOG_PhsWL.OvrllFltSetThrsh
OR
Consecutive Fail Timer is above Fault Set Threshold:
McpDiag.HwGtDrvGrp.WDOG_PhsWL.ConsecutTm_Sec &gt; K_McpDiag.HwGtDrvGrp.WDOG_PhsWL.ConsecutFltSetThrsh
ELSE K_McpDiag.HwGtDrvGrp.WDOG_PhsWL.FstRtryEnbl = 0
No Mature Time (=NA)</t>
  </si>
  <si>
    <t>K_McpDiag.HwGtDrvGrp.WDOG_PhsWL.EnblTyp</t>
  </si>
  <si>
    <t>IF K_McpDiag.HwGtDrvGrp.WDOG_PhsWL.FstRtryEnbl = 0
Fault Flag from Low-level Driver
Low Voltage LV domain or High Voltage HV domain detects a loss of LV/HV domain communication (WDOG_FLT) must be not active.
RTE bit read (BIT 3)  from
Intrfc.InRaw.GDIC_LS_W_Status2 = 0
ELSE K_McpDiag.HwGtDrvGrp.WDOG_PhsWL.FstRtryEnbl = 1
No De-Maturation (=NA)</t>
  </si>
  <si>
    <t>066612</t>
  </si>
  <si>
    <t>P0666-12</t>
  </si>
  <si>
    <t>Control Module Internal Temperature Sensor "A" - Circuit Short to Battery</t>
  </si>
  <si>
    <t>35 - HwPcbTempRngHiGrp
PCB temperature sensor Short Cut High</t>
  </si>
  <si>
    <t>136 - HwPcbTempRngHiGrp.HwPcbTemp_RngHi
PCB temperature sensor Short Cut High</t>
  </si>
  <si>
    <t xml:space="preserve">5VA Supply Voltage is between Upper and Lower Threshold:
K_McpDiag.CalAddnl.Ok_5VA_OvrThrsh &gt; Intrfc.Hw.InRaw.Sply5vASgnl &gt; K_McpDiag.CalAddnl.Ok_5VA_UndrThrsh
</t>
  </si>
  <si>
    <t>Temperature High Validity must be True:
Intrfc.Hw.InRaw.eTempCBSgnl_DegCHiVldty = 1</t>
  </si>
  <si>
    <t xml:space="preserve">HwPcbTempRngHiGrp.HwPcbTemp_RngHii.EnblTyp
</t>
  </si>
  <si>
    <t>Temperature High Validity must be False:
Intrfc.Hw.InRaw.eTempCBSgnl_DegCHiVldty = 0</t>
  </si>
  <si>
    <t>066611</t>
  </si>
  <si>
    <t>P0666-11</t>
  </si>
  <si>
    <t>Control Module Internal Temperature Sensor "A" - Circuit Short to Ground</t>
  </si>
  <si>
    <t>36 - HwPcbTempRngLoGrp
PCB temperature sensor Short Cut Low</t>
  </si>
  <si>
    <t>137 - HwPcbTempRngLoGrp.HwPcbTemp_RngLo
PCB temperature sensor Short Cut Low</t>
  </si>
  <si>
    <t>Temperature High Validity must be True:
Intrfc.Hw.InRaw.eTempCBSgnl_DegCLoVldty = 1 
this bit becoms true if:
Intrfc.Hw.InRaw.TempCBSgnl_DegC &gt; K_McpIntrfc.HwCal.TempCBSgnl_DegCOvrCal.FltSetThrsh</t>
  </si>
  <si>
    <t>K_McpIntrfc.HwCal.TempCBSgnl_DegCOvrCal.LimFailSec</t>
  </si>
  <si>
    <t>K_HwPcbTempRngLoGrp.HwPcbTemp_RngLo.EnblTyp</t>
  </si>
  <si>
    <t>K_McpIntrfc.HwCal.TempCBSgnl_DegCOvrCal.LimPassSec</t>
  </si>
  <si>
    <t>C09F86</t>
  </si>
  <si>
    <t>U009F-86</t>
  </si>
  <si>
    <t>Electric Vehicle Control Module "A" - Signal Invalid</t>
  </si>
  <si>
    <t>63 - ImplsblDataEVCUGrp
CAN fault, Implausible data recieved by EVCU</t>
  </si>
  <si>
    <t>EVCU-PIM Assembly CAN Communication failure
PIM Assembly faulty
EVCU faulty</t>
  </si>
  <si>
    <t>795 - ImplsblDataEVCUGrp.NonSftyBckup
CAN fault, Implausible data recieved by EVCU, NON savety relevant signals, Backup CAN</t>
  </si>
  <si>
    <t>Fault Flag from Low-level Driver
RTE bit read (BIT 8)  from
McpDiag.InRaw.Real_Time_Clock_SigSts = 1
OR
RTE bit read (BIT 8)  from
McpDiag.In.PIM_CoolantFlow_SigSts = 1
OR
RTE bit read (BIT 8)  from
McpDiag.In.PwrElecPmp_TEMP_SigSts = 1
OR
RTE bit read (BIT 8)  from
McpDiag.In.PwrElecSnsr_TEMP_SigSts = 1
OR
RTE bit read (BIT 8)  from
McpDiag.In.T4_Sensor_Temp_SigSts = 1
OR
RTE bit read (BIT 8)  from
McpDiag.In.T7_Sensor_Temp_SigSts = 1
OR
RTE bit read (BIT 8)  from
McpDiag.In.EOPA_OIL_FlwRate_SigSts = 1
OR
RTE bit read (BIT 8)  from
McpDiag.In.EOPA_OIL_TEMP_SigSts = 1
OR
RTE bit read (BIT 8)  from
McpDiag.In.EPBSts_SigSts= 1
Triggered when relevant Non Safety CAN signals for EVCU Group indicate SNA/Invalid value on backup CAN Bus.</t>
  </si>
  <si>
    <t>K_McpDiag.ImplsblDataEVCUGrp.NonSftyBckup.EnblTyp</t>
  </si>
  <si>
    <t>Fault Flag from Low-level Driver
RTE bit read (BIT 8)  from
McpDiag.InRaw.Real_Time_Clock_SigSts = 0
OR
RTE bit read (BIT 8)  froM
McpDiag.In.PIM_CoolantFlow_SigSts = 0
OR
RTE bit read (BIT 8)  from
McpDiag.In.PwrElecPmp_TEMP_SigSts = 0
OR
RTE bit read (BIT 8)  from
McpDiag.In.PwrElecSnsr_TEMP_SigSts = 0
OR
RTE bit read (BIT 8)  from
McpDiag.In.T4_Sensor_Temp_SigSts = 0
OR
RTE bit read (BIT 8)  from
McpDiag.In.T7_Sensor_Temp_SigSts = 0
OR
RTE bit read (BIT 8)  from
McpDiag.In.EOPA_OIL_FlwRate_SigSts = 0
OR
RTE bit read (BIT 8)  from
McpDiag.In.EOPA_OIL_TEMP_SigSts = 0
OR
RTE bit read (BIT 8)  from
McpDiag.In.EPBSts_SigSts= 0</t>
  </si>
  <si>
    <t>794 - ImplsblDataEVCUGrp.NonSftyPrmry
CAN fault, Implausible data recieved by EVCU, NON savety relevant signals, Primary CAN</t>
  </si>
  <si>
    <t>Fault Flag from Low-level Driver
RTE bit read (BIT 0)  from
McpDiag.InRaw.Real_Time_Clock_SigSts = 1
OR
RTE bit read (BIT 0)  from
McpDiag.In.PIM_CoolantFlow_SigSts = 1
OR
RTE bit read (BIT 0)  from
McpDiag.In.PwrElecPmp_TEMP_SigSts = 1
OR
RTE bit read (BIT 0)  from
McpDiag.In.PwrElecSnsr_TEMP_SigSts = 1
OR
RTE bit read (BIT 0)  from
McpDiag.In.T4_Sensor_Temp_SigSts = 1
OR
RTE bit read (BIT 0)  from
McpDiag.In.T7_Sensor_Temp_SigSts = 1
OR
RTE bit read (BIT 0)  from
McpDiag.In.EOPA_OIL_FlwRate_SigSts = 1
OR
RTE bit read (BIT 0)  from
McpDiag.In.EOPA_OIL_TEMP_SigSts = 1
OR
RTE bit read (BIT 0)  from
McpDiag.In.EPBSts_SigSts= 1
Triggered when relevant Non Safety CAN signals for EVCU Group indicate SNA/Invalid value on primary CAN Bus.</t>
  </si>
  <si>
    <t>K_McpDiag.ImplsblDataEVCUGrp.NonSftyPrmry.EnblTyp</t>
  </si>
  <si>
    <t>Fault Flag from Low-level Driver
RTE bit read (BIT 0)  from
McpDiag.InRaw.Real_Time_Clock_SigSts = 0
OR
RTE bit read (BIT 0)  from
McpDiag.In.PIM_CoolantFlow_SigSts = 0
OR
RTE bit read (BIT 0)  from
McpDiag.In.PwrElecPmp_TEMP_SigSts = 0
OR
RTE bit read (BIT 0)  from
McpDiag.In.PwrElecSnsr_TEMP_SigSts = 0
OR
RTE bit read (BIT 0)  from
McpDiag.In.T4_Sensor_Temp_SigSts = 0
OR
RTE bit read (BIT 0)  from
McpDiag.In.T7_Sensor_Temp_SigSts = 0
OR
RTE bit read (BIT 0)  from
McpDiag.In.EOPA_OIL_FlwRate_SigSts = 0
OR
RTE bit read (BIT 0)  from
McpDiag.In.EOPA_OIL_TEMP_SigSts = 0
OR
RTE bit read (BIT 0)  from
McpDiag.In.EPBSts_SigSts= 0</t>
  </si>
  <si>
    <t>793 - ImplsblDataEVCUGrp.SftyBckup
CAN fault, Implausible data recieved by EVCU, savety relevant signals, Backup CAN</t>
  </si>
  <si>
    <t>Fault Flag from Low-level Driver
Signal Status Group for EVCU Bit 8 must be active
RTE bit read (BIT 8)  from
McpDiag.InRaw.SigStsGroupForEVCU = 1
Triggered when Safety CAN signals for EVCU Group indicate SNA/Invalid value on backup CAN Bus.</t>
  </si>
  <si>
    <t>K_McpDiag.ImplsblDataEVCUGrp.SftyBckup.EnblTyp</t>
  </si>
  <si>
    <t>Fault Flag from Low-level Driver
Signal Status Group for EVCU Bit 8 must be false
RTE bit read (BIT 0)  from
McpDiag.InRaw.SigStsGroupForEVCU = 0</t>
  </si>
  <si>
    <t>792 - ImplsblDataEVCUGrp.SftyPrmry
CAN fault, Implausible data recieved by EVCU, savety relevant signals, Primary CAN</t>
  </si>
  <si>
    <t>Fault Flag from Low-level Driver
Signal Status Group for EVCU Bit 0 must be active
RTE bit read (BIT 0)  from
McpDiag.InRaw.SigStsGroupForEVCU = 1
Triggered when Safety CAN signals for EVCU Group indicate SNA/Invalid value on primary CAN Bus.</t>
  </si>
  <si>
    <t>K_McpDiag.ImplsblDataEVCUGrp.SftyPrmry.EnblTyp</t>
  </si>
  <si>
    <t>Fault Flag from Low-level Driver
Signal Status Group for EVCU Bit 0 must be false
RTE bit read (BIT 0)  from
McpDiag.InRaw.SigStsGroupForEVCU = 0</t>
  </si>
  <si>
    <t>0AA601</t>
  </si>
  <si>
    <t>P0AA6-01</t>
  </si>
  <si>
    <t>Hybrid/EV Battery Pack "A" Voltage System Isolation Fault - General Electrical Failure</t>
  </si>
  <si>
    <t>66 - IsoACLss
Loss of Isolation</t>
  </si>
  <si>
    <t>HV AC Cables/Bus bars loss of insulation.
PIM Assembly faulty.</t>
  </si>
  <si>
    <t>Perform the loss of insulation test on possible causes and replace the damaged wiring if needed.
If the fault is still present, replace PIM Assembly.</t>
  </si>
  <si>
    <t>5V Supply Voltage Signal is between Upper and Lower Threshold:
K_McpDiag.CalAddnl.Ok_5VA_OvrThrsh &gt; Intrfc.Hw.InRaw.Sply5vASgnl &gt; K_McpDiag.CalAddnl.Ok_5VA_UndrThrsh
AND
BMS_HV_Trac_Bus_Sts is equal to a value:
Intrfc.Can.CanC.InRaw.BMS_HV_Trac_Bus_Sts == CONTACTOR_CLOSED (2)
AND
Motor Battery Cntctr must be False:
Intrfc.HcpApp.InRaw.bMtrBatCntctrStatusFltActv = 0</t>
  </si>
  <si>
    <t xml:space="preserve">
Filtered Isolation Voltage (HVIsoAvg) AND Filtered Isolation Voltage over two samples (DblSmplHVIsoAvgZM1 ) from high voltage Isolation  sensor   smaller / bigger thrshold
IntrfcT0.VltgCurrLld.In.ReqdData.HVIsoAvg &lt; K_Mcp_IntrfcT0.LssOfIsltnThrshLo &amp;&amp; IntrfcT0.VltgCurrLld.In.ReqdData.DblSmplHVIsoAvgZM1 &lt; K_Mcp_IntrfcT0.LssOfIsltnThrshLo
OR
IntrfcT0.VltgCurrLld.In.ReqdData.HVIsoAvg &gt; K_Mcp_IntrfcT0.LssOfIsltnThrshHi &amp;&amp; IntrfcT0.VltgCurrLld.In.ReqdData.DblSmplHVIsoAvgZM1 &gt; K_Mcp_IntrfcT0.LssOfIsltnThrshHi</t>
  </si>
  <si>
    <t>McpDiag.In.ACLssOfIsltnFailSec &gt; K_McpDiag.IsoACLss.LimFailSec</t>
  </si>
  <si>
    <t>K_McpDiag.IsoACLss.EnblTyp</t>
  </si>
  <si>
    <t>No found function about increment of pass sec</t>
  </si>
  <si>
    <t>McpDiag.IsoACLss.LimPassSec &gt; K_McpDiag.In.ACLssOfIsltnPassSec</t>
  </si>
  <si>
    <t>0AA792</t>
  </si>
  <si>
    <t>P0AA7-92</t>
  </si>
  <si>
    <t>Hybrid/EV Battery Pack "A" Voltage Isolation Sensor - Performance or Incorrect Operation</t>
  </si>
  <si>
    <t>67 - IsoACLssSnsrRngGrp
Isolation sensor Range check group</t>
  </si>
  <si>
    <t>761 - IsoACLssSnsrRngGrp.HVIsoNegRngHi
Isolation sensor Range check - HV isolation negative side Range High</t>
  </si>
  <si>
    <t>Hv Is Itn Negate Signal High Validity is Invalid:
Intrfc.Hw.InRaw.eHvIsltnNegSgnlHiVldty == SGNL_INVALID
this flag gets valid if 
Intrfc.Hw.InRaw.HvIsltnNegSgnl &gt; K_McpIntrfc.HwCal.HvIsltnNegSgnlOvrCal.FltSetThrsh</t>
  </si>
  <si>
    <t>K_McpIntrfc.HwCal.HvIsltnNegSgnlOvrCal.LimFailSec</t>
  </si>
  <si>
    <t>K_McpDiag.IsoACLssSnsrRngGrp.HVIsoNegRngHi.EnblTyp</t>
  </si>
  <si>
    <t>Hv Is Itn Negate Signal High Validity is not Invalid:
Intrfc.Hw.InRaw.eHvIsltnNegSgnlHiVldty =! SGNL_INVALID</t>
  </si>
  <si>
    <t>K_McpIntrfc.HwCal.HvIsltnNegSgnlOvrCal.LimPassSec</t>
  </si>
  <si>
    <t>762 - IsoACLssSnsrRngGrp.HVIsoNegRngLo
Isolation sensor Range check - HV isolation negative side Range Low</t>
  </si>
  <si>
    <t>Hv Is Itn Negate Signal Low Validity is Invalid:
Intrfc.Hw.InRaw.eHvIsltnNegSgnlLoVldty == SGNL_INVALID
this flag gets Invalid if
Intrfc.Hw.InRaw.HvIsltnNegSgnl &lt; K_McpIntrfc.HwCal.HvIsltnNegSgnlUndrCal.FltSetThrsh</t>
  </si>
  <si>
    <t>K_McpIntrfc.HwCal.HvIsltnNegSgnlUndrCal.LimFailSec</t>
  </si>
  <si>
    <t>K_McpDiag.IsoACLssSnsrRngGrp.HVIsoNegRngLo.EnblTyp</t>
  </si>
  <si>
    <t>Hv Is Itn Negate Signal Low Validity is not Invalid:
Intrfc.Hw.InRaw.eHvIsltnNegSgnlLoVldty == SGNL_INVALID</t>
  </si>
  <si>
    <t>K_McpIntrfc.HwCal.HvIsltnNegSgnlUndrCal.LimPassSec</t>
  </si>
  <si>
    <t>759 - IsoACLssSnsrRngGrp.HVIsoPosRngHi
Isolation sensor Range check - HV isolation positive side Range High</t>
  </si>
  <si>
    <t>Hv Is Itn Pos Signal High Validity is Invalid:
Intrfc.Hw.InRaw.eHvIsltnPosSgnlHiVldty == SGNL_INVALID
this flag gets Invalid if 
Intrfc.Hw.InRaw.HvIsltnPosSgnl&gt; K_McpIntrfc.HwCal.HvIsltnPosSgnlOvrCal.FltSetThrsh</t>
  </si>
  <si>
    <t>K_McpIntrfc.HwCal.HvIsltnPosSgnlOvrCal.LimFailSec</t>
  </si>
  <si>
    <t>K_McpDiag.IsoACLssSnsrRngGrp.HVIsoPosRngHi.EnblTyp</t>
  </si>
  <si>
    <t>Hv Is Itn Pos Signal High Validity is not Invalid:
Intrfc.Hw.InRaw.eHvIsltnPosSgnlHiVldty == SGNL_INVALID</t>
  </si>
  <si>
    <t>760 - IsoACLssSnsrRngGrp.HVIsoPosRngLo
Isolation sensor Range check - HV isolation positive side Range Low</t>
  </si>
  <si>
    <t>Hv Is Itn Pos Signal Low Validity is Invalid:
Intrfc.Hw.InRaw.eHvIsltnPosSgnlLoVldty == SGNL_INVALID
this flag gets Invalid if 
Intrfc.Hw.InRaw.HvIsltnPosSgnl &lt; K_McpIntrfc.HwCal.HvIsltnPosSgnlUndrCal.FltSetThrsh</t>
  </si>
  <si>
    <t>K_McpIntrfc.HwCal.HvIsltnPosSgnlUndrCal.LimFailSec</t>
  </si>
  <si>
    <t>Hv Is Itn Pos Signal Low Validity is not Invalid:
Intrfc.Hw.InRaw.eHvIsltnPosSgnlLoVldty == SGNL_INVALID</t>
  </si>
  <si>
    <t>K_McpIntrfc.HwCal.HvIsltnPosSgnlUndrCal.LimPassSec</t>
  </si>
  <si>
    <t>0A1B92</t>
  </si>
  <si>
    <t>P0A1B-92</t>
  </si>
  <si>
    <t>Drive Motor "A" Control Module - Performance or Incorrect Operation</t>
  </si>
  <si>
    <t>29 - MainMicroLv3Grp
/</t>
  </si>
  <si>
    <t>872 - MainMicroLv3Grp.AlmGrb0
/</t>
  </si>
  <si>
    <t xml:space="preserve">SStartup delay timer needs to be expired:
startup_delay &gt;= k_McpDiag.CalAddnl.DiagstrtupDlyTm_Sec
</t>
  </si>
  <si>
    <t>Current SMU ALM GRB0 and  Mask SMU Alm Grb0 must be true:
McpDiag.InRaw.Curr_SMU_ALM_GRB0 = 1
K_McpDiag.CalAddnl.MaskSMUAlmGrb0 = 1</t>
  </si>
  <si>
    <t xml:space="preserve">
K_McpDiag.MainMicroLv3Grp.AlmGrb0.EnblTyp</t>
  </si>
  <si>
    <t>T2</t>
  </si>
  <si>
    <t>Current SMU ALM GRB0 and  Mask SMU Alm Grb0 must be false:
McpDiag.InRaw.Curr_SMU_ALM_GRB0 = 0
K_McpDiag.CalAddnl.MaskSMUAlmGrb0 = 0</t>
  </si>
  <si>
    <t>873 - MainMicroLv3Grp.AlmGrb1
/</t>
  </si>
  <si>
    <t>Current SMU ALM GRB1 and  Mask SMU Alm Grb1 must be true:
McpDiag.InRaw.Curr_SMU_ALM_GRB1 = 1
K_McpDiag.CalAddnl.MaskSMUAlmGrb1 = 1</t>
  </si>
  <si>
    <t xml:space="preserve">
K_McpDiag.MainMicroLv3Grp.AlmGrb1.EnblTyp</t>
  </si>
  <si>
    <t>Current SMU ALM GRB1 and  Mask SMU Alm Grb1 must be false:
McpDiag.InRaw.Curr_SMU_ALM_GRB1 = 0
K_McpDiag.CalAddnl.MaskSMUAlmGrb1 = 0</t>
  </si>
  <si>
    <t>882 - MainMicroLv3Grp.AlmGrb10
/</t>
  </si>
  <si>
    <t>Current SMU ALM GRB10 and  Mask SMU Alm Grb1 must be true:
McpDiag.InRaw.Curr_SMU_ALM_GRB10 = 1
K_McpDiag.CalAddnl.MaskSMUAlmGrb10 = 1</t>
  </si>
  <si>
    <t xml:space="preserve">
K_McpDiag.MainMicroLv3Grp.AlmGrb10.EnblTyp</t>
  </si>
  <si>
    <t>Current SMU ALM GRB10 and  Mask SMU Alm Grb1 must be false:
McpDiag.InRaw.Curr_SMU_ALM_GRB10 = 0
K_McpDiag.CalAddnl.MaskSMUAlmGrb10 = 0</t>
  </si>
  <si>
    <t>883 - MainMicroLv3Grp.AlmGrb11
/</t>
  </si>
  <si>
    <t>Current SMU ALM GRB11 and  Mask SMU A m Grb11 must be true:
McpDiag.InRaw.Curr_SMU_ALM_GRB11 = 1
K_McpDiag.CalAddnl.MaskSMUAlmGrb11 = 1</t>
  </si>
  <si>
    <t xml:space="preserve">
K_McpDiag.MainMicroLv3Grp.AlmGrb11.EnblTyp</t>
  </si>
  <si>
    <t>Current SMU ALM GRB11 and  Mask SMU A m Grb11 must be false:
McpDiag.InRaw.Curr_SMU_ALM_GRB11 = 0
K_McpDiag.CalAddnl.MaskSMUAlmGrb11 = 0</t>
  </si>
  <si>
    <t>884 - MainMicroLv3Grp.AlmGrb12
/</t>
  </si>
  <si>
    <t>Current SMU ALM GRB12 and  Mask SMU Alm Grb12 must be true:
McpDiag.InRaw.Curr_SMU_ALM_GRB12 = 1
K_McpDiag.CalAddnl.MaskSMUAlmGrb12 = 1</t>
  </si>
  <si>
    <t xml:space="preserve">
K_McpDiag.MainMicroLv3Grp.AlmGrb12.EnblTyp</t>
  </si>
  <si>
    <t>Current SMU ALM GRB12 and  Mask SMU Alm Grb12 must be false:
McpDiag.InRaw.Curr_SMU_ALM_GRB12 = 0
K_McpDiag.CalAddnl.MaskSMUAlmGrb12 = 0</t>
  </si>
  <si>
    <t>885 - MainMicroLv3Grp.AlmGrb13
/</t>
  </si>
  <si>
    <t>Current SMU ALM GRB13 and  Mask SMU Alm Grb13 must be true:
McpDiag.InRaw.Curr_SMU_ALM_GRB13 = 1
K_McpDiag.CalAddnl.MaskSMUAlmGrb13 = 1</t>
  </si>
  <si>
    <t xml:space="preserve">
K_McpDiag.MainMicroLv3Grp.AlmGrb13.EnblTyp</t>
  </si>
  <si>
    <t>Current SMU ALM GRB13 and  Mask SMU Alm Grb13 must be false:
McpDiag.InRaw.Curr_SMU_ALM_GRB13 = 0
K_McpDiag.CalAddnl.MaskSMUAlmGrb13 = 0</t>
  </si>
  <si>
    <t>886 - MainMicroLv3Grp.AlmGrb14
/</t>
  </si>
  <si>
    <t>Current SMU ALM GRB14 and  Mask SMU Alm Grb14 must be true:
McpDiag.InRaw.Curr_SMU_ALM_GRB14 = 1
K_McpDiag.CalAddnl.MaskSMUAlmGrb14 = 1</t>
  </si>
  <si>
    <t xml:space="preserve">
K_McpDiag.MainMicroLv3Grp.AlmGrb14.EnblTyp</t>
  </si>
  <si>
    <t>Current SMU ALM GRB14 and  Mask SMU Alm Grb14 must be false:
McpDiag.InRaw.Curr_SMU_ALM_GRB14 = 0
K_McpDiag.CalAddnl.MaskSMUAlmGrb14 = 0</t>
  </si>
  <si>
    <t>874 - MainMicroLv3Grp.AlmGrb2
/</t>
  </si>
  <si>
    <t>Current SMU ALM GRB2 and  Mask SMU Alm Grb2 must be true:
McpDiag.InRaw.Curr_SMU_ALM_GRB2 = 1
K_McpDiag.CalAddnl.MaskSMUAlmGrb2= 1</t>
  </si>
  <si>
    <t xml:space="preserve">
K_McpDiag.MainMicroLv3Grp.AlmGrb2.EnblTyp</t>
  </si>
  <si>
    <t>Current SMU ALM GRB2 and  Mask SMU Alm Grb2 must be false:
McpDiag.InRaw.Curr_SMU_ALM_GRB2 = 0
K_McpDiag.CalAddnl.MaskSMUAlmGrb2= 0</t>
  </si>
  <si>
    <t>875 - MainMicroLv3Grp.AlmGrb3
/</t>
  </si>
  <si>
    <t>Current SMU ALM GRB3 and  Mask SMU Alm Grb3 must be true:
McpDiag.InRaw.Curr_SMU_ALM_GRB3 = 1
K_McpDiag.CalAddnl.MaskSMUAlmGrb3= 1</t>
  </si>
  <si>
    <t xml:space="preserve">
K_McpDiag.MainMicroLv3Grp.AlmGrb3.EnblTyp</t>
  </si>
  <si>
    <t>Current SMU ALM GRB3 and  Mask SMU Alm Grb3 must be false:
McpDiag.InRaw.Curr_SMU_ALM_GRB3 = 0
K_McpDiag.CalAddnl.MaskSMUAlmGrb3= 0</t>
  </si>
  <si>
    <t>876 - MainMicroLv3Grp.AlmGrb4
/</t>
  </si>
  <si>
    <t>Current SMU ALM GRB4 and  Mask SMU Alm Grb4 must be true:
McpDiag.InRaw.Curr_SMU_ALM_GRB4 = 1
K_McpDiag.CalAddnl.MaskSMUAlmGrb4= 1</t>
  </si>
  <si>
    <t xml:space="preserve">
K_McpDiag.MainMicroLv3Grp.AlmGrb4.EnblTyp</t>
  </si>
  <si>
    <t>Current SMU ALM GRB4 and  Mask SMU Alm Grb4 must be false:
McpDiag.InRaw.Curr_SMU_ALM_GRB4 = 0
K_McpDiag.CalAddnl.MaskSMUAlmGrb4= 0</t>
  </si>
  <si>
    <t>877 - MainMicroLv3Grp.AlmGrb5
/</t>
  </si>
  <si>
    <t>Current SMU ALM GRB5 and  Mask SMU Alm Grb5 must be true:
McpDiag.InRaw.Curr_SMU_ALM_GRB5 = 1
K_McpDiag.CalAddnl.MaskSMUAlmGrb5= 1</t>
  </si>
  <si>
    <t xml:space="preserve">
K_McpDiag.MainMicroLv3Grp.AlmGrb5.EnblTyp</t>
  </si>
  <si>
    <t>Current SMU ALM GRB5 and  Mask SMU Alm Grb5 must be false:
McpDiag.InRaw.Curr_SMU_ALM_GRB5 = 0
K_McpDiag.CalAddnl.MaskSMUAlmGrb5= 0</t>
  </si>
  <si>
    <t>878 - MainMicroLv3Grp.AlmGrb6
/</t>
  </si>
  <si>
    <t>Current SMU ALM GRB6 and  Mask SMU Alm Grb6 must be true:
McpDiag.InRaw.Curr_SMU_ALM_GRB6 = 1
K_McpDiag.CalAddnl.MaskSMUAlmGrb6= 1</t>
  </si>
  <si>
    <t xml:space="preserve">
K_McpDiag.MainMicroLv3Grp.AlmGrb6.EnblTyp</t>
  </si>
  <si>
    <t>Current SMU ALM GRB6 and  Mask SMU Alm Grb6 must be false:
McpDiag.InRaw.Curr_SMU_ALM_GRB6 = 0
K_McpDiag.CalAddnl.MaskSMUAlmGrb6= 0</t>
  </si>
  <si>
    <t>879 - MainMicroLv3Grp.AlmGrb7
/</t>
  </si>
  <si>
    <t>Current SMU ALM GRB7 and  Mask SMU Alm Grb7 must be true:
McpDiag.InRaw.Curr_SMU_ALM_GRB7 = 1
K_McpDiag.CalAddnl.MaskSMUAlmGrb7= 1</t>
  </si>
  <si>
    <t xml:space="preserve">
K_McpDiag.MainMicroLv3Grp.AlmGrb7.EnblTyp</t>
  </si>
  <si>
    <t>Current SMU ALM GRB7 and  Mask SMU Alm Grb7 must be false:
McpDiag.InRaw.Curr_SMU_ALM_GRB7 = 0
K_McpDiag.CalAddnl.MaskSMUAlmGrb7= 0</t>
  </si>
  <si>
    <t>880 - MainMicroLv3Grp.AlmGrb8
/</t>
  </si>
  <si>
    <t>Current SMU ALM GRB8 and  Mask SMU Alm Grb8 must be true:
McpDiag.InRaw.Curr_SMU_ALM_GRB8 = 1
K_McpDiag.CalAddnl.MaskSMUAlmGrb8= 1</t>
  </si>
  <si>
    <t xml:space="preserve">
K_McpDiag.MainMicroLv3Grp.AlmGrb8.EnblTyp</t>
  </si>
  <si>
    <t>Current SMU ALM GRB8 and  Mask SMU Alm Grb8 must be false:
McpDiag.InRaw.Curr_SMU_ALM_GRB8 = 0
K_McpDiag.CalAddnl.MaskSMUAlmGrb8= 0</t>
  </si>
  <si>
    <t>881 - MainMicroLv3Grp.AlmGrb9
/</t>
  </si>
  <si>
    <t>Current SMU ALM GRB9 and  Mask SMU Alm Grb9 must be true:
McpDiag.InRaw.Curr_SMU_ALM_GRB9= 1
K_McpDiag.CalAddnl.MaskSMUAlmGrb9= 1</t>
  </si>
  <si>
    <t xml:space="preserve">
K_McpDiag.MainMicroLv3Grp.AlmGrb9.EnblTyp</t>
  </si>
  <si>
    <t>Current SMU ALM GRB9 and  Mask SMU Alm Grb9 must be false:
McpDiag.InRaw.Curr_SMU_ALM_GRB9= 0
K_McpDiag.CalAddnl.MaskSMUAlmGrb9= 0</t>
  </si>
  <si>
    <t>887 - MainMicroLv3Grp.InitAlmGrb0
/</t>
  </si>
  <si>
    <t>Current SMU ALM GRB0 and  Mask SMUA lm Grb0 must be true:
McpDiag.InRaw.Curr_SMU_ALM_GRB0 = 1
K_McpDiag.CalAddnl.MaskSMUInitAlmGrb0= 1</t>
  </si>
  <si>
    <t xml:space="preserve">
K_McpDiag.MainMicroLv3Grp.InitAlmGrb0.EnblTyp</t>
  </si>
  <si>
    <t>Current SMU ALM GRB0 and  Mask SMUA lm Grb0 must be false:
McpDiag.InRaw.Curr_SMU_ALM_GRB0 = 0
K_McpDiag.CalAddnl.MaskSMUInitAlmGrb0= 0</t>
  </si>
  <si>
    <t>888 - MainMicroLv3Grp.InitAlmGrb1
/</t>
  </si>
  <si>
    <t>Current SMU ALM GRB1 and  Mask SMUA lm Grb1 must be true:
McpDiag.InRaw.Curr_SMU_ALM_GRB1 = 1
K_McpDiag.CalAddnl.MaskSMUInitAlmGrb1= 1</t>
  </si>
  <si>
    <t xml:space="preserve">
K_McpDiag.MainMicroLv3Grp.InitAlmGrb1.EnblTyp</t>
  </si>
  <si>
    <t>Current SMU ALM GRB1 and  Mask SMUA lm Grb1 must be false:
McpDiag.InRaw.Curr_SMU_ALM_GRB1 = 0
K_McpDiag.CalAddnl.MaskSMUInitAlmGrb1= 0</t>
  </si>
  <si>
    <t>897 - MainMicroLv3Grp.InitAlmGrb10
/</t>
  </si>
  <si>
    <t>Current SMU ALM GRB10 and  Mask SMUA lm Grb10 must be true:
McpDiag.InRaw.Curr_SMU_ALM_GRB10 = 1
K_McpDiag.CalAddnl.MaskSMUInitAlmGrb10= 1</t>
  </si>
  <si>
    <t xml:space="preserve">
K_McpDiag.MainMicroLv3Grp.InitAlmGrb10.EnblTyp</t>
  </si>
  <si>
    <t>Current SMU ALM GRB10 and  Mask SMUA lm Grb10 must be false:
McpDiag.InRaw.Curr_SMU_ALM_GRB10 = 0
K_McpDiag.CalAddnl.MaskSMUInitAlmGrb10= 0</t>
  </si>
  <si>
    <t>898 - MainMicroLv3Grp.InitAlmGrb11
/</t>
  </si>
  <si>
    <t>Current SMU ALM GRB11 and  Mask SMUA lm Grb11 must be true:
McpDiag.InRaw.Curr_SMU_ALM_GRB11 = 1
K_McpDiag.CalAddnl.MaskSMUInitAlmGrb11= 1</t>
  </si>
  <si>
    <t xml:space="preserve">
K_McpDiag.MainMicroLv3Grp.InitAlmGrb11.EnblTyp</t>
  </si>
  <si>
    <t>Current SMU ALM GRB11 and  Mask SMUA lm Grb11 must be false:
McpDiag.InRaw.Curr_SMU_ALM_GRB11 = 0
K_McpDiag.CalAddnl.MaskSMUInitAlmGrb11= 0</t>
  </si>
  <si>
    <t>899 - MainMicroLv3Grp.InitAlmGrb12
/</t>
  </si>
  <si>
    <t>Current SMU ALM GRB12 and  Mask SMUA lm Grb12 must be true:
McpDiag.InRaw.Curr_SMU_ALM_GRB12 = 1
K_McpDiag.CalAddnl.MaskSMUInitAlmGrb12 = 1</t>
  </si>
  <si>
    <t xml:space="preserve">
K_McpDiag.MainMicroLv3Grp.InitAlmGrb12.EnblTyp</t>
  </si>
  <si>
    <t>Current SMU ALM GRB12 and  Mask SMUA lm Grb12 must be false:
McpDiag.InRaw.Curr_SMU_ALM_GRB12 = 0
K_McpDiag.CalAddnl.MaskSMUInitAlmGrb12 = 0</t>
  </si>
  <si>
    <t>900 - MainMicroLv3Grp.InitAlmGrb13
/</t>
  </si>
  <si>
    <t>Current SMU ALM GRB13 and  Mask SMUA lm Grb13 must be true:
McpDiag.InRaw.Curr_SMU_ALM_GRB13 = 1
K_McpDiag.CalAddnl.MaskSMUInitAlmGrb13 = 1</t>
  </si>
  <si>
    <t xml:space="preserve">
K_McpDiag.MainMicroLv3Grp.InitAlmGrb13.EnblTyp</t>
  </si>
  <si>
    <t>Current SMU ALM GRB13 and  Mask SMUA lm Grb13 must be false:
McpDiag.InRaw.Curr_SMU_ALM_GRB13 = 0
K_McpDiag.CalAddnl.MaskSMUInitAlmGrb13 = 0</t>
  </si>
  <si>
    <t>901 - MainMicroLv3Grp.InitAlmGrb14
/</t>
  </si>
  <si>
    <t>Current SMU ALM GRB1 and  Mask SMUA lm Grb1 must be true:
McpDiag.InRaw.Curr_SMU_ALM_GRB1 = 1
K_McpDiag.CalAddnl.MaskSMUInitAlmGrb1 = 1</t>
  </si>
  <si>
    <t>Current SMU ALM GRB1 and  Mask SMUA lm Grb1 must be false:
McpDiag.InRaw.Curr_SMU_ALM_GRB1 = 0
K_McpDiag.CalAddnl.MaskSMUInitAlmGrb1 = 0</t>
  </si>
  <si>
    <t>889 - MainMicroLv3Grp.InitAlmGrb2
/</t>
  </si>
  <si>
    <t>Current SMU ALM GRB3 and  Mask SMUA lm Grb2 must be true:
McpDiag.InRaw.Curr_SMU_ALM_GRB3 = 1
K_McpDiag.CalAddnl.MaskSMUInitAlmGrb3 = 1</t>
  </si>
  <si>
    <t xml:space="preserve">
K_McpDiag.MainMicroLv3Grp.InitAlmGrb2.EnblTyp</t>
  </si>
  <si>
    <t>Current SMU ALM GRB3 and  Mask SMUA lm Grb2 must be false:
McpDiag.InRaw.Curr_SMU_ALM_GRB3 = 0
K_McpDiag.CalAddnl.MaskSMUInitAlmGrb3 = 0</t>
  </si>
  <si>
    <t>890 - MainMicroLv3Grp.InitAlmGrb3
/</t>
  </si>
  <si>
    <t>Current SMU ALM GRB3 and  Mask SMUA lm Grb3 must be true:
McpDiag.InRaw.Curr_SMU_ALM_GRB3 = 1
K_McpDiag.CalAddnl.MaskSMUInitAlmGrb3 = 1</t>
  </si>
  <si>
    <t xml:space="preserve">
K_McpDiag.MainMicroLv3Grp.InitAlmGrb3.EnblTyp</t>
  </si>
  <si>
    <t>Current SMU ALM GRB3 and  Mask SMUA lm Grb3 must be false:
McpDiag.InRaw.Curr_SMU_ALM_GRB3 = 0
K_McpDiag.CalAddnl.MaskSMUInitAlmGrb3 = 0</t>
  </si>
  <si>
    <t>891 - MainMicroLv3Grp.InitAlmGrb4
/</t>
  </si>
  <si>
    <t>Current SMU ALM GRB4 and  Mask SMU Init Alm Grb4 must be true:
McpDiag.InRaw.Init_SMU_ALM_GRB4= 1
K_McpDiag.CalAddnl.MaskSMUInitAlmGrb4= 1</t>
  </si>
  <si>
    <t xml:space="preserve">
K_McpDiag.MainMicroLv3Grp.InitAlmGrb4.EnblTyp</t>
  </si>
  <si>
    <t>Current SMU ALM GRB4 and  Mask SMU Init Alm Grb4 must be false:
McpDiag.InRaw.Init_SMU_ALM_GRB4= 0
K_McpDiag.CalAddnl.MaskSMUInitAlmGrb4= 0</t>
  </si>
  <si>
    <t>892 - MainMicroLv3Grp.InitAlmGrb5
/</t>
  </si>
  <si>
    <t>Current SMU ALM GRB5 and  Mask SMU Init Alm Grb5 must be true:
McpDiag.InRaw.Init_SMU_ALM_GRB5= 1
K_McpDiag.CalAddnl.MaskSMUInitAlmGrb5= 1</t>
  </si>
  <si>
    <t xml:space="preserve">
K_McpDiag.MainMicroLv3Grp.InitAlmGrb5.EnblTyp</t>
  </si>
  <si>
    <t>Current SMU ALM GRB5 and  Mask SMU Init Alm Grb5 must be false:
McpDiag.InRaw.Init_SMU_ALM_GRB5= 0
K_McpDiag.CalAddnl.MaskSMUInitAlmGrb5= 0</t>
  </si>
  <si>
    <t>893 - MainMicroLv3Grp.InitAlmGrb6
/</t>
  </si>
  <si>
    <t>Current SMU ALM GRB6 and  Mask SMU Init Alm Grb6 must be true:
McpDiag.InRaw.Init_SMU_ALM_GRB6= 1
K_McpDiag.CalAddnl.MaskSMUInitAlmGrb6= 1</t>
  </si>
  <si>
    <t xml:space="preserve">
K_McpDiag.MainMicroLv3Grp.InitAlmGrb6.EnblTyp</t>
  </si>
  <si>
    <t>Current SMU ALM GRB6 and  Mask SMU Init Alm Grb6 must be false:
McpDiag.InRaw.Init_SMU_ALM_GRB6= 0
K_McpDiag.CalAddnl.MaskSMUInitAlmGrb6= 0</t>
  </si>
  <si>
    <t>894 - MainMicroLv3Grp.InitAlmGrb7
/</t>
  </si>
  <si>
    <t>Current SMU ALM GRB7 and  Mask SMU Init Alm Grb7 must be true:
McpDiag.InRaw.Init_SMU_ALM_GRB7 = 1
K_McpDiag.CalAddnl.MaskSMUInitAlmGrb97= 1</t>
  </si>
  <si>
    <t xml:space="preserve">
K_McpDiag.MainMicroLv3Grp.InitAlmGrb7.EnblTyp</t>
  </si>
  <si>
    <t>Current SMU ALM GRB7 and  Mask SMU Init Alm Grb7 must be false:
McpDiag.InRaw.Init_SMU_ALM_GRB7 = 0
K_McpDiag.CalAddnl.MaskSMUInitAlmGrb97= 0</t>
  </si>
  <si>
    <t>895 - MainMicroLv3Grp.InitAlmGrb8
/</t>
  </si>
  <si>
    <t>Current SMU ALM GRB8 and  Mask SMU Init Alm Grb8 must be true:
McpDiag.InRaw.Init_SMU_ALM_GRB8 = 1
K_McpDiag.CalAddnl.MaskSMUInitAlmGrb98= 1</t>
  </si>
  <si>
    <t xml:space="preserve">
K_McpDiag.MainMicroLv3Grp.InitAlmGrb8.EnblTyp</t>
  </si>
  <si>
    <t>Current SMU ALM GRB8 and  Mask SMU Init Alm Grb8 must be false:
McpDiag.InRaw.Init_SMU_ALM_GRB8 = 0
K_McpDiag.CalAddnl.MaskSMUInitAlmGrb98= 0</t>
  </si>
  <si>
    <t>896 - MainMicroLv3Grp.InitAlmGrb9
/</t>
  </si>
  <si>
    <t>Current SMU ALM GRB9 and  Mask SMU Init Alm Grb9 must be true:
McpDiag.InRaw.Init_SMU_ALM_GRB9 = 1
K_McpDiag.CalAddnl.MaskSMUInitAlmGrb9 = 1</t>
  </si>
  <si>
    <t xml:space="preserve">
K_McpDiag.MainMicroLv3Grp.InitAlmGrb9.EnblTyp</t>
  </si>
  <si>
    <t>Current SMU ALM GRB9 and  Mask SMU Init Alm Grb9 must be false:
McpDiag.InRaw.Init_SMU_ALM_GRB9 = 0
K_McpDiag.CalAddnl.MaskSMUInitAlmGrb9 = 0</t>
  </si>
  <si>
    <t>F00100</t>
  </si>
  <si>
    <t>U3001-00</t>
  </si>
  <si>
    <t>Control Module Improper Shutdown Performance - no sub type information</t>
  </si>
  <si>
    <t>47 - McpShutOffPathGrp
Indicates that the shutoff path is NOK
Shut of path cannot be used to shut down the inverter</t>
  </si>
  <si>
    <t>816 - McpShutOffPathGrp.AuxMicroGrp_CalDwnldFlt
Aux Micro calibration download failed</t>
  </si>
  <si>
    <t xml:space="preserve">5V Bottom Signal is between Upper and Lower Threshold:
K_McpDiag.CalAddnl.Ok_5V_GDIC_BOT_AI_OvrThrsh &gt; Intrfc.Hw.InRaw.Sply5vGDICBotSgnl &gt; K_McpDiag.CalAddnl.Ok_5V_GDIC_BOT_AI_UndrThrsh
and
Loc Fail Flag must be false:
McpDiag.InRaw.LocFailFlg = 0
""Aurix_LOC_Failure_Flag"" is set to 0, indicating Loss of Communication in UART message received from Aux micro"
and
Crc Fail Flag must be false:
McpDiag.InRaw.CrcFailFlg = 0
</t>
  </si>
  <si>
    <t>Calibration Download Failed must be true:
McpDiag.InRaw.CalDwnldFaild = 1
"Calibration_Failure_Flag" is set to 1, indicating Aux micro has error/issue based on the calibration provided.</t>
  </si>
  <si>
    <t>K_McpDiag.AuxMicroGrp.CalDwnldFlt.EnblTyp</t>
  </si>
  <si>
    <t>Calibration Download Failed must be false:
McpDiag.InRaw.CalDwnldFaild = 0</t>
  </si>
  <si>
    <t>810 - McpShutOffPathGrp.AuxMicroGrp_LoCFlt
Communication failure with PIC</t>
  </si>
  <si>
    <t xml:space="preserve">5V Bottom Signal is between Upper and Lower Threshold:
K_McpDiag.CalAddnl.Ok_5V_GDIC_BOT_AI_OvrThrsh &gt; Intrfc.Hw.InRaw.Sply5vGDICBotSgnl &gt; K_McpDiag.CalAddnl.Ok_5V_GDIC_BOT_AI_UndrThrsh
</t>
  </si>
  <si>
    <t>Loc Fail Flag must be true:
McpDiag.InRaw.LocFailFlg = 1
"Aurix_LOC_Failure_Flag" is set to 1, indicating Loss of Communication in UART message received from Aux micro</t>
  </si>
  <si>
    <t xml:space="preserve">K_McpDiag.AuxMicroGrp.LoCFlt.LimFailSec </t>
  </si>
  <si>
    <t>K_McpDiag.AuxMicroGrp.LoCFlt.EnblTyp</t>
  </si>
  <si>
    <t>Local Fail Flag must be false:
McpDiag.InRaw.LocFailFlg = 0</t>
  </si>
  <si>
    <t>K_McpDiag.AuxMicroGrp.LoCFlt.LimPassSec</t>
  </si>
  <si>
    <t>811 - McpShutOffPathGrp.AuxMicroGrp_QnAFlt
QnA failure with PIC</t>
  </si>
  <si>
    <t xml:space="preserve">Alu Fail Flag must be true:
McpDiag.InRaw.AluFailFlg = 1
"ALU_check_fault_flag" is set to 1
/*Flag indicating Aux Micro ALU - Arithmetic Logic Unit failure*/
PIC performs ALU recursive operations checks as an alternative to QnA to ensure the sanity of PIC.
</t>
  </si>
  <si>
    <t>K_McpDiag.AuxMicroGrp.QnAFlt.LimFailSec</t>
  </si>
  <si>
    <t>K_McpDiag.AuxMicroGrp.QnAFlt.EnblTyp</t>
  </si>
  <si>
    <t>Alu Fail Flag must be false:
McpDiag.InRaw.AluFailFlg = 0</t>
  </si>
  <si>
    <t>K_McpDiag.NomeFault.LimPassSec</t>
  </si>
  <si>
    <t>813 - McpShutOffPathGrp.AuxMicroGrp_RstFlt
PIC going into reset due to 5v fault, PIC to report back the same to main micro</t>
  </si>
  <si>
    <t xml:space="preserve">Reset Flag must be true:
McpDiag.InRaw.RstFlg = 1
this flag indicates /*Aux micro reset reason*/
</t>
  </si>
  <si>
    <t>K_McpDiag.AuxMicroGrp.RstFlt.LimFailSec</t>
  </si>
  <si>
    <t>K_McpDiag.AuxMicroGrp.RstFlt.EnblTyp</t>
  </si>
  <si>
    <t>Reset Flag must be false:
McpDiag.InRaw.RstFlg = 0</t>
  </si>
  <si>
    <t>812 - McpShutOffPathGrp.AuxMicroGrp_SafeStFlt
Safestate1 and 2 are not same</t>
  </si>
  <si>
    <t>Safe Status must be true:
McpDiag.InRaw.SafeSt = 1
"Secondary_Micro_Self_Test_Flags" is set to 1, indicating secondary micro self test</t>
  </si>
  <si>
    <t>K_McpDiag.AuxMicroGrp.SafeStFlt.LimFailSec</t>
  </si>
  <si>
    <t>K_McpDiag.AuxMicroGrp.SafeStFlt.EnblTyp</t>
  </si>
  <si>
    <t>Safe Status must be false:
McpDiag.InRaw.SafeSt = 0</t>
  </si>
  <si>
    <t>817 - McpShutOffPathGrp.AuxMicroGrp_SelfTestA2DFlt
Aux Micro self test failure on A2D</t>
  </si>
  <si>
    <t>Fault Flag from Low-level Driver
Safe Status Bit 1 must be active
RTE bit read (BIT 1)  from
McpDiag.InRaw.SafeSt = 1
pDiag-&gt;In.SafeSt = SELFTSTA2DFLT
Checking secondary micro Analog-to-Digital converter fault</t>
  </si>
  <si>
    <t>K_McpDiag.AuxMicroGrp.SelfTestA2DFlt.EnblTyp</t>
  </si>
  <si>
    <t>Fault Flag from Low-level Driver
Safe Status Bit 1 must be not  active
RTE bit read (BIT 1)  from
McpDiag.InRaw.SafeSt = 0</t>
  </si>
  <si>
    <t>814 - McpShutOffPathGrp.AuxMicroGrp_SelfTestMemoryFlt
PIC self test failure on startup</t>
  </si>
  <si>
    <t>Fault Flag from Low-level Driver
Safe Status Bit 0 must be active
RTE bit read (BIT 0)  from
McpDiag.InRaw.SafeSt = 1
pDiag-&gt;In.SafeSt = SELFTSTMEMFLT
Checking secondary micro memory fault</t>
  </si>
  <si>
    <t>K_McpDiag.AuxMicroGrp.SelfTestMemoryFlt.LimFailSec</t>
  </si>
  <si>
    <t>K_McpDiag.AuxMicroGrp.SelfTestMemoryFlt.EnblTyp</t>
  </si>
  <si>
    <t>Fault Flag from Low-level Driver
Safe Status Bit 0 must be NOT  active
RTE bit read (BIT 0)  from
McpDiag.InRaw.SafeSt = 0</t>
  </si>
  <si>
    <t xml:space="preserve">815 - McpShutOffPathGrp.AuxMicroGrp_SpdPlaustFlt
PIC calculates speed using either current or voltage inputs. While in 3PS voltage based speed should be 0 and viceversa for 6SO.
Plausibility check diagnostics for speed using current or voltage when in 3PS or 6SO. </t>
  </si>
  <si>
    <t>Speed Plausability Flag must be true:
McpDiag.InRaw.SpdPlausFlg = 1
"Speed_Implausible_In_Safe_State" is set to 1, indicating speed is implausible in the last power cycle</t>
  </si>
  <si>
    <t>K_McpDiag.AuxMicroGrp.SpdPlaustFlt.LimFailSec</t>
  </si>
  <si>
    <t>K_McpDiag.AuxMicroGrp.SpdPlaustFlt.EnblTyp</t>
  </si>
  <si>
    <t>Speed Plausability Flag must be false:
McpDiag.InRaw.SpdPlausFlg = 0</t>
  </si>
  <si>
    <t>902 - McpShutOffPathGrp.SPTFail
Indicates that the hardware shutoff path is NOK
Shut of path cannot be used to shut down the inverter</t>
  </si>
  <si>
    <t>Shut Off Path Results is equal to RTE_FAILED:
Intrfc.InRaw.ShutOffPathTestResult == RTE_E_HW_GetShutOffPathTestStatus_E_FAILED
After power up, LLD will run shut off path test (SOPT) which consists of over 200 tests to make sure control board is healthy. If any of the tests in SOPT fails, this fault is set.</t>
  </si>
  <si>
    <t>K_McpDiag.McpShutOffPath.EnblTyp</t>
  </si>
  <si>
    <t>T1 - 2ms</t>
  </si>
  <si>
    <t>Shut Off Path Results is not equal to RTE_FAILED:
Intrfc.InRaw.ShutOffPathTestResult != RTE_E_HW_GetShutOffPathTestStatus_E_FAILED</t>
  </si>
  <si>
    <t>066692</t>
  </si>
  <si>
    <t>P0666-92</t>
  </si>
  <si>
    <t>Control Module Internal Temperature Sensor "A" - Performance or Incorrect Operation</t>
  </si>
  <si>
    <t>60 - MiscOvrTempGrp
Diagnostic for several temperatures, Overtemperature check</t>
  </si>
  <si>
    <t>PIM Assembly faulty
EDM Assembly faulty</t>
  </si>
  <si>
    <t>Replace PIM Assembly.
If fault is still present, replace EDM Assembly.</t>
  </si>
  <si>
    <t>736 - MiscOvrTempGrp.ACBusBarTemp_DerateAcBusBarTemp
Derating based on AC BUS BAR overtemperature is stronger than threshold, e.g. derating more than 50%</t>
  </si>
  <si>
    <t>State of AC Bus Bar Qualifier must be true:
McpDiag.In.ACBusBar_Qualifier = 1</t>
  </si>
  <si>
    <t xml:space="preserve">AC Bus Bar Temperature Slewed Capability value lower than Fail Threshold calibration:
Proc_Derate.Prvt.AcBusBarTemp.SlewdCpblty &lt; K_McpDiag.MiscOvrTempGrp.ACBusBarTemp_DerateAcBusBarTemp.FltSetThrsh </t>
  </si>
  <si>
    <t xml:space="preserve">K_McpDiag.MiscOvrTempGrp.ACBusBarTemp_DerateAcBusBarTemp.LimFailSec </t>
  </si>
  <si>
    <t>K_McpDiag.MiscOvrTempGrp.ACBusBarTemp_DerateAcBusBarTemp.EnblTyp</t>
  </si>
  <si>
    <t xml:space="preserve">AC Bus Bar Temperature Slewed Capability value must be above or equal to the Pass Threshold:
Proc_Derate.Prvt.AcBusBarTemp.SlewdCpblty &gt;= K_McpDiag.MiscOvrTempGrp.ACBusBarTemp_DerateAcBusBarTemp.FltHyst </t>
  </si>
  <si>
    <t xml:space="preserve">K_McpDiag.MiscOvrTempGrp.ACBusBarTemp_DerateAcBusBarTemp.LimPassSec </t>
  </si>
  <si>
    <t>734 - MiscOvrTempGrp.ACBusBarTemp_OvrThrshMtrn
AC BUS BAR temperature is higher than threshold</t>
  </si>
  <si>
    <t xml:space="preserve">AC Bus Bar Temperature value greater than Fail Threshold calibration:
IntrfcT2.In.AcBsBrTemp &gt; K_McpDiag.MiscOvrTempGrp.ACBusBarTemp_OvrThrshMtrn.FltSetThrsh </t>
  </si>
  <si>
    <t xml:space="preserve">K_McpDiag.HwPcbTempRngLoGrp.HwPcbTemp_RngLo.LimFailSec </t>
  </si>
  <si>
    <t>K_McpDiag.MiscOvrTempGrp.ACBusBarTemp_OvrThrshMtrn.EnblTyp</t>
  </si>
  <si>
    <t>\</t>
  </si>
  <si>
    <t xml:space="preserve">AC Bus Bar Temperature must be below or equal to the Pass Threshold:
McpDiag.IntrfcT2.In.AcBsBrTemp &lt;= K_McpDiag.MiscOvrTempGrp.ACBusBarTemp_OvrThrshMtrn.FltHyst </t>
  </si>
  <si>
    <t xml:space="preserve">K_McpDiag.MiscOvrTempGrp.ACBusBarTemp_OvrThrshMtrn.LimPassSec </t>
  </si>
  <si>
    <t>735 - MiscOvrTempGrp.ACBusBarTemp_UndrThrshMtrn
AC BUS BAR temperature is Lower than threshold</t>
  </si>
  <si>
    <t xml:space="preserve">AC Bus Bar Temperature value lower than Fail Threshold calibration:
IntrfcT2.In.AcBsBrTemp &lt; K_McpDiag.MiscOvrTempGrp.ACBusBarTemp_UndrThrshMtrn.FltSetThrsh </t>
  </si>
  <si>
    <t xml:space="preserve">K_McpDiag.MiscOvrTempGrp.ACBusBarTemp_UndrThrshMtrn.LimFailSec </t>
  </si>
  <si>
    <t>K_McpDiag.MiscOvrTempGrp.ACBusBarTemp_UndrThrshMtrn.EnblTyp</t>
  </si>
  <si>
    <t xml:space="preserve">AC Bus Bar Temperature value must be above or equal to the Pass Threshold:
McpDiag.IntrfcT2.In.AcBsBrTemp&gt;= K_McpDiag.MiscOvrTempGrp.ACBusBarTemp_UndrThrshMtrn.FltHyst  </t>
  </si>
  <si>
    <t xml:space="preserve">K_McpDiag.MiscOvrTempGrp.ACBusBarTemp_UndrThrshMtrn.LimPassSec </t>
  </si>
  <si>
    <t>737 - MiscOvrTempGrp.DcBusBarTemp_OvrThrshMtrn
DC BUS BAR temperature is higher than threshold</t>
  </si>
  <si>
    <t>State of DC Bus Bar Qualifier must be true:
McpDiag.In.DCBusBar_Qualifier = 1</t>
  </si>
  <si>
    <t xml:space="preserve">DC Bus Bar Temperature value greater than Fail Threshold calibration:
IntrfcT2.In.DcBsBrTemp &gt; K_McpDiag.MiscOvrTempGrp.DcBusBarTemp_OvrThrshMtrn.FltSetThrsh </t>
  </si>
  <si>
    <t xml:space="preserve">K_McpDiag.MiscOvrTempGrp.DcBusBarTemp_OvrThrshMtrn.LimFailSec </t>
  </si>
  <si>
    <t>K_McpDiag.MiscOvrTempGrp.DcBusBarTemp_OvrThrshMtrn.EnblTyp</t>
  </si>
  <si>
    <t xml:space="preserve">DC Bus Bar Temperature must be below or equal to the Pass Threshold:
McpDiag.IntrfcT2.In.DcBsBrTemp &lt;= K_McpDiag.MiscOvrTempGrp.DcBusBarTemp_OvrThrshMtrn.FltHyst  </t>
  </si>
  <si>
    <t xml:space="preserve">K_McpDiag.MiscOvrTempGrp.DcBusBarTemp_OvrThrshMtrn.LimPassSec </t>
  </si>
  <si>
    <t>738 - MiscOvrTempGrp.DcBusBarTemp_UndrThrshMtrn
DC BUS BAR temperature is Lower than threshold</t>
  </si>
  <si>
    <t xml:space="preserve">DC Bus Bar Temperature value lower than Fail Threshold calibration:
IntrfcT2.In.DcBsBrTemp &lt; K_McpDiag.MiscOvrTempGrp.DcBusBarTemp_UndrThrshMtrn.FltSetThrsh </t>
  </si>
  <si>
    <t xml:space="preserve">K_McpDiag.MiscOvrTempGrp.DcBusBarTemp_UndrThrshMtrn.LimFailSec </t>
  </si>
  <si>
    <t>K_McpDiag.MiscOvrTempGrp.DcBusBarTemp_UndrThrshMtrn.EnblTyp</t>
  </si>
  <si>
    <t xml:space="preserve">DC Bus Bar Temperature value must be above or equal to the Pass Threshold:
McpDiag.In.BTMR_DCBusBarTemp &gt;= K_McpDiag.MiscOvrTempGrp.DcBusBarTemp_UndrThrshMtrn.FltHyst  </t>
  </si>
  <si>
    <t xml:space="preserve">K_McpDiag.MiscOvrTempGrp.DcBusBarTemp_UndrThrshMtrn.LimPassSec </t>
  </si>
  <si>
    <t>488 - MiscOvrTempGrp.DerateDcBusBarTemp
DC Bus bar overtemperature forces Derating</t>
  </si>
  <si>
    <t>State of BTMR DC Bus Bar Qualifier must be true:
McpDiag.In.BTMR_DCBusBar_Qualifier = 1</t>
  </si>
  <si>
    <t xml:space="preserve">DC Bus Bar Temperature Slewed Capability value lower than Fail Threshold calibration:
Proc_Derate.Prvt.DcBusBarTemp.SlewdCpblty &lt; K_McpDiag.MiscOvrTempGrp.DerateDcBusBarTemp.FltSetThrsh </t>
  </si>
  <si>
    <t xml:space="preserve">K_McpDiag.MiscOvrTempGrp.DerateDcBusBarTemp.LimFailSec </t>
  </si>
  <si>
    <t>K_McpDiag.MiscOvrTempGrp.DerateDcBusBarTemp.EnblTyp</t>
  </si>
  <si>
    <t xml:space="preserve">DC Bus Bar Temperature value must be above or equal to the Pass Threshold:
Proc_Derate.Prvt.DcBusBarTemp.SlewdCpblty &gt;= K_McpDiag.MiscOvrTempGrp.DerateDcBusBarTemp.FltHyst </t>
  </si>
  <si>
    <t xml:space="preserve">K_McpDiag.MiscOvrTempGrp.DerateDcBusBarTemp.LimPassSec </t>
  </si>
  <si>
    <t>863 - MiscOvrTempGrp.Die
Over temperature DIE (GDIC)</t>
  </si>
  <si>
    <t>Die Temperature Qualifier must be true:
Proc_Derate.In.DieTemp_Qualifier = 1</t>
  </si>
  <si>
    <t>Die Temperature (degrees Celsius) value greater than Fail Threshold calibration:
Proc_Derate.In.DieTemp_DegC &gt; K_McpDiag.MiscOvrTempGrp.Die.FltSetThrsh</t>
  </si>
  <si>
    <t xml:space="preserve">K_McpDiag.MiscOvrTempGrp.Die.LimFailSec </t>
  </si>
  <si>
    <t>K_McpDiag.MiscOvrTempGrp.Die.EnblTyp</t>
  </si>
  <si>
    <t xml:space="preserve">Die Temperature (degrees Celsius) value must be below or equal to the Pass Threshold:
Proc_Derate.In.DieTemp_DegC &lt;= K_McpDiag.MiscOvrTempGrp.Die.FltHyst </t>
  </si>
  <si>
    <t xml:space="preserve">K_McpDiag.MiscOvrTempGrp.Die.LimPassSec </t>
  </si>
  <si>
    <t>864 - MiscOvrTempGrp.EMC
over temperture EMC filter</t>
  </si>
  <si>
    <t>EMC Temperature Qualifier must be true:
Proc_Derate.In.EMCTemp_Qualifier = 1</t>
  </si>
  <si>
    <t>EMC Temperature (degrees Celsius) value greater than Fail Threshold calibration:
Proc_Derate.In.EMCTemp_DegC&gt; K_McpDiag.MiscOvrTempGrp.EMC.FltSetThrsh</t>
  </si>
  <si>
    <t xml:space="preserve">K_McpDiag.MiscOvrTempGrp.EMC.LimFailSec </t>
  </si>
  <si>
    <t>K_McpDiag.MiscOvrTempGrp.EMC.EnblTyp</t>
  </si>
  <si>
    <t xml:space="preserve">EMC Temperature (degrees Celsius) value must be below or equal to the Pass Threshold:
Proc_Derate.In.EMCTemp_DegC &lt;= K_McpDiag.MiscOvrTempGrp.EMC.FltHyst </t>
  </si>
  <si>
    <t xml:space="preserve">K_McpDiag.MiscOvrTempGrp.EMC.LimPassSec </t>
  </si>
  <si>
    <t>865 - MiscOvrTempGrp.GtDrvBrd
Over temperature Gate driver board temp sensor</t>
  </si>
  <si>
    <t xml:space="preserve">5V Supply Voltage A is between Upper and Lower Threshold:
K_McpDiag.CalAddnl.Ok_5VA_OvrThrsh  &gt; Intrfc.Hw.InRaw.Sply5vASgnl &gt; K_McpDiag.CalAddnl.Ok_5VA_UndrThrsh </t>
  </si>
  <si>
    <t>GT Drive Board Temperature value greater than Fail Threshold calibration:
Intrfc.Hw.InRaw.GtDrvBrdTemp &gt; K_McpDiag.MiscOvrTempGrp.GtDrvBrd.FltSetThrsh</t>
  </si>
  <si>
    <t xml:space="preserve">K_McpDiag.MiscOvrTempGrp.GtDrvBrd.LimFailSec </t>
  </si>
  <si>
    <t>K_McpDiag.MiscOvrTempGrp.GtDrvBrd.EnblTyp</t>
  </si>
  <si>
    <t>GT Drive Board  Temperature value must be below or equal to the Pass Threshold:
Intrfc.Hw.InRaw.GtDrvBrdTemp &lt;= K_McpDiag.MiscOvrTempGrp.GtDrvBrd.FltHyst</t>
  </si>
  <si>
    <t>K_McpDiag.MiscOvrTempGrp.GtDrvBrd.LimPassSec</t>
  </si>
  <si>
    <t>866 - MiscOvrTempGrp.GtDrvBrdRngHi
temperature sensor Gate driver board range Hi</t>
  </si>
  <si>
    <t>eGT Drive Board Temperature High Validity is Invalid:
Intrfc.Hw.InRaw.eGtDrvBrdTempHiVldty == SGNL_INVALID
this flag gets Invalid if 
Intrfc.Hw.InRaw.GtDrvBrdTemp&gt; K_McpIntrfc.HwCal.GtDrvBrdTempOvrCal.FltSetThrsh</t>
  </si>
  <si>
    <t>K_McpIntrfc.HwCal.GtDrvBrdTempOvrCal.LimFailSec</t>
  </si>
  <si>
    <t>K_McpDiag.MiscOvrTempGrp.GtDrvBrdRngHi.EnblTyp</t>
  </si>
  <si>
    <t>eGT Drive Board Temperature High Validity is not Invalid:
Intrfc.Hw.InRaw.eGtDrvBrdTempHiVldty !=  SGNL_INVALID</t>
  </si>
  <si>
    <t>K_McpIntrfc.HwCal.GtDrvBrdTempOvrCal.LimPassSec</t>
  </si>
  <si>
    <t>867 - MiscOvrTempGrp.GtDrvBrdRngLo
temperature sensor Gate driver board range Low</t>
  </si>
  <si>
    <t>eGT Drive Board Temperature Low Validity is Invalid:
Intrfc.Hw.InRaw.eGtDrvBrdTempLoVldty == SGNL_INVALID
this flag gets Invalid if 
Intrfc.Hw.InRaw.GtDrvBrdTemp &lt; K_McpIntrfc.HwCal.GtDrvBrdTempUndrCal.FltSetThrsh</t>
  </si>
  <si>
    <t>K_McpIntrfc.HwCal.GtDrvBrdTempUndrCal.LimFailSec</t>
  </si>
  <si>
    <t>K_McpDiag.MiscOvrTempGrp.GtDrvBrdRngLo.EnblTyp</t>
  </si>
  <si>
    <t>eGT Drive Board Temperature Low Validity is not Invalid:
Intrfc.Hw.InRaw.eGtDrvBrdTempHiVldty !=  SGNL_INVALID</t>
  </si>
  <si>
    <t>K_McpIntrfc.HwCal.GtDrvBrdTempUndrCal.LimPassSec</t>
  </si>
  <si>
    <t>145 - MiscOvrTempGrp.HwRtr
Over temperature for Motor rotor</t>
  </si>
  <si>
    <t>Temperature Rtr value greater than Fail Threshold calibration:
Proc_Temp.Rtr_Temp &gt; K_McpDiag.MiscOvrTempGrp.HwRtr.FltSetThrsh</t>
  </si>
  <si>
    <t xml:space="preserve">K_McpDiag.MiscOvrTempGrp.HwRtr.LimFailSec </t>
  </si>
  <si>
    <t>K_McpDiag.MiscOvrTempGrp.HwRtr.EnblTyp</t>
  </si>
  <si>
    <t xml:space="preserve">Temperature Rtr must be below or equal to the Pass Threshold:
Proc_Temp.Rtr_Temp &lt;= K_McpDiag.MiscOvrTempGrp.HwRtr.FltHyst </t>
  </si>
  <si>
    <t xml:space="preserve">K_McpDiag.MiscOvrTempGrp.HwRtr.LimPassSec </t>
  </si>
  <si>
    <t>824 - MiscOvrTempGrp.Oil
Oil Temperature over threshold detection</t>
  </si>
  <si>
    <t>Oil Temperature Validity must be true:
McpDiag.InRaw.OilTempVld = 1</t>
  </si>
  <si>
    <t>Oil Temperature value greater than Fail Threshold calibration:
McpDiag.InRaw.OilTemp &gt; K_McpDiag.MiscOvrTempGrp.Oil.FltSetThrsh</t>
  </si>
  <si>
    <t>K_McpDiag.MiscOvrTempGrp.Oil.LimFailSec</t>
  </si>
  <si>
    <t>K_McpDiag.MiscOvrTempGrp.Oil.EnblTyp</t>
  </si>
  <si>
    <t>Oil Temperature value must be below or equal to the Pass Threshold:
McpDiag.InRaw.OilTemp &lt;= K_McpDiag.MiscOvrTempGrp.Oil.FltHyst</t>
  </si>
  <si>
    <t>K_McpDiag.MiscOvrTempGrp.Oil.LimPassSec</t>
  </si>
  <si>
    <t>822 - MiscOvrTempGrp.OilVld
Oil Temperature Invalid</t>
  </si>
  <si>
    <t>Oil Temperature Validity must be true:
McpDiag.InRaw.OilTempVld = 1
this flag gets active if Oil temp sensor value in Voltage  goes above / below  threhsold:
TmpSignalConversionAtVeADCR &gt; KeOPIR_U_OPIR_VCC
OR
TmpSignalConversionAtVeADCR &lt; KeOPIR_U_OPIR_GND</t>
  </si>
  <si>
    <t>K_McpDiag.MiscOvrTempGrp.OilVld.EnblTyp</t>
  </si>
  <si>
    <t>Oil Temperature Validity must be false:
McpDiag.InRaw.OilTempVld = 0</t>
  </si>
  <si>
    <t>827 - MiscOvrTempGrp.SupCapTemp_OvrThrshMtrn
Super Capacitor Tamperature Range High</t>
  </si>
  <si>
    <t xml:space="preserve">SprCp temperature value greater than Fail Threshold calibration:
Intrfc.Hw.InRaw.SprCpTemp &gt; K_McpDiag.MiscOvrTempGrp.SupCapTemp_OvrThrshMtrn.FltSetThrsh </t>
  </si>
  <si>
    <t xml:space="preserve">K_MiscOvrTempGrp.SupCapTemp_OvrThrshMtrn.LimFailSec </t>
  </si>
  <si>
    <t>K_McpDiag.MiscOvrTempGrp.SupCapTemp_OvrThrshMtrn.EnblTyp</t>
  </si>
  <si>
    <t xml:space="preserve">SprCp temperature value be below or equal to the Pass Threshold:
Intrfc.Hw.InRaw.SprCpTemp &lt;= K_McpDiag.MiscOvrTempGrp.SupCapTemp_OvrThrshMtrn.FltHyst </t>
  </si>
  <si>
    <t xml:space="preserve">K_McpDiag.MiscOvrTempGrp.SupCapTemp_OvrThrshMtrn.LimPassSec </t>
  </si>
  <si>
    <t>825 - MiscOvrTempGrp.SupCapTempRngHi
Super Capacitor Tamperature Range High</t>
  </si>
  <si>
    <t>eSprCP Temperature High Validity is Invalid:
Intrfc.Hw.InRaw.eSprCpTempHiVldty  == SGNL_INVALID
this flag gets Invalid if
Intrfc.Hw.InRaw.SprCpTemp &gt; K_McpIntrfc.HwCal.SprCpTempOvrCal.FltSetThrsh</t>
  </si>
  <si>
    <t>K_McpIntrfc.HwCal.SprCpTempOvrCal.LimFailSec</t>
  </si>
  <si>
    <t>K_McpDiag.MiscOvrTempGrp_SupCapTempRngHi.EnblTyp</t>
  </si>
  <si>
    <t>eSprCP Temperature High Validity is not Invalid:
Intrfc.Hw.InRaw.eSprCpTempHiVldty  != SGNL_INVALID</t>
  </si>
  <si>
    <t>K_McpIntrfc.HwCal.SprCpTempOvrCal.LimPassSec</t>
  </si>
  <si>
    <t>826 - MiscOvrTempGrp.SupCapTempRngLo
Super Capacitor Tamperature Range High</t>
  </si>
  <si>
    <t>5V Supply Voltage A is between Upper and Lower Threshold:
K_McpDiag.CalAddnl.Ok_5VA_OvrThrsh  &gt; Intrfc.Hw.InRaw.Sply5vASgnl &gt; K_McpDiag.CalAddnl.Ok_5VA_UndrThrsh "</t>
  </si>
  <si>
    <t>eSprCP Temperature Low Validity is Invalid:
Intrfc.Hw.InRaw.eSprCpTempLoVldty  == SGNL_INVALID
this flag gets Invalid if
Intrfc.Hw.InRaw.SprCpTemp &lt; K_McpIntrfc.HwCal.SprCpTempUndrCal.FltSetThrsh</t>
  </si>
  <si>
    <t>K_McpIntrfc.HwCal.SprCpTempUndrCal.LimFailSec</t>
  </si>
  <si>
    <t>K_McpDiag.MiscOvrTempGrp_SupCapTempRngLo.EnblTyp</t>
  </si>
  <si>
    <t>eSprCP Temperature Low Validity is not Invalid:
Intrfc.Hw.InRaw.eSprCpTempLoVldty  != SGNL_INVALID</t>
  </si>
  <si>
    <t>K_McpIntrfc.HwCal.SprCpTempUndrCal.LimPassSec</t>
  </si>
  <si>
    <t>0A3FB1</t>
  </si>
  <si>
    <t>P0A3F-B1</t>
  </si>
  <si>
    <t>Drive Motor "A" Position Sensor - Speed Above Threshold (Overspeed)</t>
  </si>
  <si>
    <t>8 - MtrOvrSpdOrDerateGrp
Derating of MCP</t>
  </si>
  <si>
    <t>Wiring from EDM Assembly to Resolver issue
Resolver sensor issue
EDM Assembly faulty</t>
  </si>
  <si>
    <t>Check EDM Assembly - Resolver for damaged connectors or not proper connection and repair/replace if needed
Replace Resolver
If fault is still present, replace EDM Assembly</t>
  </si>
  <si>
    <t>142 - MtrOvrSpdOrDerateGrp.HiSpdDerate
derating based on overspeed higher then Thrshold</t>
  </si>
  <si>
    <t>5V Supply Voltage A is between Upper and Lower Threshold:
K_McpDiag.CalAddnl.Ok_5VA_OvrThrsh  &gt; Intrfc.Hw.InRaw.Sply5vASgnl &gt; K_McpDiag.CalAddnl.Ok_5VA_UndrThrsh 
AND 
Motor Speed Derate Type is equal to a value:
Proc_Derate.Prvt.MtrSpd.Derate_Type == CAP_DERATE_MAX_PARTIAL 
OR 
Proc_Derate.Prvt.MtrSpd.Derate_Type == CAP_DERATE_MAX_FULL</t>
  </si>
  <si>
    <t xml:space="preserve">Motor Speed Slewed Capability value smaller than Fail Threshold calibration:
Proc_Derate.Prvt.MtrSpd.SlewdCpblty &lt; K_McpDiag.MtrOvrSpdOrDerateGrp.HiSpdDerate.FltSetThrsh </t>
  </si>
  <si>
    <t xml:space="preserve">K_McpDiag.MtrOvrSpdOrDerateGrp.HiSpdDerate.LimFailSec </t>
  </si>
  <si>
    <t>K_McpDiag.MtrOvrSpdOrDerateGrp.HiSpdDerate.EnblTyp</t>
  </si>
  <si>
    <t xml:space="preserve">Motor Speed Slewed Capability value must be above or equal to the Pass Threshold:                                                  Proc_Derate.Prvt.MtrSpd.SlewdCpblty  &gt;= K_McpDiag.MtrOvrSpdOrDerateGrp.HiSpdDerate.FltHyst </t>
  </si>
  <si>
    <t xml:space="preserve">K_McpDiag.MtrOvrSpdOrDerateGrp.HiSpdDerate.LimPassSec </t>
  </si>
  <si>
    <t xml:space="preserve">159 - MtrOvrSpdOrDerateGrp.OvrThrshMtrn
Overspeed detected </t>
  </si>
  <si>
    <t xml:space="preserve">Motor Speed in RPM value greater than Fail Threshold calibration:
McpDiag.In.Buff12b_MtrSpd_RPM &gt; K_McpDiag.MtrOvrSpdOrDerateGrp.OvrThrshMtrn.FltSetThrsh </t>
  </si>
  <si>
    <t xml:space="preserve">K_McpDiag.MtrOvrSpdOrDerateGrp.OvrThrshMtrn.LimFailSec </t>
  </si>
  <si>
    <t>K_McpDiag.MtrOvrSpdOrDerateGrp.OvrThrshMtrn.EnblTyp</t>
  </si>
  <si>
    <t xml:space="preserve">Motor Speed in RPM  must be below or equal to the Pass Threshold: McpDiag.In.Buff12b_MtrSpd_RPM &lt;= K_McpDiag.MtrOvrSpdOrDerateGrp.OvrThrshMtrn.FltHyst </t>
  </si>
  <si>
    <t xml:space="preserve">K_McpDiag.MtrOvrSpdOrDerateGrp.OvrThrshMtrn.LimPassSec </t>
  </si>
  <si>
    <t>0A904B</t>
  </si>
  <si>
    <t>P0A90-4B</t>
  </si>
  <si>
    <t>Drive Motor "A" - Over Temperature</t>
  </si>
  <si>
    <t>5 - MtrOvrTempGrp
group fault for motor temperature</t>
  </si>
  <si>
    <t>Lack of power
Downgrading of driving performance
Malfunction of the starting of the vehicle</t>
  </si>
  <si>
    <t>Cooling system or fan faulty
The temperature sensor is damaged
EDM Assembly faulty</t>
  </si>
  <si>
    <t>1. Check coolant level and repair any leakages
2. Check pumps and fan are correctly working
3. If fault is still present, replace EDM Assembly</t>
  </si>
  <si>
    <t>151 - MtrOvrTempGrp.DerateUndrThrshMtrn
Derating based on Motor Temperature stronger than Limit</t>
  </si>
  <si>
    <t>5V Supply Voltage A is between Upper and Lower Threshold:
K_McpDiag.CalAddnl.Ok_5VA_OvrThrsh  &gt; Intrfc.Hw.InRaw.Sply5vASgnl &gt; K_McpDiag.CalAddnl.Ok_5VA_UndrThrsh 
AND 
Signal Valid for:
Intrfc.Hw.InRaw.eMtrTempRngHiVldty
Intrfc.Hw.InRaw.eMtrTempRngLoVldty</t>
  </si>
  <si>
    <t xml:space="preserve">Motor Temperature Slewed Capability value lower than Fail Threshold calibration:
Proc_Derate.Prvt.MtrTemp.SlewdCpblty &lt; K_McpDiag.MtrOvrTempGrp.DerateUndrThrshMtrn.FltSetThrsh </t>
  </si>
  <si>
    <t xml:space="preserve">K_McpDiag.MtrOvrTempGrp.DerateUndrThrshMtrn.LimFailSec </t>
  </si>
  <si>
    <t>K_McpDiag.MtrOvrTempGrp.DerateUndrThrshMtrn.EnblTyp</t>
  </si>
  <si>
    <t xml:space="preserve">Motor Temperature Slewed Capability value must be above or equal to the Pass Threshold:
Proc_Derate.Prvt.MtrTemp.SlewdCpblty &gt;= K_McpDiag.MtrOvrTempGrp.DerateUndrThrshMtrn.FltHyst </t>
  </si>
  <si>
    <t xml:space="preserve">K_McpDiag.MtrOvrTempGrp.DerateUndrThrshMtrn.LimPassSec </t>
  </si>
  <si>
    <t>1072 - MtrOvrTempGrp.MdlOverTemp
Motor temp grp, model over temp</t>
  </si>
  <si>
    <t>Sttr Iron Temp Validity must be valid  therefore equal to 1:
Proc_Derate.In.SttrIronTempVldty = SGNL_INVALID</t>
  </si>
  <si>
    <t xml:space="preserve">Sttr Iron Temperature signal value greter than Fail Threshold calibration:
Proc_Derate.InRaw.SttrIronTemp &gt; K_McpDiag.MtrOvrTempGrp.MdlOverTemp.FltSetThrsh </t>
  </si>
  <si>
    <t xml:space="preserve">K_McpDiag.MtrOvrTempGrp.MdlOverTemp.LimFailSec </t>
  </si>
  <si>
    <t>K_McpDiag.MtrOvrTempGrp.MdlOverTemp.EnblTyp</t>
  </si>
  <si>
    <t>Sttr Iron Temperature signal value must be below or equal to the Pass Threshold calibration:
Proc_Derate.InRaw.SttrIronTemp &lt;= K_McpDiag.MtrOvrTempGrp.MdlOverTemp.FltHyst</t>
  </si>
  <si>
    <t xml:space="preserve">K_McpDiag.MtrOvrTempGrp.MdlOverTemp.LimPassSec </t>
  </si>
  <si>
    <t>1073 - MtrOvrTempGrp.MdlThermalRunaway
Motor temp grp, model over temp</t>
  </si>
  <si>
    <t xml:space="preserve">Sttr Iron Temperature signal value greter than Fail Threshold calibration:
Proc_Derate.InRaw.SttrIronTemp &gt; K_McpDiag.
MtrOvrTempGrp.MdlThermalRunaway.FltSetThrsh </t>
  </si>
  <si>
    <t xml:space="preserve">K_McpDiag.MtrOvrTempGrp.MdlThermalRunaway.LimFailSec </t>
  </si>
  <si>
    <t>K_McpDiag.MtrOvrTempGrp.MdlThermalRunaway.EnblTyp</t>
  </si>
  <si>
    <t>Sttr Iron Temperature signal value must be below or equal to the Pass Threshold calibration:
Proc_Derate.InRaw.SttrIronTemp &lt;= K_McpDiag.MtrOvrTempGrp.MdlThermalRunaway.FltHyst</t>
  </si>
  <si>
    <t xml:space="preserve">K_McpDiag.MtrOvrTempGrp.MdlThermalRunaway.LimPassSec </t>
  </si>
  <si>
    <t>96 - MtrOvrTempGrp.OvrThrshMtrn
Motor Temperature too high</t>
  </si>
  <si>
    <t xml:space="preserve">Motor Filtered Deg C Signal value greater than Fail Threshold calibration:
Proc_Temp.Prvt.MtrFiltSgnl_DegC &gt; K_McpDiag.MtrOvrTempGrp.OvrThrshMtrn.FltSetThrsh </t>
  </si>
  <si>
    <t xml:space="preserve">K_McpDiag.MtrOvrTempGrp.OvrThrshMtrn.LimFailSec </t>
  </si>
  <si>
    <t>K_McpDiag.MtrOvrTempGrp.OvrThrshMtrn.EnblTyp</t>
  </si>
  <si>
    <t xml:space="preserve">Motor Filtered Deg C must be below or equal to the Pass Threshold:
 Proc_Temp.Prvt.MtrFiltSgnl_DegC &lt;= K_McpDiag.MtrOvrTempGrp.OvrThrshMtrn.FltHyst </t>
  </si>
  <si>
    <t xml:space="preserve">K_McpDiag.MtrOvrTempGrp.OvrThrshMtrn.LimPassSec </t>
  </si>
  <si>
    <t>753 - MtrOvrTempGrp.ThermalRunaway
Motor temperature Thermal runnaway detected.</t>
  </si>
  <si>
    <t xml:space="preserve">Motor Filtered Deg C Signal value greater than FailThreshold calibration:
Proc_Temp.Prvt.MtrFiltSgnl_DegC &gt; K_McpDiag.MtrOvrTempGrp.ThermalRunaway.FltSetThrsh </t>
  </si>
  <si>
    <t xml:space="preserve">K_McpDiag.MtrOvrTempGrp.ThermalRunaway.LimFailSec </t>
  </si>
  <si>
    <t>K_McpDiag.MtrOvrTempGrp.ThermalRunaway.EnblTyp</t>
  </si>
  <si>
    <t xml:space="preserve">Motor Filtered Deg C must be below or equal to the Pass Threshold:
Proc_Temp.Prvt.MtrFiltSgnl_DegC &lt;= K_McpDiag.MtrOvrTempGrp.ThermalRunaway.FltHyst </t>
  </si>
  <si>
    <t xml:space="preserve">K_McpDiag.MtrOvrTempGrp.ThermalRunaway.LimPassSec </t>
  </si>
  <si>
    <t>0A2A92</t>
  </si>
  <si>
    <t>P0A2A-92</t>
  </si>
  <si>
    <t>Drive Motor "A" Temperature Sensor "A" - Performance or Incorrect Operation</t>
  </si>
  <si>
    <t>2 - MtrTempSnsrPerfGrp
Motor temperature Performance detection</t>
  </si>
  <si>
    <t xml:space="preserve">Cooling system or fan faulty
The temperature sensor is damaged
EDM Assembly faulty
</t>
  </si>
  <si>
    <t>Start delay timer
K_McpDiag.CalAddnl.MtrPimTempSnsrPerf_StrtupDlyCnt * sample time
AND
Run Disable
McpDiag.DiagAddnl.MtrTempSnsrPerf_RunDsbl = 0
AND
Soak Tm
McpDiag.DiagAddnl.bMtrTempSnsrPerf_ReadVehSoakTm = 0
AND
5V Supply Voltage A is between Upper and Lower Threshold:
K_McpDiag.CalAddnl.Ok_5VA_OvrThrsh &gt; Intrfc.Hw.InRaw.Sply5vASgnl &gt; K_McpDiag.CalAddnl.Ok_5VA_UndrThrsh</t>
  </si>
  <si>
    <t xml:space="preserve">Absolute value of the difference between the Pim Max Temperature and Motor Filtered Signal Temperature value must be greater than Fail Threshold calibration:
Absolute Value(Proc_Temp.PimMax_DegC - Proc_Temp.Prvt.MtrFiltSgnl_DegC)  &gt; K_McpDiag.MtrTempSnsrPerf.FltSetThrsh </t>
  </si>
  <si>
    <t>K_McpDiag.MtrTempSnsrPerf.LimFailSec</t>
  </si>
  <si>
    <t>K_McpDiag.MtrTempSnsrPerf.EnblTyp</t>
  </si>
  <si>
    <t>Absolute value of the difference between the Pim Max Temperature and Motor Filtered Signal Temperature value must be below or equal to the Pass Threshold calibration:
Absolute Value(Proc_Temp.PimMax_DegC - Proc_Temp.Prvt.MtrFiltSgnl_DegC)  &lt;= K_McpDiag.MtrTempSnsrPerf.FltHyst</t>
  </si>
  <si>
    <t>K_McpDiag.MtrTempSnsrPerf.LimPassSec</t>
  </si>
  <si>
    <t>1084 - MtrTempSnsrPerfGrp.Comp
Motor temp sensor perf compare check (legacy code)</t>
  </si>
  <si>
    <t>To enable counters, the calibrations below must have a high value (for example: 10000):
K_McpDiag.CalAddnl.MtrTempSnsrPerf_StrtupDlyCnt = 10000
K_McpDiag.CalAddnl.MtrTempSnsrPerf_ActWndwCnt = 10000
AND
Run Disable
McpDiag.DiagAddnl.MtrTempSnsrPerf_RunDsbl = 0
AND
Soak Tm
McpDiag.DiagAddnl.bMtrTempSnsrPerf_ReadVehSoakTm = 0
AND
5V Supply Voltage A is between Upper and Lower Threshold:
K_McpDiag.CalAddnl.Ok_5VA_OvrThrsh &gt; Intrfc.Hw.InRaw.Sply5vASgnl &gt; K_McpDiag.CalAddnl.Ok_5VA_UndrThrsh</t>
  </si>
  <si>
    <t xml:space="preserve">Absolute value of the difference between the Pim Max Temperature and Motor Filtered Signal Temperature value must be greater than Fail Threshold calibration:
Absolute Value(Proc_Temp.PimMax_DegC - Proc_Temp.MtrFiltSgnl_DegC)  &gt; K_McpDiag.MtrTempSnsrPerf.FltSetThrsh </t>
  </si>
  <si>
    <t>K_McpDiag.MtrTempSnsrPerfGrp.Comp.LimFailSec</t>
  </si>
  <si>
    <t>K_McpDiag.MtrTempSnsrPerfGrp.Comp.EnblTyp</t>
  </si>
  <si>
    <t xml:space="preserve">Absolute value of the difference between the Pim Max Temperature and Motor Filtered Signal Temperature value must be below or equal to the Pass Threshold:
Absolute Value(Proc_Temp.PimMax_DegC - Proc_Temp.MtrFiltSgnl_DegC)  &lt;= K_McpDiag.MtrTempSnsrPerf.FltHyst </t>
  </si>
  <si>
    <t xml:space="preserve">K_McpDiag.MtrTempSnsrPerfGrp.Rtnlty.LimPassSec </t>
  </si>
  <si>
    <t>1082 - MtrTempSnsrPerfGrp.Rtnlty
Motor Temp Rationality</t>
  </si>
  <si>
    <t>Sttr Iron Temp Validity must be Invalid ( equal to 1):
Proc_Derate.In.SttrIronTempVldty = SGNL_INVALID
AND
5V Supply Voltage A is between Upper and Lower Threshold:
K_McpDiag.CalAddnl.Ok_5VA_OvrThrsh &gt; Intrfc.Hw.InRaw.Sply5vASgnl &gt; K_McpDiag.CalAddnl.Ok_5VA_UndrThrsh</t>
  </si>
  <si>
    <t>Absolute Value of the Difference between Sttr IronTemperature and Motor Filtered Signal DegC value greater than Fail Threshold calibration:
Absolute Value (Proc_Derate.In.SttrIronTemp - Proc_Temp.MtrFiltSgnl_DegC) &gt;  K_McpDiag.MtrTempSnsrPerfGrp.Rtnlty.FltSetThrsh</t>
  </si>
  <si>
    <t>K_McpDiag.MtrTempSnsrPerfGrp.Rtnlty.LimFailSec</t>
  </si>
  <si>
    <t>K_McpDiag.MtrTempSnsrPerfGrp.Rtnlty.EnblTyp</t>
  </si>
  <si>
    <t>Absolute Value of the Difference between Sttr IronTemp and Mtr Filt Sgnl DegC value must be below or equal to the Pass Threshold: 
Absolute Value (Proc_Temp.SttrIronTemp - Proc_Temp.MtrFiltSgnl_DegC) &lt;= K_McpDiag.MtrTempSnsrPerfGrp.Rtnlty.FltHyst</t>
  </si>
  <si>
    <t>0A2A12</t>
  </si>
  <si>
    <t>P0A2A-12</t>
  </si>
  <si>
    <t>Drive Motor "A" Temperature Sensor "A" - Circuit Short to Battery</t>
  </si>
  <si>
    <t>4 - MtrTempSnsrRngHiGrp
Motor temperature Sensor range High detection</t>
  </si>
  <si>
    <t xml:space="preserve">Lack of power
Downgrading od the driving performance
Does not reach maximum speed
</t>
  </si>
  <si>
    <t xml:space="preserve">149 - MtrTempSnsrRngHiGrp.MtrTempRngHi
Motor temperature Sensor Short High </t>
  </si>
  <si>
    <t xml:space="preserve">5V Supply Voltage A is between Upper and Lower Threshold:
K_McpDiag.CalAddnl.Ok_5VA_OvrThrsh &gt; Intrfc.Hw.InRaw.Sply5vASgnl &gt; K_McpDiag.CalAddnl.Ok_5VA_UndrThrsh
</t>
  </si>
  <si>
    <t>Motor Temperature High Validity is Invalid:
Intrfc.Hw.InRaw.eMtrTempRngHiVldty == SGNL_INVALID
this flag gets Invalid if
IntrfcT2.In.MtrTempEngSgnl_DegC &gt; K_McpIntrfc.HwCal.MtrTempEngSgnl_DegCOvrCal.FltSetThrsh</t>
  </si>
  <si>
    <t>K_McpIntrfc.HwCal.MtrTempEngSgnl_DegCOvrCal.LimFailSec</t>
  </si>
  <si>
    <t>K_McpDiag.MtrTempSnsrRngHiGrp.MtrTempRngHi.EnblTyp</t>
  </si>
  <si>
    <t>Motor Temperature High Validity is not Invalid:
Intrfc.Hw.InRaw.eMtrTempRngHiVldty != SGNL_INVALID</t>
  </si>
  <si>
    <t>K_McpIntrfc.HwCal.MtrTempEngSgnl_DegCOvrCal.LimPassSec</t>
  </si>
  <si>
    <t>Fixed Derate</t>
  </si>
  <si>
    <t>128 - MtrTempSnsrRngHiGrp.UndrThrshMtrn
Motor temperature Sensor delta not big enough since startup</t>
  </si>
  <si>
    <t xml:space="preserve">Start Up delay timer bigger than 
CalAddnl.MtrTempSnsrRngHiDlyTm_Sec
AND
1) The following AND conditions are satisfied:
- 5V Supply Voltage A is between Upper and Lower Threshold:
K_McpDiag.CalAddnl.Ok_5VA_OvrThrsh &gt; Intrfc.Hw.InRaw.Sply5vASgnl&gt; K_McpDiag.CalAddnl.Ok_5VA_UndrThrsh
- Motor Temperature value is greater or equal than calibration value:
Proc_Temp.MtrFiltSgnl_DegC  &gt;= CalAddnl.MtrTempSnsrRngHi_CmputTempThrsh
OR
2) The following AND conditions are satisfied:
- 5V Supply Voltage A is between Upper and Lower Threshold:
K_McpDiag.CalAddnl.Ok_5VA_OvrThrsh &gt; Intrfc.Hw.InRaw.Sply5vASgnl &gt; K_McpDiag.CalAddnl.Ok_5VA_UndrThrsh
- Motor Temperature value is smaller than calibration value:
Proc_Temp.MtrFiltSgnl_DegC &lt; CalAddnl.MtrTempSnsrRngHi_CmputTempThrsh
- Absolute Value of Setter Syncronize Current Square Root value is greater than Calibrtation value:
Absolute Value(McpDiag.DiagAddnl.MtrTempSnsrRngHi_SttrSynCurrSqRoot) &gt; CalAddnl.MtrTempSnsrRngHi_SttrSynCurrSqRoot
- Absolute Motor Speed in RPM is greater than Calibrtation value:
McpDiag.In.AbsMtrSpd_Rpm &gt; CalAddnl.MtrTempSnsrRngHi_MtrMinSpd_Rpm
</t>
  </si>
  <si>
    <t xml:space="preserve">Motor Temperature Delta value after start up delay time lower than Fail Threshold calibration:
- the motor temperature change is checked (initial value - actual value)
McpDiag.DiagAddnl.MtrTempSnsrRngHi_MtrTempDelta &lt; K_McpDiag.MtrTempSnsrRngHiGrp.UndrThrshMtrn.FltSetThrsh </t>
  </si>
  <si>
    <t>K_McpDiag.MtrTempSnsrRngHiGrp.UndrThrshMtrn.LimFailSec</t>
  </si>
  <si>
    <t>K_McpDiag.MtrTempSnsrRngHiGrp.UndrThrshMtrn.EnblTyp</t>
  </si>
  <si>
    <t xml:space="preserve">Motor Temperature Sensor range High value must be above or equal to the Pass Threshold:
McpDiag.DiagAddnl.MtrTempSnsrRngHi_MtrTempDelta &gt;=  K_McpDiag.MtrTempSnsrRngHiGrp.UndrThrshMtrn.FltHyst </t>
  </si>
  <si>
    <t xml:space="preserve">K_McpDiag.MtrTempSnsrRngHiGrp.UndrThrshMtrn.LimPassSec </t>
  </si>
  <si>
    <t>0A2A11</t>
  </si>
  <si>
    <t>P0A2A-11</t>
  </si>
  <si>
    <t>Drive Motor "A" Temperature Sensor "A" - Circuit Short to Ground</t>
  </si>
  <si>
    <t>3 - MtrTempSnsrRngLoGrp
group fault for motor temperature sensor lo</t>
  </si>
  <si>
    <t>150 - MtrTempSnsrRngLoGrp.MtrTempRngLo
Motor temperature sensor short ground</t>
  </si>
  <si>
    <t>Motor Temperature Low Validity flag is Invalid:
 Intrfc.Hw.InRaw.eMtrTempRngLoVldty == SGNL_INVALID
this flag gets Invalid if
IntrfcT2.In.MtrTempEngSgnl_DegC &lt;  K_McpIntrfc.HwCal.MtrTempEngSgnl_DegCUndrCal.FltSetThrsh</t>
  </si>
  <si>
    <t>K_McpIntrfc.HwCal.MtrTempEngSgnl_DegCUndrCal.LimFailSec</t>
  </si>
  <si>
    <t>K_McpDiag.MtrTempSnsrRngLoGrp.MtrTempRngLo.EnblTyp</t>
  </si>
  <si>
    <t>Motor Temperature Low Validity is not Invalid:
Intrfc.Hw.InRaw.eMtrTempRngHiVldty != SGNL_INVALID</t>
  </si>
  <si>
    <t>K_McpIntrfc.HwCal.MtrTempEngSgnl_DegCUndrCal.LimPassSec</t>
  </si>
  <si>
    <t>0C0513</t>
  </si>
  <si>
    <t>P0C05-13</t>
  </si>
  <si>
    <t>Drive Motor "A" Phase U-V-W - Circuit Open</t>
  </si>
  <si>
    <t>31 - NoMtrCurrGrp
NO Motor current detection</t>
  </si>
  <si>
    <t>Lack of power
Does not power the vehicle
Malfunction at starting the vehicle</t>
  </si>
  <si>
    <t>One or more wings damaged (less or more resistance).
EDM HV AC Connectors.
Wiring from eMotor to PIM Assembly.
PIM Assembly faulty.
EDM Assembly faulty.</t>
  </si>
  <si>
    <t>Resistance test PIM Assembly
Check PIM Assembly for damaged connectors (HV AC connector) or not proper connection (wiring from eMotor to PIM Assembly)  and repair/replace it if needed
Replace PIM Assembly. 
If fault is still present, replace EDM Assembly.</t>
  </si>
  <si>
    <t>481 - NoMtrCurrGrp.IaCmdHi
Motor current lower than thrshold for Phase
(current close to =0)</t>
  </si>
  <si>
    <t>5V Supply Current Sense Signal is between Upper and Lower Threshold:
K_McpDiag.CalAddnl.Ok_5V_CURRENT_SENSE_OvrThrsh  &gt; Intrfc.Hw.InRaw.Sply5vCrntSnsSgnl &gt; K_McpDiag.CalAddnl.Ok_5V_CURRENT_SENSE_UndrThrsh 
AND
Current A Cmd T2 value greater than Threshold:
In.Stats_SigsT0_IaCmd_T2_Max &gt; K_McpDiag.CalAddnl.NoMtrCurr_IaIbIcCmdThrshMin
AND
MCP State Power Stage Command is equal to a type:
MCPState.PwrStageCommand==PWR_STAGE_ACTIVE_MTRCTRL 
AND 
State of IntrfcT1.In.bPimOutSt must be true:
McpDiag.In.bPimOutSt = 1</t>
  </si>
  <si>
    <t xml:space="preserve">Current .Ia.T2 max value lower than Fail Threshold calibration:
Stats.SigsT0.Ia.T2.Max &lt; K_McpDiag.NoMtrCurrGrp.IaCmdHi.FltSetThrsh </t>
  </si>
  <si>
    <t>K_McpDiag.NoMtrCurrGrp.IaCmdHi.LimFailSec</t>
  </si>
  <si>
    <t>K_McpDiag.NoMtrCurrGrp.IaCmdHi.EnblTyp</t>
  </si>
  <si>
    <t xml:space="preserve">Current Ia T2 max  value must be above than or equal to the Pass Threshold: 
Stats.SigsT0.Ia.T2.Max &gt;= K_McpDiag.NoMtrCurrGrp.IaCmdHi.FltHyst </t>
  </si>
  <si>
    <t xml:space="preserve">K_McpDiag.NoMtrCurrGrp.IaCmdHi.LimPassSec </t>
  </si>
  <si>
    <t>480 - NoMtrCurrGrp.IaCmdLo
Motor current Bigger than thrshold for Phase
(current close to =0)</t>
  </si>
  <si>
    <t>5V Supply Current Sense Signal is between Upper and Lower Threshold:
K_McpDiag.CalAddnl.Ok_5V_CURRENT_SENSE_OvrThrsh  &gt; Intrfc.Hw.InRaw.Sply5vCrntSnsSgnl &gt; K_McpDiag.CalAddnl.Ok_5V_CURRENT_SENSE_UndrThrsh 
AND
Current A Cmd T2 value smaller than Threshold:
In.Stats_SigsT0_IaCmd_T2_Max &lt; -K_McpDiag.CalAddnl.NoMtrCurr_IaIbIcCmdThrshMin
AND
MCP State Power Stage Command is equal to a type:
MCPState.PwrStageCommand ==PWR_STAGE_ACTIVE_MTRCTRL
AND 
State of IntrfcT1.In.bPimOutSt must be true:
McpDiag.In.bPimOutSt = 1</t>
  </si>
  <si>
    <t xml:space="preserve">Current Ia.T2 min value bigger than Fail Threshold calibration:
Stats.SigsT0.Ia.T2.Min &gt; K_McpDiag.NoMtrCurrGrp.IaCmdLo.FltSetThrsh </t>
  </si>
  <si>
    <t>K_McpDiag.NoMtrCurrGrp.IaCmdLo.LimFailSec</t>
  </si>
  <si>
    <t>K_McpDiag.NoMtrCurrGrp.IaCmdLo.EnblTyp</t>
  </si>
  <si>
    <t xml:space="preserve">Current Ia T2 minmust be below or equal to the Pass Threshold:
Stats.SigsT0.Ia.T2.Min &lt;= K_McpDiag.NoMtrCurrGrp.IaCmdLo.FltHyst </t>
  </si>
  <si>
    <t xml:space="preserve">K_McpDiag.NoMtrCurrGrp.IaCmdLo.LimPassSec </t>
  </si>
  <si>
    <t>483 - NoMtrCurrGrp.IbCmdHi
Motor current lower than thrshold for Phase
(current close to =0)</t>
  </si>
  <si>
    <t>5V Supply Current Sense Signal is between Upper and Lower Threshold:
K_McpDiag.CalAddnl.Ok_5V_CURRENT_SENSE_OvrThrsh  &gt; Intrfc.Hw.InRaw.Sply5vCrntSnsSgnl &gt; K_McpDiag.CalAddnl.Ok_5V_CURRENT_SENSE_UndrThrsh 
AND
Current A Cmd T2 value greater than Threshold:
In.Stats_SigsT0_IbCmd_T2_Max &gt; K_McpDiag.CalAddnl.NoMtrCurr_IaIbIcCmdThrshMin
AND
MCP State Power Stage Command is equal to a type:
MCPState.PwrStageCommand ==PWR_STAGE_ACTIVE_MTRCTRL
AND 
State of IntrfcT1.In.bPimOutSt must be true:
McpDiag.In.bPimOutSt = 1</t>
  </si>
  <si>
    <t xml:space="preserve">Current Ib T2 max value lower than Fail Threshold calibration:
Stats.SigsT0.Ib.T2.Max &lt; K_McpDiag.NoMtrCurrGrp.IbCmdHi.FltSetThrsh </t>
  </si>
  <si>
    <t>K_McpDiag.NoMtrCurrGrp.IbCmdHi.LimFailSec</t>
  </si>
  <si>
    <t>K_McpDiag.NoMtrCurrGrp.IbCmdHi.EnblTyp</t>
  </si>
  <si>
    <t xml:space="preserve">Current Ib T2 max value must be above or equal to the Pass Threshold:
Stats.SigsT0.Ib.T2.Max &gt;= K_McpDiag.NoMtrCurrGrp.IbCmdHi.FltHyst </t>
  </si>
  <si>
    <t xml:space="preserve">K_McpDiag.NoMtrCurrGrp.IbCmdHi.LimPassSec </t>
  </si>
  <si>
    <t>482 - NoMtrCurrGrp.IbCmdLo
Motor current Bigger than thrshold for Phase
(current close to =0)</t>
  </si>
  <si>
    <t>5V Supply  Current Sense Signal is between Upper and Lower Threshold:
K_McpDiag.CalAddnl.Ok_5V_CURRENT_SENSE_OvrThrsh  &gt; Intrfc.Hw.InRaw.Sply5vCrntSnsSgnl &gt; K_McpDiag.CalAddnl.Ok_5V_CURRENT_SENSE_UndrThrsh 
AND
Current A Cmd T2 value smaller than Threshold:
In.Stats_SigsT0_IbCmd_T2_Min &lt; -K_McpDiag.CalAddnl.NoMtrCurr_IaIbIcCmdThrshMin
AND
MCP State Power Stage Command is equal to a type:
MCPState.PwrStageCommand ==PWR_STAGE_ACTIVE_MTRCTRL
AND 
State of IntrfcT1.In.bPimOutSt must be true:
McpDiag.In.bPimOutSt = 1</t>
  </si>
  <si>
    <t xml:space="preserve">Current Ib T2 min value must be above the Fail Threshold calibration:
Stats.SigsT0.Ib.T2.Min &gt; K_McpDiag.NoMtrCurrGrp.IbCmdLo.FltSetThrsh </t>
  </si>
  <si>
    <t>K_McpDiag.NoMtrCurrGrp.IbCmdLo.LimFailSec</t>
  </si>
  <si>
    <t>K_McpDiag.NoMtrCurrGrp.IbCmdLo.EnblTyp</t>
  </si>
  <si>
    <t xml:space="preserve">Current Ib T2 min must be below or equal to the Pass Threshold: 
Stats.SigsT0.Ib.T2.Min &lt;= K_McpDiag.NoMtrCurrGrp.IbCmdLo.FltHyst </t>
  </si>
  <si>
    <t xml:space="preserve">K_McpDiag.NoMtrCurrGrp.IbCmdLo.LimPassSec </t>
  </si>
  <si>
    <t>485 - NoMtrCurrGrp.IcCmdHi
Motor current lower than thrshold for Phase
(current close to =0)</t>
  </si>
  <si>
    <t>5V Supply  Current Sense Signal is between Upper and Lower Threshold:
K_McpDiag.CalAddnl.Ok_5V_CURRENT_SENSE_OvrThrsh  &gt; Intrfc.Hw.InRaw.Sply5vCrntSnsSgnl &gt; K_McpDiag.CalAddnl.Ok_5V_CURRENT_SENSE_UndrThrsh 
AND
Current A Cmd T2 value greater than Threshold:
In.Stats_SigsT0_IcCmd_T2_Max &gt; K_McpDiag.CalAddnl.NoMtrCurr_IaIbIcCmdThrshMin
AND
MCP State Power Stage Command is equal to a type:
MCPState.PwrStageCommand ==PWR_STAGE_ACTIVE_MTRCTRL
AND 
State of IntrfcT1.In.bPimOutSt must be true:
McpDiag.In.bPimOutSt = 1</t>
  </si>
  <si>
    <t xml:space="preserve">Current Ic.T2 max value lower than Fail Threshold calibration:
Stats.SigsT0.Ic.T2.Max &lt; K_McpDiag.NoMtrCurrGrp.IcCmdHi.FltSetThrsh </t>
  </si>
  <si>
    <t>K_McpDiag.NoMtrCurrGrp.IcCmdHi.LimFailSec</t>
  </si>
  <si>
    <t>K_McpDiag.NoMtrCurrGrp.IcCmdHi.EnblTyp</t>
  </si>
  <si>
    <t xml:space="preserve">Current Ic T2 max value must be above or equal to the Pass Threshold: 
Stats.SigsT0.Ic.T2.Max &gt;= K_McpDiag.NoMtrCurrGrp.IcCmdHi.FltHyst </t>
  </si>
  <si>
    <t xml:space="preserve">K_McpDiag.NoMtrCurrGrp.IcCmdHi.LimPassSec </t>
  </si>
  <si>
    <t>484 - NoMtrCurrGrp.IcCmdLo
Motor current Bigger than thrshold for Phase
(current close to =0)</t>
  </si>
  <si>
    <t>5V Current Sense Signal is between Upper and Lower Threshold:
K_McpDiag.CalAddnl.Ok_5V_CURRENT_SENSE_OvrThrsh  &gt; Intrfc.Hw.InRaw.Sply5vCrntSnsSgnl &gt; K_McpDiag.CalAddnl.Ok_5V_CURRENT_SENSE_UndrThrsh 
AND
Current A Cmd T2 value smaller than Threshold:
In.Stats_SigsT0_IcCmd_T2_Min &lt; -K_McpDiag.CalAddnl.NoMtrCurr_IaIbIcCmdThrshMin
AND
MCP State Power Stage Command is equal to a type:
MCPState.PwrStageCommand ==PWR_STAGE_ACTIVE_MTRCTRL
AND 
State of IntrfcT1.In.bPimOutSt must be true:
McpDiag.In.bPimOutSt = 1</t>
  </si>
  <si>
    <t xml:space="preserve">Current Ic T2 min value bigger than Fail Threshold calibration:
Stats.SigsT0.Ic.T2.Min &gt; K_McpDiag.NoMtrCurrGrp.IcCmdLo.FltSetThrsh </t>
  </si>
  <si>
    <t>K_McpDiag.NoMtrCurrGrp.IcCmdLo.LimFailSec</t>
  </si>
  <si>
    <t>K_McpDiag.NoMtrCurrGrp.IcCmdLo.EnblTyp</t>
  </si>
  <si>
    <t xml:space="preserve">Current Ic T2 min must be below or equal to the Pass Threshold:
Stats.SigsT0.Ic.T2.Min &lt;= K_McpDiag.NoMtrCurrGrp.IcCmdLo.FltHyst </t>
  </si>
  <si>
    <t xml:space="preserve">K_McpDiag.NoMtrCurrGrp.IcCmdLo.LimPassSec </t>
  </si>
  <si>
    <t>0A1B4B</t>
  </si>
  <si>
    <t>P0A1B-4B</t>
  </si>
  <si>
    <t>Drive Motor "A" Control Module - Over Temperature</t>
  </si>
  <si>
    <t>34 - PcbOvrTempGrp
Controll board over temperature Group</t>
  </si>
  <si>
    <t>Cooling System
PIM Assembly faulty</t>
  </si>
  <si>
    <t>Check Coolant System for leaks or bent hoses and repair/replace if needed
If fault is still present, replace PIM Assembly</t>
  </si>
  <si>
    <t>138 - PcbOvrTempGrp.HwPcbOvrTemp
HW PCB controllboard temperature too high</t>
  </si>
  <si>
    <t>PCB Temperature signal value greater than Fail Threshold calibration:
Intrfc.Hw.InRaw.TempCBSgnl_DegC &gt; K_McpDiag.PcbOvrTempGrp.HwPcbOvrTemp.FltSetThrsh</t>
  </si>
  <si>
    <t>K_McpDiag.PcbOvrTempGrp.HwPcbOvrTemp.LimFailSec</t>
  </si>
  <si>
    <t>K_McpDiag.PcbOvrTempGrp.HwPcbOvrTemp.EnblTyp</t>
  </si>
  <si>
    <t xml:space="preserve">PCB Temperature signal must be below or equal to the Pass Threshold:
Intrfc.Hw.InRaw.TempCBSgnl_DegC &lt;= K_McpDiag.PcbOvrTempGrp.HwPcbOvrTemp.FltHyst </t>
  </si>
  <si>
    <t xml:space="preserve">K_McpDiag.PcbOvrTempGrp.HwPcbOvrTemp.LimPassSec </t>
  </si>
  <si>
    <t>0BE592</t>
  </si>
  <si>
    <t>P0BE5-92</t>
  </si>
  <si>
    <t>Drive Motor "A" Phase U Current Sensor - Performance or Incorrect Operation</t>
  </si>
  <si>
    <t>19 - PhsACurrSnsrOfstRng
Phase current sensor offset is not in range</t>
  </si>
  <si>
    <t xml:space="preserve">
5V Supply  Current Sense Signal is between Upper and Lower Threshold:
K_McpDiag.CalAddnl.Ok_5V_CURRENT_SENSE_OvrThrsh  &gt; Intrfc.Hw.InRaw.Sply5vCrntSnsSgnl &gt; K_McpDiag.CalAddnl.Ok_5V_CURRENT_SENSE_UndrThrsh
AND
Inverted Disabled Timer Status is smaller or equal than 0:
McpDiag.DiagAddnl.CurrOfstInvDsblWaitTmr &lt;= 0.0</t>
  </si>
  <si>
    <t>Ia Current Offset is greater than Fail Threshold calibration:
McpDiag.In.IaOfst &gt;  K_McpDiag.PhsACurrSnsrOfstRng.FltSetThrsh</t>
  </si>
  <si>
    <t>K_McpDiag.PhsACurrSnsrOfstRng.EnblTyp</t>
  </si>
  <si>
    <t>Ia Current Offset must be below or equal to the Fail Threshold calibration:
McpDiag.In.IaOfst &lt;=  K_McpDiag.PhsACurrSnsrOfstRng.FltSetThrsh</t>
  </si>
  <si>
    <t>0BE512</t>
  </si>
  <si>
    <t>P0BE5-12</t>
  </si>
  <si>
    <t>Drive Motor "A" Phase U Current Sensor - Circuit Short to Battery</t>
  </si>
  <si>
    <t>21 - PhsACurrSnsrRngHiGrp
Phase current sensor range High check</t>
  </si>
  <si>
    <t>179 - PhsACurrSnsrRngHiGrp.OvrThrshMtrn
Phase current sensor higher than threshold</t>
  </si>
  <si>
    <t xml:space="preserve">5V Supply Current Sense Signal is between Upper and Lower Threshold:
K_McpDiag.CalAddnl.Ok_5V_CURRENT_SENSE_OvrThrsh  &gt; Intrfc.Hw.InRaw.Sply5vCrntSnsSgnl &gt; K_McpDiag.CalAddnl.Ok_5V_CURRENT_SENSE_UndrThrsh </t>
  </si>
  <si>
    <t xml:space="preserve">Phase A Current sensor Signal value greater than Fail Threshold calibration:
McpDiag.In.VeQADC_I_PhaseAQ1 &gt; K_McpDiag.PhsACurrSnsrRngHiGrp.OvrThrshMtrn.FltSetThrsh </t>
  </si>
  <si>
    <t xml:space="preserve">K_McpDiag.PhsACurrSnsrRngHiGrp.OvrThrshMtrn.LimFailSec </t>
  </si>
  <si>
    <t>K_McpDiag.PhsACurrSnsrRngHiGrp.OvrThrshMtrn.EnblTyp</t>
  </si>
  <si>
    <t xml:space="preserve">Phase A Current sensor must be below or equal to the Pass Threshold:
In.VeQADC_I_PhaseAQ1 &lt;= K_McpDiag.PhsACurrSnsrRngHiGrp.OvrThrshMtrn.FltHyst </t>
  </si>
  <si>
    <t xml:space="preserve">K_McpDiag.PhsACurrSnsrRngHiGrp.OvrThrshMtrn.LimPassSec </t>
  </si>
  <si>
    <t>0BE511</t>
  </si>
  <si>
    <t>P0BE5-11</t>
  </si>
  <si>
    <t>Drive Motor "A" Phase U Current Sensor - Circuit Short to Ground</t>
  </si>
  <si>
    <t>20 - PhsACurrSnsrRngLoGrp
Phase current sensor range low check</t>
  </si>
  <si>
    <t>177 - PhsACurrSnsrRngLoGrp.UndrThrshMtrn
Phase current sensor lower than threshold</t>
  </si>
  <si>
    <t xml:space="preserve">5V Supply Current Sense Signal is between Upper and Lower Threshold:
K_McpDiag.CalAddnl.Ok_5V_CURRENT_SENSE_OvrThrsh  &gt; Intrfc.Hw.InRaw.Sply5vCrntSnsSgnl&gt; K_McpDiag.CalAddnl.Ok_5V_CURRENT_SENSE_UndrThrsh </t>
  </si>
  <si>
    <t xml:space="preserve">Phase A Current sensor Signal value smaller than Fail Threshold calibration: 
McpDiag.In.VeQADC_I_PhaseAQ1 &lt;  K_McpDiag.PhsACurrSnsrRngLoGrp.UndrThrshMtrn.FltSetThrsh </t>
  </si>
  <si>
    <t xml:space="preserve">K_McpDiag.PhsACurrSnsrRngLoGrp.UndrThrshMtrn.LimFailSec </t>
  </si>
  <si>
    <t>K_McpDiag.PhsACurrSnsrRngLoGrp.UndrThrshMtrn.EnblTyp</t>
  </si>
  <si>
    <t xml:space="preserve">Phase A Current sensor value must be above or equal to the Pass Threshold: In.VeQADC_I_PhaseAQ1 &gt;= K_McpDiag.PhsACurrSnsrRngLoGrp.UndrThrshMtrn.FltHyst </t>
  </si>
  <si>
    <t xml:space="preserve">K_McpDiag.PhsACurrSnsrRngLoGrp.UndrThrshMtrn.LimPassSec </t>
  </si>
  <si>
    <t>0BE992</t>
  </si>
  <si>
    <t>P0BE9-92</t>
  </si>
  <si>
    <t>Drive Motor "A" Phase V Current Sensor - Performance or Incorrect Operation</t>
  </si>
  <si>
    <t>22 - PhsBCurrSnsrOfstRng
Phase current sensor offset is not in range</t>
  </si>
  <si>
    <t>5V Supply Current Sense Signal is between Upper and Lower Threshold:
K_McpDiag.CalAddnl.Ok_5V_CURRENT_SENSE_OvrThrsh  &gt; Intrfc.Hw.InRaw.Sply5vCrntSnsSgnl &gt; K_McpDiag.CalAddnl.Ok_5V_CURRENT_SENSE_UndrThrsh
AND
Inverted Disabled Timer Status is smaller or equal than 0:
McpDiag.DiagAddnl.CurrOfstInvDsblWaitTmr &lt;= 0.0</t>
  </si>
  <si>
    <t>Ib Current Offset is greater than Fail Threshold calibration:
McpDiag.In.IbOfst &gt;  K_McpDiag.PhsBCurrSnsrOfstRng.FltSetThrsh</t>
  </si>
  <si>
    <t>K_McpDiag.PhsBCurrSnsrOfstRng.EnblTyp</t>
  </si>
  <si>
    <t>Ib Current Offset must be below or equal to the Fail Threshold calibration:
McpDiag.In.IbOfst &lt;=  K_McpDiag.PhsBCurrSnsrOfstRng.FltSetThrsh</t>
  </si>
  <si>
    <t>0BE912</t>
  </si>
  <si>
    <t>P0BE9-12</t>
  </si>
  <si>
    <t>Drive Motor "A" Phase V Current Sensor - Circuit Short to Battery</t>
  </si>
  <si>
    <t>24 - PhsBCurrSnsrRngHiGrp
Phase current sensor range High check</t>
  </si>
  <si>
    <t>183 - PhsBCurrSnsrRngHiGrp.OvrThrshMtrn
Phase current sensor higher than threshold</t>
  </si>
  <si>
    <t xml:space="preserve">Phase B Current Signal value greater than Fail Threshold calibration:  
McpDiag.In.VeQADC_I_PhaseBQ1 &gt; K_McpDiag.PhsBCurrSnsrRngHiGrp.OvrThrshMtrn.FltSetThrsh </t>
  </si>
  <si>
    <t xml:space="preserve">K_McpDiag.PhsBCurrSnsrRngHiGrp.OvrThrshMtrn.LimFailSec </t>
  </si>
  <si>
    <t>K_McpDiag.PhsBCurrSnsrRngHiGrp.OvrThrshMtrn.EnblTyp</t>
  </si>
  <si>
    <t xml:space="preserve">Phase B Current must be  below or equal to the Pass Threshold:
In.VeQADC_I_PhaseBQ1 &lt;= K_McpDiag.PhsBCurrSnsrRngHiGrp.OvrThrshMtrn.FltHyst </t>
  </si>
  <si>
    <t xml:space="preserve">K_McpDiag.PhsBCurrSnsrRngHiGrp.OvrThrshMtrn.LimPassSec </t>
  </si>
  <si>
    <t>0BE911</t>
  </si>
  <si>
    <t>P0BE9-11</t>
  </si>
  <si>
    <t>Drive Motor "A" Phase V Current Sensor - Circuit Short to Ground</t>
  </si>
  <si>
    <t>23 - PhsBCurrSnsrRngLoGrp
Phase current sensor range low check</t>
  </si>
  <si>
    <t>181 - PhsBCurrSnsrRngLoGrp.UndrThrshMtrn
Phase current sensor lower than threshold</t>
  </si>
  <si>
    <t xml:space="preserve">5V Supply  Current Sense Signal is between Upper and Lower Threshold:
K_McpDiag.CalAddnl.Ok_5V_CURRENT_SENSE_OvrThrsh  &gt; Intrfc.Hw.InRaw.Sply5vCrntSnsSgnl&gt; K_McpDiag.CalAddnl.Ok_5V_CURRENT_SENSE_UndrThrsh </t>
  </si>
  <si>
    <t xml:space="preserve">Phase B Current Signal value smaller than Fail Threshold calibration: 
McpDiag.In.VeQADC_I_PhaseBQ1 &lt;     K_McpDiag.PhsBCurrSnsrRngLoGrp.UndrThrshMtrn.FltSetThrsh </t>
  </si>
  <si>
    <t xml:space="preserve">K_McpDiag.PhsBCurrSnsrRngLoGrp.UndrThrshMtrn.LimFailSec </t>
  </si>
  <si>
    <t>K_McpDiag.PhsBCurrSnsrRngLoGrp.UndrThrshMtrn.EnblTyp</t>
  </si>
  <si>
    <t xml:space="preserve">Phase A Current value must be above or equal to the Pass Threshold: 
In.VeQADC_I_PhaseBQ1 &gt;= K_McpDiag.PhsBCurrSnsrRngLoGrp.UndrThrshMtrn.FltHyst </t>
  </si>
  <si>
    <t xml:space="preserve">K_McpDiag.PhsBCurrSnsrRngLoGrp.UndrThrshMtrn.LimPassSec </t>
  </si>
  <si>
    <t>0BED92</t>
  </si>
  <si>
    <t>P0BED-92</t>
  </si>
  <si>
    <t>Drive Motor "A" Phase W Current Sensor - Performance or Incorrect Operation</t>
  </si>
  <si>
    <t>25 - PhsCCurrSnsrOfstRng
Phase current sensor offset is not in range</t>
  </si>
  <si>
    <t>5V Supply  Current Sense Signal is between Upper and Lower Threshold:
K_McpDiag.CalAddnl.Ok_5V_CURRENT_SENSE_OvrThrsh  &gt; Intrfc.Hw.InRaw.Sply5vCrntSnsSgnl &gt; K_McpDiag.CalAddnl.Ok_5V_CURRENT_SENSE_UndrThrsh
AND
Inverted Disabled Timer Status is smaller or equal than 0:
McpDiag.DiagAddnl.CurrOfstInvDsblWaitTmr &lt;= 0.0</t>
  </si>
  <si>
    <t>Ic Current Offset is greater than Fail Threshold calibration:
McpDiag.In.IcOfst &gt;  K_McpDiag.PhsCCurrSnsrOfstRng.FltSetThrsh</t>
  </si>
  <si>
    <t>K_McpDiag.PhsCCurrSnsrOfstRng.EnblTyp</t>
  </si>
  <si>
    <t>Ic Current Offset must be below orequal to the Fail Threshold calibration:
McpDiag.In.IcOfst &lt;=  K_McpDiag.PhsCCurrSnsrOfstRng.FltSetThrsh</t>
  </si>
  <si>
    <t>0BED12</t>
  </si>
  <si>
    <t>P0BED-12</t>
  </si>
  <si>
    <t>Drive Motor "A" Phase W Current Sensor - Circuit Short to Battery</t>
  </si>
  <si>
    <t>27 - PhsCCurrSnsrRngHiGrp
Phase current sensor range High check</t>
  </si>
  <si>
    <t>187 - PhsCCurrSnsrRngHiGrp.OvrThrshMtrn
Phase current sensor higher than threshold</t>
  </si>
  <si>
    <t xml:space="preserve">Phase C Current Signal value greater than Fail Threshold calibration:  
McpDiag.In.VeQADC_I_PhaseCQ1 &gt; K_McpDiag.PhsCCurrSnsrRngHiGrp.OvrThrshMtrn.FltSetThrsh </t>
  </si>
  <si>
    <t xml:space="preserve">K_McpDiag.PhsCCurrSnsrRngHiGrp.OvrThrshMtrn.LimFailSec </t>
  </si>
  <si>
    <t>K_McpDiag.PhsCCurrSnsrRngHiGrp.OvrThrshMtrn.EnblTyp</t>
  </si>
  <si>
    <t xml:space="preserve">Phase CQ1 must be below or equal to the Pass Threshold:
In.VeQADC_I_PhaseCQ1 &lt;= K_McpDiag.PhsCCurrSnsrRngHiGrp.OvrThrshMtrn.FltHyst </t>
  </si>
  <si>
    <t xml:space="preserve">K_McpDiag.PhsCCurrSnsrRngHiGrp.OvrThrshMtrn.LimPassSec </t>
  </si>
  <si>
    <t>0BED11</t>
  </si>
  <si>
    <t>P0BED-11</t>
  </si>
  <si>
    <t>Drive Motor "A" Phase W Current Sensor - Circuit Short to Ground</t>
  </si>
  <si>
    <t>26 - PhsCCurrSnsrRngLoGrp
Phase current sensor range low check</t>
  </si>
  <si>
    <t>185 - PhsCCurrSnsrRngLoGrp.UndrThrshMtrn
Phase current sensor lower than threshold</t>
  </si>
  <si>
    <t xml:space="preserve">Phase C Current Signal value smaller than Fail Threshold calibration: 
In.VeQADC_I_PhaseCQ1 &lt; K_McpDiag.PhsCCurrSnsrRngLoGrp.UndrThrshMtrn.FltSetThrsh </t>
  </si>
  <si>
    <t xml:space="preserve">K_McpDiag.PhsCCurrSnsrRngLoGrp.UndrThrshMtrn.LimFailSec </t>
  </si>
  <si>
    <t>K_McpDiag.PhsCCurrSnsrRngLoGrp.UndrThrshMtrn.EnblTyp</t>
  </si>
  <si>
    <t xml:space="preserve">Phase CQ1 value must be above or equal to the Pass Threshold:
In.VeQADC_I_PhaseCQ1 &gt;= K_McpDiag.PhsCCurrSnsrRngLoGrp.UndrThrshMtrn.FltHyst </t>
  </si>
  <si>
    <t xml:space="preserve">K_McpDiag.PhsCCurrSnsrRngLoGrp.UndrThrshMtrn.LimPassSec </t>
  </si>
  <si>
    <t>0BFF19</t>
  </si>
  <si>
    <t>P0BFF-19</t>
  </si>
  <si>
    <t>Drive Motor "A" Current - Overcurrent</t>
  </si>
  <si>
    <t>30 - PhsOvrCurrGrp
Phase overcurrent check</t>
  </si>
  <si>
    <t>One or more wings damaged (less or more resistance) 
Wiring from eMotor to PIM Assembly
PIM Assembly faulty
EDM Assembly faulty</t>
  </si>
  <si>
    <t>Resisitance test PIM Assembly
Check PIM Assembly for damaged connectors or not proper connection (wiring from eMotor to PIM Assembly)  and repair/replace it if needed
Replace PIM Assembly. If fault is still present, replace EDM Assembly</t>
  </si>
  <si>
    <t>162 - PhsOvrCurrGrp.HwFstRtry
Overcurrent flag from HW set for one of the phases High or Low side</t>
  </si>
  <si>
    <t xml:space="preserve">5V Supply Current Sense Signal is between Upper and Lower Threshold:
K_McpDiag.CalAddnl.Ok_5V_CURRENT_SENSE_OvrThrsh&gt; Intrfc.Hw.InRaw.In.Sply5vCrntSnsSgnl&gt; K_McpDiag.CalAddnl.Ok_5V_CURRENT_SENSE_UndrThrsh
AND 
The enable criteria McpDiag.EntryCrit.Ok_SplyInitDly is fulfilled
if these AND conditions are satisfied:
1) Initial Speed Sensor Configuration Status must be true
McpDiag.In.InitSpeedSenseConfig_status = 1
2)both variables are NOT disabled:
- IntrfcT1.In.bMntrUntDsbl=0
- IntrfcT1.In.bCore0Dsbl=0
3) Supply Initial Delay Time value greater than calibration value
McpDiag.DiagAddnl.SplyInitDlyTm_Sec &gt;=  K_McpDiag.CalAddnl.SplyInitDlyMax_Sec
</t>
  </si>
  <si>
    <t xml:space="preserve">
Fault Flag from Low-level Driver
RTE bit read (BIT 2)(third Bit)  from
IntrfcT1.In.Inv_Status_1  is one
Happens when there is an over current fault detecetd by control board hadware
In the application layer to trigger the fault we can use below override:
K_McpIntrfc.Ovrrd.In.Inv_Status_1.Sgnl =4
K_McpIntrfc.Ovrrd.In.Inv_Status_1.SgnlEnbl = 1</t>
  </si>
  <si>
    <t>IF McpDiag.PhsOvrCurrGrp.HwFstRtry.FstRtryEnbl = 1
Quick Fail Count is above Quick Fault Set Threshold:
McpDiag.PhsOvrCurrGrp.HwFstRtry.QckFail_Cnt &gt; 
K_McpDiag.PhsOvrCurrGrp.HwFstRtry.QckFltSetThrsh
OR
Overall Fail Count is above Overall Fault Set Threshold:
McpDiag.PhsOvrCurrGrp.HwFstRtry.OvrllFail_Cnt &gt; 
K_McpDiag.PhsOvrCurrGrp.HwFstRtry.OvrllFltSetThrsh
OR
Consecutive Fail Timer is above Fault Set Threshold:
McpDiag.PhsOvrCurrGrp.HwFstRtry.ConsecutTm_Sec &gt; K_McpDiag.PhsOvrCurrGrp.HwFstRtry.ConsecutFltSetThrsh
ELSE McpDiag.PhsOvrCurrGrp.HwFstRtry.FstRtryEnbll = 0
No Mature Time (=NA)</t>
  </si>
  <si>
    <t>K_McpDiag.PhsOvrCurrGrp.HwFstRtry.EnblTyp</t>
  </si>
  <si>
    <t xml:space="preserve">
Fault Flag from Low-level Driver
RTE bit read (BIT 2)  from
IntrfcT1.In.Inv_Status_1 = 0
</t>
  </si>
  <si>
    <t>557 - PhsOvrCurrGrp.PhsANoThrshNoMtrnHW
Phase over current for phase A detected by HW driver</t>
  </si>
  <si>
    <t xml:space="preserve">5V Supply Voltage is between Upper and Lower Threshold:
K_McpDiag.CalAddnl.Ok_5V_OvrThrsh &gt; Intrfc.Hw.InRaw.Sply5vSgnl &gt; K_McpDiag.CalAddnl.Ok_5V_UndrThrsh
</t>
  </si>
  <si>
    <t>Fault Flag from Low-level Driver
RTE bit read (BIT 3)(Fourth bit)  from
IntrfcT1.In.Inv_Status_1  is one
Happens when there is an over current fault detecetd by control board hadware
In the application layer to trigger the fault we can use below override:
K_McpIntrfc.Ovrrd.In.Inv_Status_1.Sgnl =8
K_McpIntrfc.Ovrrd.In.Inv_Status_1.SgnlEnbl = 1</t>
  </si>
  <si>
    <t>K_McpDiag.PhsOvrCurrGrp.PhsANoThrshNoMtrnHW.EnblTyp</t>
  </si>
  <si>
    <t>Fault Flag from Low-level Driver
RTE bit read (BIT 3)  from
IntrfcT1.In.Inv_Status_1 = 0</t>
  </si>
  <si>
    <t>558 - PhsOvrCurrGrp.PhsBNoThrshNoMtrnHW
Phase over current for phase B detected by HW driver</t>
  </si>
  <si>
    <t>Fault Flag from Low-level Driver
RTE bit read (BIT 4)(Fifth Bit)  from
IntrfcT1.In.Inv_Status_1  is one
Happens when there is an over current fault detecetd by control board hadware
In the application layer to trigger the fault we can use below override:
K_McpIntrfc.Ovrrd.In.Inv_Status_1.Sgnl =16
K_McpIntrfc.Ovrrd.In.Inv_Status_1.SgnlEnbl = 1</t>
  </si>
  <si>
    <t>K_McpDiag.PhsOvrCurrGrp.PhsBNoThrshNoMtrnHW.EnblTyp</t>
  </si>
  <si>
    <t>Fault Flag from Low-level Driver
RTE bit read (BIT 4)  from
IntrfcT1.In.Inv_Status_1 = 0</t>
  </si>
  <si>
    <t>559 - PhsOvrCurrGrp.PhsCNoThrshNoMtrnHW
Phase over current for phase C detected by HW driver</t>
  </si>
  <si>
    <t>Fault Flag from Low-level Driver
RTE bit read (BIT 5)(6th bit)  from
IntrfcT1.In.Inv_Status_1 = 1
Happens when there is an over current fault detecetd by control board hadware
In the application layer to trigger the fault we can use below override:
K_McpIntrfc.Ovrrd.In.Inv_Status_1.Sgnl =32
K_McpIntrfc.Ovrrd.In.Inv_Status_1.SgnlEnbl = 1</t>
  </si>
  <si>
    <t>K_McpDiag.PhsOvrCurrGrp.PhsCNoThrshNoMtrnHW.EnblTyp</t>
  </si>
  <si>
    <t>Fault Flag from Low-level Driver
RTE bit read (BIT 5)  from
IntrfcT1.In.Inv_Status_1 = 0</t>
  </si>
  <si>
    <t>113 - PhsOvrCurrGrp.Sw
The absolute maximum SW phase current is higher than a thrshold</t>
  </si>
  <si>
    <t>Diag T0 Gate Driver Param Download Completed must be true:
DiagT0.In.Ok_GateDrvParamDwnldCmplt = 1
The condition DiagT0.In.Ok_GateDrvParamDwnldCmplt makes sure the the Gate Drive Circuit (GDIC) is programmed before running the diagnostics</t>
  </si>
  <si>
    <t>Phs Current Absolute Max must be greater than Fail Threshold Calibration:
Proc_PhsCurrT0.PhsCurrAbsMax &gt; K_Mcp_DiagT0.PhsOvrCurrGrp_Sw.FltSetThrsh
This is a software detection of over current fault</t>
  </si>
  <si>
    <t>K_Mcp_DiagT0.PhsOvrCurrGrp_Sw.LimFailSec</t>
  </si>
  <si>
    <t>K_Mcp_DiagT0.PhsOvrCurrGrp_Sw.EnblTyp</t>
  </si>
  <si>
    <t>No De maturation- latched</t>
  </si>
  <si>
    <t>0AED12</t>
  </si>
  <si>
    <t>P0AED-12</t>
  </si>
  <si>
    <t>Drive Motor Inverter Temperature Sensor 1 - Circuit Short to Battery</t>
  </si>
  <si>
    <t>12 - PimATempSnsrRngHiGrp
PIM temperature sensor range Hi group</t>
  </si>
  <si>
    <t>529 - PimATempSnsrRngHiGrp.GDIC_HS_U_Temp1
phase temperature sensor higher than threshold</t>
  </si>
  <si>
    <t>5V Supply GDIC Top Signal is between Upper and Lower Threshold:
K_McpDiag.CalAddnl.Ok_5V_GDIC_TOP_AI_OvrThrsh &gt; Intrfc.Hw.InRaw.Sply5vGDICTopSgnll &gt; K_McpDiag.CalAddnl.Ok_5V_GDIC_TOP_AI_UndrThrsh
AND
5V Supply GDIC Bottom Signal is between Upper and Lower Threshold:
K_McpDiag.CalAddnl.Ok_5V_GDIC_BOT_AI_OvrThrsh &gt; Intrfc.Hw.InRaw.Sply5vGDICBotSgnl &gt; K_McpDiag.CalAddnl.Ok_5V_GDIC_BOT_AI_UndrThrsh</t>
  </si>
  <si>
    <t xml:space="preserve">Slow CDD GDIC HS U temperature 1 sensor value greater than Fail Threshold calibration: 
SlowCDD.Inv_Data_Slow.GDIC_HS_U_Temperature1 &gt; K_McpDiag.PimATempSnsrRngHiGrp.GDIC_HS_U_Temp1.FltSetThrsh </t>
  </si>
  <si>
    <t xml:space="preserve">K_McpDiag.PimATempSnsrRngHiGrp.GDIC_HS_U_Temp1.LimFailSec </t>
  </si>
  <si>
    <t>K_McpDiag.PimATempSnsrRngHiGrp.GDIC_HS_U_Temp1.EnblTyp</t>
  </si>
  <si>
    <t xml:space="preserve">Slow CDD GDIC HS U temperature 1 sensor must be below or equal to the Pass Threshold:
SlowCDD.Inv_Data_Slow.GDIC_HS_U_Temperature1 &lt;= K_McpDiag.PimATempSnsrRngHiGrp.GDIC_HS_U_Temp1.FltHyst </t>
  </si>
  <si>
    <t xml:space="preserve">K_McpDiag.PimATempSnsrRngHiGrp.GDIC_HS_U_Temp1.LimPassSec </t>
  </si>
  <si>
    <t>535 - PimATempSnsrRngHiGrp.GDIC_HS_U_Temp2
phase temperature sensor higher than threshold</t>
  </si>
  <si>
    <t xml:space="preserve">Slow CDD GDIC HS U temperature 2 sensor value greater than Fail Threshold calibration:
SlowCDD.Inv_Data_Slow.GDIC_HS_U_Temperature2 &gt; K_McpDiag.PimATempSnsrRngHiGrp.GDIC_HS_U_Temp2.FltSetThrsh </t>
  </si>
  <si>
    <t xml:space="preserve">K_McpDiag.PimATempSnsrRngHiGrp.GDIC_HS_U_Temp2.LimFailSec </t>
  </si>
  <si>
    <t>K_McpDiag.PimATempSnsrRngHiGrp.GDIC_HS_U_Temp2.EnblTyp</t>
  </si>
  <si>
    <t xml:space="preserve">Slow CDD GDIC HS U temperature 2 sensor must be below or equal to the Pass Threshold:
SlowCDD.Inv_Data_Slow.GDIC_HS_U_Temperature2 &lt;= K_McpDiag.PimATempSnsrRngHiGrp.GDIC_HS_U_Temp2.FltHyst </t>
  </si>
  <si>
    <t xml:space="preserve">K_McpDiag.PimATempSnsrRngHiGrp.GDIC_HS_U_Temp2.LimPassSec </t>
  </si>
  <si>
    <t>530 - PimATempSnsrRngHiGrp.GDIC_LS_U_Temp1
phase temperature sensor higher than threshold</t>
  </si>
  <si>
    <t xml:space="preserve">Slow CDD GDIC LS U temperature 1 sensor value greater than Fail Threshold calibration:
SlowCDD.Inv_Data_Slow.GDIC_LS_U_Temperature1 &gt; K_McpDiag.PimATempSnsrRngHiGrp.GDIC_LS_U_Temp1.FltSetThrsh </t>
  </si>
  <si>
    <t xml:space="preserve">K_McpDiag.PimATempSnsrRngHiGrp.GDIC_LS_U_Temp1.LimFailSec </t>
  </si>
  <si>
    <t>K_McpDiag.PimATempSnsrRngHiGrp.GDIC_LS_U_Temp1.EnblTyp</t>
  </si>
  <si>
    <t xml:space="preserve">Slow CDD GDIC LS U temperature 1 sensor must be below or equal to the Pass Threshold:  SlowCDD.Inv_Data_Slow.GDIC_LS_U_Temperature1 &lt;= K_McpDiag.PimATempSnsrRngHiGrp.GDIC_LS_U_Temp1.FltHyst </t>
  </si>
  <si>
    <t xml:space="preserve">K_McpDiag.PimATempSnsrRngHiGrp.GDIC_LS_U_Temp1.LimPassSec </t>
  </si>
  <si>
    <t>536 - PimATempSnsrRngHiGrp.GDIC_LS_U_Temp2
phase temperature sensor higher than threshold</t>
  </si>
  <si>
    <t xml:space="preserve">Slow CDD GDIC LS U temperature 2 sensor value greater than Fail Threshold calibration:
SlowCDD.Inv_Data_Slow.GDIC_LS_U_Temperature2 &gt; K_McpDiag.PimATempSnsrRngHiGrp.GDIC_LS_U_Temp2.FltSetThrsh </t>
  </si>
  <si>
    <t xml:space="preserve">K_McpDiag.PimATempSnsrRngHiGrp.GDIC_LS_U_Temp2.LimFailSec </t>
  </si>
  <si>
    <t>K_McpDiag.PimATempSnsrRngHiGrp.GDIC_LS_U_Temp2.EnblTyp</t>
  </si>
  <si>
    <t xml:space="preserve">Slow CDD GDIC LS U temperature 2 sensor must be below or equal to the Pass Threshold: SlowCDD.Inv_Data_Slow.GDIC_LS_U_Temperature2 &lt;= K_McpDiag.PimATempSnsrRngHiGrp.GDIC_LS_U_Temp2.FltHyst </t>
  </si>
  <si>
    <t xml:space="preserve">K_McpDiag.PimATempSnsrRngHiGrp.GDIC_LS_U_Temp2.LimPassSec </t>
  </si>
  <si>
    <t>0AED11</t>
  </si>
  <si>
    <t>P0AED-11</t>
  </si>
  <si>
    <t>Drive Motor Inverter Temperature Sensor 1 - Circuit Short to Ground</t>
  </si>
  <si>
    <t>11 - PimATempSnsrRngLoGrp
PIM temperature sensor range Lo group</t>
  </si>
  <si>
    <t>541 - PimATempSnsrRngLoGrp.GDIC_HS_U_Temp1
phase temperature sensor Lower than threshold</t>
  </si>
  <si>
    <t>5V Supply GDIC Top Signal is between Upper and Lower Threshold:
K_McpDiag.CalAddnl.Ok_5V_GDIC_TOP_AI_OvrThrsh &gt; Intrfc.Hw.InRaw.Sply5vGDICTopSgnl &gt; K_McpDiag.CalAddnl.Ok_5V_GDIC_TOP_AI_UndrThrsh
AND
5V Supply GDIC Bottom Signal is between Upper and Lower Threshold:
K_McpDiag.CalAddnl.Ok_5V_GDIC_BOT_AI_OvrThrsh &gt; Intrfc.Hw.InRaw.Sply5vGDICBotSgnl &gt; K_McpDiag.CalAddnl.Ok_5V_GDIC_BOT_AI_UndrThrsh</t>
  </si>
  <si>
    <t xml:space="preserve">Slow CDD GDIC HS U temperature 1 sensor value smaller than Fail Threshold calibration: 
SlowCDD.Inv_Data_Slow.GDIC_HS_U_Temperature1 &lt; K_McpDiag.PimATempSnsrRngLoGrp.GDIC_HS_U_Temp2.FltSetThrsh </t>
  </si>
  <si>
    <t xml:space="preserve">K_McpDiag.PimATempSnsrRngLoGrp.GDIC_HS_U_Temp1.LimFailSec </t>
  </si>
  <si>
    <t>K_McpDiag.PimATempSnsrRngLoGrp.GDIC_HS_U_Temp1.EnblTyp</t>
  </si>
  <si>
    <t xml:space="preserve">Slow CDD GDIC HS U temperature 1 sensor value must be above or equal to the Pass Threshold: SlowCDD.Inv_Data_Slow.GDIC_HS_U_Temperature1 &gt;= K_McpDiag.PimATempSnsrRngLoGrp.GDIC_HS_U_Temp2.FltHyst </t>
  </si>
  <si>
    <t xml:space="preserve">K_McpDiag.PimATempSnsrRngLoGrp.GDIC_HS_U_Temp1.LimPassSec </t>
  </si>
  <si>
    <t>547 - PimATempSnsrRngLoGrp.GDIC_HS_U_Temp2
phase temperature sensor Lower than threshold</t>
  </si>
  <si>
    <t xml:space="preserve">Slow CDD GDIC HS U temperature 2 sensor value smaller than  Fail Threshold calibration:
SlowCDD.Inv_Data_Slow.GDIC_HS_U_Temperature2 &lt; K_McpDiag.PimATempSnsrRngLoGrp.GDIC_HS_U_Temp2.FltSetThrsh </t>
  </si>
  <si>
    <t xml:space="preserve">K_McpDiag.PimATempSnsrRngLoGrp.GDIC_HS_U_Temp2.LimFailSec </t>
  </si>
  <si>
    <t>K_McpDiag.PimATempSnsrRngLoGrp.GDIC_HS_U_Temp2.EnblTyp</t>
  </si>
  <si>
    <t xml:space="preserve">Slow CDD GDIC HS U temperature 2 sensor value must be above or equal to the Pass Threshold: SlowCDD.Inv_Data_Slow.GDIC_HS_U_Temperature2 &gt;= K_McpDiag.PimATempSnsrRngLoGrp.GDIC_HS_U_Temp2.FltHyst </t>
  </si>
  <si>
    <t xml:space="preserve">K_McpDiag.PimATempSnsrRngLoGrp.GDIC_HS_U_Temp2.LimPassSec </t>
  </si>
  <si>
    <t>542 - PimATempSnsrRngLoGrp.GDIC_LS_U_Temp1
phase temperature sensor Lower than threshold</t>
  </si>
  <si>
    <t xml:space="preserve">Slow CDD GDIC LS U temperature 1 sensor value smaller than Fail Threshold calibration:  
SlowCDD.Inv_Data_Slow.GDIC_LS_U_Temperature1 &lt; K_McpDiag.PimATempSnsrRngLoGrp.GDIC_LS_U_Temp1.FltSetThrsh </t>
  </si>
  <si>
    <t xml:space="preserve">K_McpDiag.PimATempSnsrRngLoGrp.GDIC_LS_U_Temp1.LimFailSec </t>
  </si>
  <si>
    <t>K_McpDiag.PimATempSnsrRngLoGrp.GDIC_LS_U_Temp1.EnblTyp</t>
  </si>
  <si>
    <t xml:space="preserve">Slow CDD GDIC LS U temperature 1 sensor value must be above or equal to the Pass Threshold: SlowCDD.Inv_Data_Slow.GDIC_LS_U_Temperature1 &gt;= K_McpDiag.PimATempSnsrRngLoGrp.GDIC_LS_U_Temp1.FltHyst </t>
  </si>
  <si>
    <t xml:space="preserve">K_McpDiag.PimATempSnsrRngLoGrp.GDIC_LS_U_Temp1.LimPassSec </t>
  </si>
  <si>
    <t>548 - PimATempSnsrRngLoGrp.GDIC_LS_U_Temp2
phase temperature sensor Lower than threshold</t>
  </si>
  <si>
    <t xml:space="preserve">Slow CDD GDIC LS U temperature 2 sensor value smaller than Fail Threshold calibration:
SlowCDD.Inv_Data_Slow.GDIC_LS_U_Temperature2 &lt; K_McpDiag.PimATempSnsrRngLoGrp.GDIC_LS_U_Temp2.FltSetThrsh </t>
  </si>
  <si>
    <t xml:space="preserve">K_McpDiag.PimATempSnsrRngLoGrp.GDIC_LS_U_Temp2.LimFailSec </t>
  </si>
  <si>
    <t>K_McpDiag.PimATempSnsrRngLoGrp.GDIC_LS_U_Temp2.EnblTyp</t>
  </si>
  <si>
    <t xml:space="preserve">Slow CDD GDIC LS U temperature 2 sensor value must be above or equal to the Pass Threshold: SlowCDD.Inv_Data_Slow.GDIC_LS_U_Temperature2 &gt;= K_McpDiag.PimATempSnsrRngLoGrp.GDIC_LS_U_Temp2.FltHyst </t>
  </si>
  <si>
    <t xml:space="preserve">K_McpDiag.PimATempSnsrRngLoGrp.GDIC_LS_U_Temp2.LimPassSec </t>
  </si>
  <si>
    <t>0AF212</t>
  </si>
  <si>
    <t>P0AF2-12</t>
  </si>
  <si>
    <t>Drive Motor Inverter Temperature Sensor 2 - Circuit Short to Battery</t>
  </si>
  <si>
    <t>15 - PimBTempSnsrRngHiGrp
PIM temperature sensor range Hi group</t>
  </si>
  <si>
    <t>531 - PimBTempSnsrRngHiGrp.GDIC_HS_V_Temp1
phase temperature sensor higher than threshold</t>
  </si>
  <si>
    <t xml:space="preserve">Slow CDD GDIC HS V temperature 1 sensor value greater than Fail Threshold calibration:
SlowCDD.Inv_Data_Slow.GDIC_HS_V_Temperature1 &gt; PimBTempSnsrRngHiGrp.GDIC_HS_V_Temp1.FltSetThrsh </t>
  </si>
  <si>
    <t xml:space="preserve">K_McpDiag.PimBTempSnsrRngHiGrp.GDIC_HS_V_Temp1.LimFailSec </t>
  </si>
  <si>
    <t>K_McpDiag.PimBTempSnsrRngHiGrp.GDIC_HS_V_Temp1.EnblTyp</t>
  </si>
  <si>
    <t xml:space="preserve">Slow CDD GDIC HS V temperature 1 sensor must be below or equal to the Pass Threshold: 
SlowCDD.Inv_Data_Slow.GDIC_HS_V_Temperature1 &lt;= PimBTempSnsrRngHiGrp.GDIC_HS_V_Temp1.FltHyst </t>
  </si>
  <si>
    <t xml:space="preserve">K_McpDiag.PimBTempSnsrRngHiGrp.GDIC_HS_V_Temp1.LimPassSec </t>
  </si>
  <si>
    <t>537 - PimBTempSnsrRngHiGrp.GDIC_HS_V_Temp2
phase temperature sensor higher than threshold</t>
  </si>
  <si>
    <t xml:space="preserve">Slow CDD GDIC HS V temperature 2 sensor value greater than Fail Threshold calibration: 
SlowCDD.Inv_Data_Slow.GDIC_HS_V_Temperature2 &gt; PimBTempSnsrRngHiGrp.GDIC_HS_V_Temp2.FltSetThrsh </t>
  </si>
  <si>
    <t xml:space="preserve">K_McpDiag.PimBTempSnsrRngHiGrp.GDIC_HS_V_Temp2.LimFailSec </t>
  </si>
  <si>
    <t>K_McpDiag.PimBTempSnsrRngHiGrp.GDIC_HS_V_Temp2.EnblTyp</t>
  </si>
  <si>
    <t xml:space="preserve">Slow CDD GDIC HS V temperature 2 sensor must be below or equal to the Pass Threshold: 
SlowCDD.Inv_Data_Slow.GDIC_HS_V_Temperature2 &lt;= PimBTempSnsrRngHiGrp.GDIC_HS_V_Temp2.FltHyst </t>
  </si>
  <si>
    <t xml:space="preserve">K_McpDiag.PimBTempSnsrRngHiGrp.GDIC_HS_V_Temp2.LimPassSec </t>
  </si>
  <si>
    <t>532 - PimBTempSnsrRngHiGrp.GDIC_LS_V_Temp1
phase temperature sensor higher than threshold</t>
  </si>
  <si>
    <t xml:space="preserve">Slow CDD GDIC LS V temperature 1 sensor value greater than Fail Threshold calibration: 
SlowCDD.Inv_Data_Slow.GDIC_LS_V_Temperature1 &gt; PimBTempSnsrRngHiGrp.GDIC_LS_V_Temp1.FltSetThrsh </t>
  </si>
  <si>
    <t xml:space="preserve">K_McpDiag.PimBTempSnsrRngHiGrp.GDIC_LS_V_Temp1.LimFailSec </t>
  </si>
  <si>
    <t>K_McpDiag.PimBTempSnsrRngHiGrp.GDIC_LS_V_Temp1.EnblTyp</t>
  </si>
  <si>
    <t xml:space="preserve">Slow CDD GDIC LS V temperature 1 sensor must be below or equal to the Pass Threshold: 
SlowCDD.Inv_Data_Slow.GDIC_LS_V_Temperature1 &lt;= PimBTempSnsrRngHiGrp.GDIC_LS_V_Temp1.FltHyst </t>
  </si>
  <si>
    <t xml:space="preserve">K_McpDiag.PimBTempSnsrRngHiGrp.GDIC_LS_V_Temp1.LimPassSec </t>
  </si>
  <si>
    <t>538 - PimBTempSnsrRngHiGrp.GDIC_LS_V_Temp2
phase temperature sensor higher than threshold</t>
  </si>
  <si>
    <t xml:space="preserve">Slow CDD GDIC LS V temperature 2 sensor value greater than Fail Threshold calibration: 
SlowCDD.Inv_Data_Slow.GDIC_LS_V_Temperature2 &gt; PimBTempSnsrRngHiGrp.GDIC_LS_V_Temp2.FltSetThrsh </t>
  </si>
  <si>
    <t xml:space="preserve">K_McpDiag.PimBTempSnsrRngHiGrp.GDIC_LS_V_Temp2.LimFailSec </t>
  </si>
  <si>
    <t>K_McpDiag.PimBTempSnsrRngHiGrp.GDIC_LS_V_Temp2.EnblTyp</t>
  </si>
  <si>
    <t xml:space="preserve">Slow CDD GDIC LS V temperature 2 sensor must be below or equal to the Pass Threshold: 
SlowCDD.Inv_Data_Slow.GDIC_LS_V_Temperature2 &lt;= PimBTempSnsrRngHiGrp.GDIC_LS_V_Temp2.FltHyst </t>
  </si>
  <si>
    <t xml:space="preserve">K_McpDiag.PimBTempSnsrRngHiGrp.GDIC_LS_V_Temp2.LimPassSec </t>
  </si>
  <si>
    <t>0AF211</t>
  </si>
  <si>
    <t>P0AF2-11</t>
  </si>
  <si>
    <t>Drive Motor Inverter Temperature Sensor 2 - Circuit Short to Ground</t>
  </si>
  <si>
    <t>14 - PimBTempSnsrRngLoGrp
PIM temperature sensor range Lo group</t>
  </si>
  <si>
    <t>543 - PimBTempSnsrRngLoGrp.GDIC_HS_V_Temp1
phase temperature sensor Lower than threshold</t>
  </si>
  <si>
    <t xml:space="preserve">Slow CDD GDIC HS V temperature 1 sensor value smaller than Fail Threshold calibration:
SlowCDD.Inv_Data_Slow.GDIC_HS_V_Temperature1 &lt; K_McpDiag.PimBTempSnsrRngLoGrp.GDIC_HS_V_Temp1.FltSetThrsh </t>
  </si>
  <si>
    <t xml:space="preserve">K_McpDiag.PimBTempSnsrRngLoGrp.GDIC_HS_V_Temp1.LimFailSec </t>
  </si>
  <si>
    <t>K_McpDiag.PimBTempSnsrRngLoGrp.GDIC_HS_V_Temp1.EnblTyp</t>
  </si>
  <si>
    <t xml:space="preserve">Slow CDD GDIC HS V temperature 1 sensor value must be above or equal to the Pass Threshold: 
SlowCDD.Inv_Data_Slow.GDIC_HS_V_Temperature1 &gt;= K_McpDiag.PimBTempSnsrRngLoGrp.GDIC_HS_V_Temp1.FltHyst </t>
  </si>
  <si>
    <t xml:space="preserve">K_McpDiag.PimBTempSnsrRngLoGrp.GDIC_HS_V_Temp1.LimPassSec </t>
  </si>
  <si>
    <t>549 - PimBTempSnsrRngLoGrp.GDIC_HS_V_Temp2
phase temperature sensor Lower than threshold</t>
  </si>
  <si>
    <t xml:space="preserve">Slow CDD GDIC HS V temperature 2 sensor value smaller than Fail Threshold calibration:
SlowCDD.Inv_Data_Slow.GDIC_HS_V_Temperature2 &lt; K_McpDiag.PimBTempSnsrRngLoGrp.GDIC_HS_V_Temp2.FltSetThrsh </t>
  </si>
  <si>
    <t xml:space="preserve">K_McpDiag.PimBTempSnsrRngLoGrp.GDIC_HS_V_Temp2.LimFailSec </t>
  </si>
  <si>
    <t>K_McpDiag.PimBTempSnsrRngLoGrp.GDIC_HS_V_Temp2.EnblTyp</t>
  </si>
  <si>
    <t xml:space="preserve">Slow CDD GDIC HS V temperature 2 sensor value must be above or equal to the Pass Threshold: 
SlowCDD.Inv_Data_Slow.GDIC_HS_V_Temperature2 &gt;= K_McpDiag.PimBTempSnsrRngLoGrp.GDIC_HS_V_Temp2.FltHyst </t>
  </si>
  <si>
    <t xml:space="preserve">K_McpDiag.PimBTempSnsrRngLoGrp.GDIC_HS_V_Temp2.LimPassSec </t>
  </si>
  <si>
    <t>544 - PimBTempSnsrRngLoGrp.GDIC_LS_V_Temp1
phase temperature sensor Lower than threshold</t>
  </si>
  <si>
    <t xml:space="preserve">Slow CDD GDIC LS V temperature 1 sensor value smaller than Fail Threshold calibration:
SlowCDD.Inv_Data_Slow.GDIC_LS_V_Temperature1 &lt; K_McpDiag.PimBTempSnsrRngLoGrp.GDIC_LS_V_Temp1.FltSetThrsh </t>
  </si>
  <si>
    <t xml:space="preserve">K_McpDiag.PimBTempSnsrRngLoGrp.GDIC_LS_V_Temp1.LimFailSec </t>
  </si>
  <si>
    <t>K_McpDiag.PimBTempSnsrRngLoGrp.GDIC_LS_V_Temp1.EnblTyp</t>
  </si>
  <si>
    <t xml:space="preserve">Slow CDD GDIC LS V temperature 1 sensor value must be above or equal to the Pass Threshold: 
SlowCDD.Inv_Data_Slow.GDIC_LS_V_Temperature1 &gt;= K_McpDiag.PimBTempSnsrRngLoGrp.GDIC_LS_V_Temp1.FltHyst </t>
  </si>
  <si>
    <t xml:space="preserve">K_McpDiag.PimBTempSnsrRngLoGrp.GDIC_LS_V_Temp1.LimPassSec </t>
  </si>
  <si>
    <t>550 - PimBTempSnsrRngLoGrp.GDIC_LS_V_Temp2
phase temperature sensor Lower than threshold</t>
  </si>
  <si>
    <t xml:space="preserve">Slow CDD GDIC LS V temperature 2 value smaller than Fail Threshold calibration:
SlowCDD.Inv_Data_Slow.GDIC_LS_V_Temperature2 &lt; K_McpDiag.PimBTempSnsrRngLoGrp.GDIC_LS_V_Temp2.FltSetThrsh </t>
  </si>
  <si>
    <t xml:space="preserve">K_McpDiag.PimBTempSnsrRngLoGrp.GDIC_LS_V_Temp2.LimFailSec </t>
  </si>
  <si>
    <t>K_McpDiag.PimBTempSnsrRngLoGrp.GDIC_LS_V_Temp2.EnblTyp</t>
  </si>
  <si>
    <t xml:space="preserve">Slow CDD GDIC LS V temperature 2 sensor value must be above or equal to the Pass Threshold: 
SlowCDD.Inv_Data_Slow.GDIC_LS_V_Temperature2 &gt;= K_McpDiag.PimBTempSnsrRngLoGrp.GDIC_LS_V_Temp2.FltHyst </t>
  </si>
  <si>
    <t xml:space="preserve">K_McpDiag.PimBTempSnsrRngLoGrp.GDIC_LS_V_Temp2.LimPassSec </t>
  </si>
  <si>
    <t>0BD112</t>
  </si>
  <si>
    <t>P0BD1-12</t>
  </si>
  <si>
    <t>Drive Motor Inverter Temperature Sensor 3 - Circuit Short to Battery</t>
  </si>
  <si>
    <t>18 - PimCTempSnsrRngHiGrp
PIM temperature sensor range Hi group</t>
  </si>
  <si>
    <t>533 - PimCTempSnsrRngHiGrp.GDIC_HS_W_Temp1
phase temperature sensor higher than threshold</t>
  </si>
  <si>
    <t xml:space="preserve">Slow CDD GDIC HS W temperature 1 sensor value greater than Fail Threshold calibration: 
SlowCDD.Inv_Data_Slow.GDIC_HS_W_Temperature1 &gt; K_McpDiag.PimCTempSnsrRngHiGrp.GDIC_HS_W_Temp1.FltSetThrsh </t>
  </si>
  <si>
    <t xml:space="preserve">K_McpDiag.PimCTempSnsrRngHiGrp.GDIC_HS_W_Temp1.LimFailSec </t>
  </si>
  <si>
    <t>K_McpDiag.PimCTempSnsrRngHiGrp.GDIC_HS_W_Temp1.EnblTyp</t>
  </si>
  <si>
    <t xml:space="preserve">Slow CDD GDIC HS W temperature 1 sensor must be below or equal to the Pass Threshold: 
SlowCDD.Inv_Data_Slow.GDIC_HS_W_Temperature1 &lt;= K_McpDiag.PimCTempSnsrRngHiGrp.GDIC_HS_W_Temp1.FltHyst </t>
  </si>
  <si>
    <t xml:space="preserve">K_McpDiag.PimCTempSnsrRngHiGrp.GDIC_HS_W_Temp1.LimPassSec </t>
  </si>
  <si>
    <t>539 - PimCTempSnsrRngHiGrp.GDIC_HS_W_Temp2
phase temperature sensor higher than threshold</t>
  </si>
  <si>
    <t>Slow CDD GDIC HS W temperature 2 sensor value greater than Fail Threshold calibration: 
SlowCDD.Inv_Data_Slow.GDIC_HS_W_Temperature2 &gt; K_McpDiag.PimCTempSnsrRngHiGrp.GDIC_HS_W_Temp2.FltSetThrsh</t>
  </si>
  <si>
    <t>K_McpDiag.PimCTempSnsrRngHiGrp.GDIC_HS_W_Temp2.LimFailSec</t>
  </si>
  <si>
    <t>K_McpDiag.PimCTempSnsrRngHiGrp.GDIC_HS_W_Temp2.EnblTyp</t>
  </si>
  <si>
    <t>Slow CDD GDIC HS W temperature 2 sensor must be below or equal to the Pass Threshold: 
SlowCDD.Inv_Data_Slow.GDIC_HS_W_Temperature2 &lt;= K_McpDiag.PimCTempSnsrRngHiGrp.GDIC_HS_W_Temp2.FltHyst</t>
  </si>
  <si>
    <t>K_McpDiag.PimCTempSnsrRngHiGrp.GDIC_HS_W_Temp2.LimPassSec</t>
  </si>
  <si>
    <t>534 - PimCTempSnsrRngHiGrp.GDIC_LS_W_Temp1
phase temperature sensor higher than threshold</t>
  </si>
  <si>
    <t>Slow CDD GDIC LS W temperature 1 sensor value greater than Fail Threshold calibration:
SlowCDD.Inv_Data_Slow.GDIC_LS_W_Temperature1 &gt; K_McpDiag.PimCTempSnsrRngHiGrp.GDIC_LS_W_Temp1.FltSetThrsh</t>
  </si>
  <si>
    <t>K_McpDiag.PimCTempSnsrRngHiGrp.GDIC_LS_W_Temp1.LimFailSec</t>
  </si>
  <si>
    <t>K_McpDiag.PimCTempSnsrRngHiGrp.GDIC_LS_W_Temp1.EnblTyp</t>
  </si>
  <si>
    <t>Slow CDDGDIC LS W temperature 1 sensor must be below or equal to the Pass Threshold:
SlowCDD.Inv_Data_Slow.GDIC_LS_W_Temperature1 &lt;= K_McpDiag.PimCTempSnsrRngHiGrp.GDIC_LS_W_Temp1.FltHyst</t>
  </si>
  <si>
    <t>K_McpDiag.PimCTempSnsrRngHiGrp.GDIC_LS_W_Temp1.LimPassSec</t>
  </si>
  <si>
    <t>540 - PimCTempSnsrRngHiGrp.GDIC_LS_W_Temp2
phase temperature sensor higher than threshold</t>
  </si>
  <si>
    <t>Slow CDD GDIC LS W temperature 2 sensor value greater than Fail Threshold calibration:
SlowCDD.Inv_Data_Slow.GDIC_LS_W_Temperature2 &gt; K_McpDiag.PimCTempSnsrRngHiGrp.GDIC_LS_W_Temp2.FltSetThrsh</t>
  </si>
  <si>
    <t>K_McpDiag.PimCTempSnsrRngHiGrp.GDIC_LS_W_Temp2.LimFailSec</t>
  </si>
  <si>
    <t>K_McpDiag.PimCTempSnsrRngHiGrp.GDIC_LS_W_Temp2.EnblTyp</t>
  </si>
  <si>
    <t>Slow CDD GDIC LS W temperature 2 sensor must be below or equal to the Pass Threshold: 
SlowCDD.Inv_Data_Slow.GDIC_LS_W_Temperature2 &lt;= K_McpDiag.PimCTempSnsrRngHiGrp.GDIC_LS_W_Temp2.FltHyst</t>
  </si>
  <si>
    <t>K_McpDiag.PimCTempSnsrRngHiGrp.GDIC_LS_W_Temp2.LimPassSec</t>
  </si>
  <si>
    <t>0BD111</t>
  </si>
  <si>
    <t>P0BD1-11</t>
  </si>
  <si>
    <t>Drive Motor Inverter Temperature Sensor 3 - Circuit Short to Ground</t>
  </si>
  <si>
    <t>17 - PimCTempSnsrRngLoGrp
PIM temperature sensor range Lo group</t>
  </si>
  <si>
    <t>545 - PimCTempSnsrRngLoGrp.GDIC_HS_W_Temp1
phase temperature sensor Lower than threshold</t>
  </si>
  <si>
    <t>Slow CDD GDIC HS W temperature 1 sensor value smaller than Fail Threshold calibration:
SlowCDD.Inv_Data_Slow.GDIC_HS_W_Temperature1 &lt; K_McpDiag.PimCTempSnsrRngLoGrp.GDIC_HS_W_Temp1.FltSetThrsh</t>
  </si>
  <si>
    <t>K_McpDiag.PimCTempSnsrRngLoGrp.GDIC_HS_W_Temp1.LimFailSec</t>
  </si>
  <si>
    <t>K_McpDiag.PimCTempSnsrRngLoGrp.GDIC_HS_W_Temp1.EnblTyp</t>
  </si>
  <si>
    <t>Slow CDD GDIC HS W Temp1 temperature sensor value must be above or equal to the Pass Threshold:
SlowCDD.Inv_Data_Slow.GDIC_HS_W_Temperature1 &gt;= K_McpDiag.PimCTempSnsrRngLoGrp.GDIC_HS_W_Temp1.FltHyst</t>
  </si>
  <si>
    <t>K_McpDiag.PimCTempSnsrRngLoGrp.GDIC_HS_W_Temp1.LimPassSec</t>
  </si>
  <si>
    <t>551 - PimCTempSnsrRngLoGrp.GDIC_HS_W_Temp2
phase temperature sensor Lower than threshold</t>
  </si>
  <si>
    <t>Slow CDD GDIC HS W temperature 2  sensor value smaller than Fail Threshold calibration:
SlowCDD.Inv_Data_Slow.GDIC_HS_W_Temperature2 &lt; K_McpDiag.PimCTempSnsrRngLoGrp.GDIC_HS_W_Temp2.FltSetThrsh</t>
  </si>
  <si>
    <t>K_McpDiag.PimCTempSnsrRngLoGrp.GDIC_HS_W_Temp2.LimFailSec</t>
  </si>
  <si>
    <t>K_McpDiag.PimCTempSnsrRngLoGrp.GDIC_HS_W_Temp2.EnblTyp</t>
  </si>
  <si>
    <t>Slow CDD GDIC HS W Temp2 temperature sensor value must be above or equal to the Pass Threshold: 
SlowCDD.Inv_Data_Slow.GDIC_HS_W_Temperature2 &gt;= K_McpDiag.PimCTempSnsrRngLoGrp.GDIC_HS_W_Temp2.FltHyst</t>
  </si>
  <si>
    <t>K_McpDiag.PimCTempSnsrRngLoGrp.GDIC_HS_W_Temp2.LimPassSec</t>
  </si>
  <si>
    <t>546 - PimCTempSnsrRngLoGrp.GDIC_LS_W_Temp1
phase temperature sensor Lower than threshold</t>
  </si>
  <si>
    <t>Slow CDD GDIC LS W temperature 1  sensor value smaller than Fail Threshold calibration:
SlowCDD.Inv_Data_Slow.GDIC_LS_W_Temperature1 &lt; K_McpDiag.PimCTempSnsrRngLoGrp.GDIC_LS_W_Temp1.FltSetThrsh</t>
  </si>
  <si>
    <t>K_McpDiag.PimCTempSnsrRngLoGrp.GDIC_LS_W_Temp1.LimFailSec</t>
  </si>
  <si>
    <t>K_McpDiag.PimCTempSnsrRngLoGrp.GDIC_LS_W_Temp1.EnblTyp</t>
  </si>
  <si>
    <t>Slow CDD GDIC LS W Temp1 temperature sensor value must be above or equal to the Pass Threshold: 
SlowCDD.Inv_Data_Slow.GDIC_LS_W_Temperature1 &gt;= K_McpDiag.PimCTempSnsrRngLoGrp.GDIC_LS_W_Temp1.FltHyst</t>
  </si>
  <si>
    <t>K_McpDiag.PimCTempSnsrRngLoGrp.GDIC_LS_W_Temp1.LimPassSec</t>
  </si>
  <si>
    <t>552 - PimCTempSnsrRngLoGrp.GDIC_LS_W_Temp2
phase temperature sensor Lower than threshold</t>
  </si>
  <si>
    <t>Slow CDD GDIC LS W temperature 2 sensor value smaller than Fail Threshold calibration:
SlowCDD.Inv_Data_Slow.GDIC_LS_W_Temperature2 &lt; K_McpDiag.PimCTempSnsrRngLoGrp.GDIC_LS_W_Temp2.FltSetThrsh</t>
  </si>
  <si>
    <t>K_McpDiag.PimCTempSnsrRngLoGrp.GDIC_LS_W_Temp2.LimFailSec</t>
  </si>
  <si>
    <t>K_McpDiag.PimCTempSnsrRngLoGrp.GDIC_LS_W_Temp2.EnblTyp</t>
  </si>
  <si>
    <t>Slow CDD GDIC LS W Temp2 temperature sensor must be above or equal to the Pass Threshold: 
SlowCDD.Inv_Data_Slow.GDIC_LS_W_Temperature2 &gt;= K_McpDiag.PimCTempSnsrRngLoGrp.GDIC_LS_W_Temp2.FltHyst</t>
  </si>
  <si>
    <t>K_McpDiag.PimCTempSnsrRngLoGrp.GDIC_LS_W_Temp2.LimPassSec</t>
  </si>
  <si>
    <t>0A784B</t>
  </si>
  <si>
    <t>P0A78-4B</t>
  </si>
  <si>
    <t>Drive Motor "A" Inverter - Over Temperature</t>
  </si>
  <si>
    <t>59 - PimOvrTempGrp
PIM overtemperature Diagnostic</t>
  </si>
  <si>
    <t>740 - PimOvrTempGrp.GDIC_HS_U_Temp1
Phase GDIC / IGBT overtemperture tmperature higher than thrshold</t>
  </si>
  <si>
    <t>The GDIC HS U Temp1 temperature sensor value greater than Fail Threshold calibration:  
Proc_Temp.GDIC_HS_U_Temp1_DegC &gt; K_McpDiag.PimOvrTempGrp.GDIC_HS_U_Temp1.FltSetThrsh</t>
  </si>
  <si>
    <t>K_McpDiag.PimOvrTempGrp.GDIC_HS_U_Temp1.LimFailSec</t>
  </si>
  <si>
    <t>K_McpDiag.PimOvrTempGrp.GDIC_HS_U_Temp1.EnblTyp</t>
  </si>
  <si>
    <t>GDIC HS U temp 1 sensor must be below or equal to the Pass Threshold: 
Proc_Temp.GDIC_HS_U_Temp1_DegC &lt;= 
,K_McpDiag.PimOvrTempGrp.GDIC_HS_U_Temp1.FltHyst</t>
  </si>
  <si>
    <t>K_McpDiag.PimOvrTempGrp.GDIC_HS_U_Temp1.LimPassSec</t>
  </si>
  <si>
    <t>746 - PimOvrTempGrp.GDIC_HS_U_Temp2
Phase GDIC / IGBT overtemperture tmperature higher than thrshold</t>
  </si>
  <si>
    <t>The GDIC HS U Temp2 temperature sensor value greater than Fail Threshold calibration:
Proc_Temp.GDIC_HS_U_Temp2_DegC &gt; K_McpDiag.PimOvrTempGrp.GDIC_HS_U_Temp2.FltSetThrsh</t>
  </si>
  <si>
    <t>K_McpDiag.PimOvrTempGrp.GDIC_HS_U_Temp2.LimFailSec</t>
  </si>
  <si>
    <t>K_McpDiag.PimOvrTempGrp.GDIC_HS_U_Temp2.EnblTyp</t>
  </si>
  <si>
    <t>GDIC HS U temp 2 sensor must be below or equal to the Pass Threshold: 
Proc_Temp.GDIC_HS_U_Temp2_DegC &lt;= K_McpDiag.PimOvrTempGrp.GDIC_HS_U_Temp2.FltHyst</t>
  </si>
  <si>
    <t>K_McpDiag.PimOvrTempGrp.GDIC_HS_U_Temp2.LimPassSec</t>
  </si>
  <si>
    <t>742 - PimOvrTempGrp.GDIC_HS_V_Temp1
Phase GDIC / IGBT overtemperture tmperature higher than thrshold</t>
  </si>
  <si>
    <t>The GDIC HS V Temp1 temperature sensor value greater than Fail Threshold calibration:
Proc_Temp.GDIC_HS_V_Temp1_DegC &gt; K_McpDiag.PimOvrTempGrp.GDIC_HS_V_Temp1.FltSetThrsh</t>
  </si>
  <si>
    <t>K_McpDiag.PimOvrTempGrp.GDIC_HS_V_Temp1.LimFailSec</t>
  </si>
  <si>
    <t>K_McpDiag.PimOvrTempGrp.GDIC_HS_V_Temp1.EnblTyp</t>
  </si>
  <si>
    <t>GDIC HS V temp 1 sensor must be below or equal to the Pass Threshold: 
Proc_Temp.GDIC_HS_V_Temp1_DegC &lt;= K_McpDiag.PimOvrTempGrp.GDIC_HS_V_Temp1.FltHyst</t>
  </si>
  <si>
    <t>K_McpDiag.PimOvrTempGrp.GDIC_HS_V_Temp1.LimPassSec</t>
  </si>
  <si>
    <t>748 - PimOvrTempGrp.GDIC_HS_V_Temp2
Phase GDIC / IGBT overtemperture tmperature higher than thrshold</t>
  </si>
  <si>
    <t>The GDIC HS V Temp2 temperature sensor value greater than  Fail Threshold:
Proc_Temp.GDIC_HS_V_Temp2_DegC &gt; K_McpDiag.PimOvrTempGrp.GDIC_HS_V_Temp2.FltSetThrsh</t>
  </si>
  <si>
    <t>K_McpDiag.PimOvrTempGrp.GDIC_HS_V_Temp2.LimFailSec</t>
  </si>
  <si>
    <t>K_McpDiag.PimOvrTempGrp.GDIC_HS_V_Temp2.EnblTyp</t>
  </si>
  <si>
    <t>GDIC HS V temp 2 sensor must be below or equal to the Pass Threshold: 
Proc_Temp.GDIC_HS_V_Temp2_DegC &lt;= K_McpDiag.PimOvrTempGrp.GDIC_HS_V_Temp2.FltHyst</t>
  </si>
  <si>
    <t>K_McpDiag.PimOvrTempGrp.GDIC_HS_V_Temp2.LimPassSec</t>
  </si>
  <si>
    <t>744 - PimOvrTempGrp.GDIC_HS_W_Temp1
Phase GDIC / IGBT overtemperture tmperature higher than thrshold</t>
  </si>
  <si>
    <t>The GDIC HS W Temp1 temperature sensor value greater than Fail Threshold:
Proc_Temp.GDIC_HS_W_Temp1_DegC &gt; K_McpDiag.PimOvrTempGrp.GDIC_HS_W_Temp1.FltSetThrsh</t>
  </si>
  <si>
    <t>K_McpDiag.PimOvrTempGrp.GDIC_HS_W_Temp1.LimFailSec</t>
  </si>
  <si>
    <t>K_McpDiag.PimOvrTempGrp.GDIC_HS_W_Temp1.EnblTyp</t>
  </si>
  <si>
    <t>GDIC HS W temp 1 sensor must be below or equal to the Pass Threshold: 
Proc_Temp.GDIC_HS_W_Temp1_DegC &lt;= K_McpDiag.PimOvrTempGrp.GDIC_HS_W_Temp1.FltHyst</t>
  </si>
  <si>
    <t>K_McpDiag.PimOvrTempGrp.GDIC_HS_W_Temp1.LimPassSec</t>
  </si>
  <si>
    <t>750 - PimOvrTempGrp.GDIC_HS_W_Temp2
Phase GDIC / IGBT overtemperture tmperature higher than thrshold</t>
  </si>
  <si>
    <t>The GDIC HS W Temp2 temperature sensor value greater than  Fail Threshold calibration:
Proc_Temp.GDIC_HS_W_Temp2_DegC &gt; K_McpDiag.PimOvrTempGrp.GDIC_HS_W_Temp2.FltSetThrsh</t>
  </si>
  <si>
    <t>K_McpDiag.PimOvrTempGrp.GDIC_HS_W_Temp2.LimFailSec</t>
  </si>
  <si>
    <t>K_McpDiag.PimOvrTempGrp.GDIC_HS_W_Temp2.EnblTyp</t>
  </si>
  <si>
    <t>GDIC HS W temp 2 sensor must be below or equal to the Pass Threshold: 
Proc_Temp.GDIC_HS_W_Temp2_DegC &lt;= K_McpDiag.PimOvrTempGrp.GDIC_HS_W_Temp2.FltHyst</t>
  </si>
  <si>
    <t>K_McpDiag.PimOvrTempGrp.GDIC_HS_W_Temp2.LimPassSec</t>
  </si>
  <si>
    <t>741 - PimOvrTempGrp.GDIC_LS_U_Temp1
Phase GDIC / IGBT overtemperture tmperature higher than thrshold</t>
  </si>
  <si>
    <t>The GDIC LS U Temp1 temperature sensor value greater than Fail Threshold calibration:
Proc_Temp.GDIC_LS_U_Temp1_DegC &gt; K_McpDiag.PimOvrTempGrp.GDIC_LS_U_Temp1.FltSetThrsh</t>
  </si>
  <si>
    <t>K_McpDiag.PimOvrTempGrp.GDIC_LS_U_Temp1.LimFailSec</t>
  </si>
  <si>
    <t>K_McpDiag.PimOvrTempGrp.GDIC_LS_U_Temp1.EnblTyp</t>
  </si>
  <si>
    <t>GDIC LS U temp 1 sensor must be below or equal to the Pass Threshold: 
Proc_Temp.GDIC_LS_U_Temp1_DegC &lt;= K_McpDiag.PimOvrTempGrp.GDIC_LS_U_Temp1.FltHyst</t>
  </si>
  <si>
    <t>K_McpDiag.PimOvrTempGrp.GDIC_LS_U_Temp1.LimPassSec</t>
  </si>
  <si>
    <t>747 - PimOvrTempGrp.GDIC_LS_U_Temp2
Phase GDIC / IGBT overtemperture tmperature higher than thrshold</t>
  </si>
  <si>
    <t>The GDIC LS U Temp2 temperature sensor value greater than Fail Threshold calibration:
Proc_Temp.GDIC_LS_U_Temp2_DegC &gt; K_McpDiag.PimOvrTempGrp.GDIC_LS_U_Temp2.FltSetThrsh</t>
  </si>
  <si>
    <t>K_McpDiag.PimOvrTempGrp.GDIC_LS_U_Temp2.LimFailSec</t>
  </si>
  <si>
    <t>K_McpDiag.PimOvrTempGrp.GDIC_LS_U_Temp2.EnblTyp</t>
  </si>
  <si>
    <t>GDIC LS U temp 2 sensor must be below or equal to the Pass Threshold: 
Proc_Temp.GDIC_LS_U_Temp2_DegC &lt;= K_McpDiag.PimOvrTempGrp..GDIC_LS_U_Temp2.FltHyst</t>
  </si>
  <si>
    <t>K_McpDiag.PimOvrTempGrp.GDIC_LS_U_Temp2.LimPassSec</t>
  </si>
  <si>
    <t>743 - PimOvrTempGrp.GDIC_LS_V_Temp1
Phase GDIC / IGBT overtemperture tmperature higher than thrshold</t>
  </si>
  <si>
    <t xml:space="preserve">
The GDIC LS V Temp1 temperature sensor value greater than  Fail Threshold calibration:
Proc_Temp.GDIC_LS_V_Temp1_DegC &gt; K_McpDiag.PimOvrTempGrp.GDIC_LS_V_Temp1.FltSetThrsh</t>
  </si>
  <si>
    <t>K_McpDiag.PimOvrTempGrp.GDIC_LS_V_Temp1.LimFailSec</t>
  </si>
  <si>
    <t>K_McpDiag.PimOvrTempGrp.GDIC_LS_V_Temp1.EnblTyp</t>
  </si>
  <si>
    <t>GDIC LS V temp 1 sensor must be below or equal to the Pass Threshold: 
Proc_Temp.GDIC_LS_V_Temp1_DegC &lt;= K_McpDiag.PimOvrTempGrp.GDIC_LS_V_Temp1.FltHyst</t>
  </si>
  <si>
    <t>K_McpDiag.PimOvrTempGrp.GDIC_LS_V_Temp1.LimPassSec</t>
  </si>
  <si>
    <t>749 - PimOvrTempGrp.GDIC_LS_V_Temp2
Phase GDIC / IGBT overtemperture tmperature higher than thrshold</t>
  </si>
  <si>
    <t>The GDIC LS V Temp2 temperature sensor value greater than  Fail Threshold calibration:
Proc_Temp.GDIC_LS_V_Temp2_DegC &gt; K_McpDiag.PimOvrTempGrp.GDIC_LS_V_Temp2.FltSetThrsh</t>
  </si>
  <si>
    <t>K_McpDiag.PimOvrTempGrp.GDIC_LS_V_Temp2.LimFailSec</t>
  </si>
  <si>
    <t>K_McpDiag.PimOvrTempGrp.GDIC_LS_V_Temp2.EnblTyp</t>
  </si>
  <si>
    <t>GDIC LS V temp 2 sensor must be below or equal to the Pass Threshold: 
Proc_Temp.GDIC_LS_V_Temp2_DegC &lt;= K_McpDiag.PimOvrTempGrp.GDIC_LS_V_Temp2.FltHyst</t>
  </si>
  <si>
    <t>K_McpDiag.PimOvrTempGrp.GDIC_LS_V_Temp2.LimPassSec</t>
  </si>
  <si>
    <t>745 - PimOvrTempGrp.GDIC_LS_W_Temp1
Phase GDIC / IGBT overtemperture tmperature higher than thrshold</t>
  </si>
  <si>
    <t>The GDIC LS W Temp1 temperature sensor value greater than  Fail Threshold calibration:
Proc_Temp.GDIC_LS_W_Temp1_DegC &gt; K_McpDiag.PimOvrTempGrp.GDIC_LS_W_Temp1.FltSetThrsh</t>
  </si>
  <si>
    <t>K_McpDiag.PimOvrTempGrp.GDIC_LS_W_Temp1.LimFailSec</t>
  </si>
  <si>
    <t>K_McpDiag.PimOvrTempGrp.GDIC_LS_W_Temp1.EnblTyp</t>
  </si>
  <si>
    <t>GDIC LS W temp 1 sensor must be below or equal to the Pass Threshold: 
Proc_Temp.GDIC_LS_W_Temp1_DegC &lt;= K_McpDiag.PimOvrTempGrp.GDIC_LS_W_Temp1.FltHyst</t>
  </si>
  <si>
    <t>K_McpDiag.PimOvrTempGrp.GDIC_LS_W_Temp1.LimPassSec</t>
  </si>
  <si>
    <t>751 - PimOvrTempGrp.GDIC_LS_W_Temp2
Phase GDIC / IGBT overtemperture tmperature higher than thrshold</t>
  </si>
  <si>
    <t>The GDIC LS W Temp2 temperature sensor value greater than  Fail Threshold calibration:
Proc_Temp.GDIC_LS_W_Temp2_DegC &gt; K_McpDiag.PimOvrTempGrp.GDIC_LS_W_Temp2.FltSetThrsh</t>
  </si>
  <si>
    <t>K_McpDiag.PimOvrTempGrp.GDIC_LS_W_Temp2.LimFailSec</t>
  </si>
  <si>
    <t>K_McpDiag.PimOvrTempGrp.GDIC_LS_W_Temp2.EnblTyp</t>
  </si>
  <si>
    <t>GDIC LS W temp 2 sensor must be below or equal to the Pass Threshold: 
Proc_Temp.GDIC_LS_W_Temp2_DegC &lt;= K_McpDiag.PimOvrTempGrp.GDIC_LS_W_Temp2FltHyst</t>
  </si>
  <si>
    <t>K_McpDiag.PimOvrTempGrp.GDIC_LS_W_Temp2.LimPassSec</t>
  </si>
  <si>
    <t>754 - PimOvrTempGrp.GDIC_OvrThrshMtrn
PIM max overtemperature</t>
  </si>
  <si>
    <t xml:space="preserve">5V Supply GDIC Top Signal is between Upper and Lower Threshold:
K_McpDiag.CalAddnl.Ok_5V_GDIC_TOP_AI_OvrThrsh &gt; Intrfc.Hw.InRaw.Sply5vGDICTopSgnl &gt; K_McpDiag.CalAddnl.Ok_5V_GDIC_TOP_AI_UndrThrsh
AND
5V Supply GDIC Bottom Signal is between Upper and Lower Threshold:
K_McpDiag.CalAddnl.Ok_5V_GDIC_BOT_AI_OvrThrsh &gt; Intrfc.Hw.InRaw.Sply5vGDICBotSgnl &gt; K_McpDiag.CalAddnl.Ok_5V_GDIC_BOT_AI_UndrThrsh
</t>
  </si>
  <si>
    <t xml:space="preserve">
The Pim temperature Max  sensor value greater than Fail Threshold calibration:
Proc_Temp.PimMax_DegC &gt; K_McpDiag.PimOvrTempGrp.GDIC_OvrThrshMtrn.FltSetThrsh</t>
  </si>
  <si>
    <t>K_McpDiag.PimOvrTempGrp.GDIC_OvrThrshMtrn.LimFailSec</t>
  </si>
  <si>
    <t>K_McpDiag.PimOvrTempGrp.GDIC_OvrThrshMtrn.EnblTyp</t>
  </si>
  <si>
    <t>Pim Max temperature sensor must be below or equal to the Pass Threshold: 
Proc_Temp.PimMax_DegC &lt;=K_McpDiag.PimOvrTempGrp.GDIC_OvrThrshMtrn.FltHyst</t>
  </si>
  <si>
    <t>K_McpDiag.PimOvrTempGrp.GDIC_OvrThrshMtrn.LimPassSec</t>
  </si>
  <si>
    <t>752 - PimOvrTempGrp.GDIC_ThermalRunaway
One of the IGBT's have a thermal runnaway, temperature higher than thrshold</t>
  </si>
  <si>
    <t xml:space="preserve">
The Pim temperature Max  sensor value greater than Fail Threshold calibration:
Proc_Temp.PimMax_DegC &gt; K_McpDiag.PimOvrTempGrp.GDIC_ThermalRunaway.FltSetThrsh</t>
  </si>
  <si>
    <t>K_McpDiag.PimOvrTempGrp.GDIC_ThermalRunaway.LimFailSec</t>
  </si>
  <si>
    <t>K_McpDiag.PimOvrTempGrp.GDIC_ThermalRunaway.EnblTyp</t>
  </si>
  <si>
    <t>Pim Max temperature sensor must be below or equal to the Pass Threshold: 
Proc_Temp.PimMax_DegC &lt;=K_McpDiag.PimOvrTempGrp.GDIC_ThermalRunaway.FltHyst</t>
  </si>
  <si>
    <t>K_McpDiag.PimOvrTempGrp.GDIC_ThermalRunaway.LimPassSec</t>
  </si>
  <si>
    <t>109 - PimOvrTempGrp.Mdl
PIM temperature MDL Overtemperature</t>
  </si>
  <si>
    <t>The Pim Temp Mdl temperature EST sensor value greater than  Fail Threshold calibration:
Proc_Temp.PimTempMdl_TempEst &gt; K_McpDiag.PimOvrTempGrp.Mdl.FltSetThrsh</t>
  </si>
  <si>
    <t>K_McpDiag.PimOvrTempGrp.Mdl.LimFailSec</t>
  </si>
  <si>
    <t>K_McpDiag.PimOvrTempGrp.Mdl.EnblTyp</t>
  </si>
  <si>
    <t xml:space="preserve">
Pim Temp Mdl temperature EST sensor must be below or equal to the Pass Threshold: 
Proc_Temp.PimTempMdl_TempEst&lt;=K_McpDiag.PimOvrTempGrp.Mdl.FltHyst</t>
  </si>
  <si>
    <t>K_McpDiag.PimOvrTempGrp.Mdl.LimPassSec</t>
  </si>
  <si>
    <t>163 - PimOvrTempGrp.MdlDerate
Derating based on MDL overtemperature stronger than threshold</t>
  </si>
  <si>
    <t>The Pim Temp Mdl Temperature Slewed Capability value lower than Fail Threshold calibration:
Proc_Derate.Prvt.PimTempMdl.SlewdCpblty &lt; K_McpDiag. PimOvrTempGrp.MdlDerate.FltSetThrsh</t>
  </si>
  <si>
    <t>K_McpDiag.PimOvrTempGrp.MdlDerate.LimFailSec</t>
  </si>
  <si>
    <t>K_McpDiag.PimOvrTempGrp.MdlDerate.EnblTyp</t>
  </si>
  <si>
    <t>The Pim Temp Mdl Temperature Slewed Capability must be above or equal to the Pass Threshold:
Proc_Derate.Prvt.PimTempMdl.SlewdCpblty &gt;= K_McpDiag. PimOvrTempGrp.MdlDerate .Mdl.FltHyst</t>
  </si>
  <si>
    <t>K_McpDiag.PimOvrTempGrp.MdlDerate.LimPassSec</t>
  </si>
  <si>
    <t>1065 - PimOvrTempGrp.MdlOverTemp
PimOvrTempGrp_Mdl</t>
  </si>
  <si>
    <t>Die Temperature Qualifier must be false:
Proc_Derate.In.DieTemp_Qualifier = 0</t>
  </si>
  <si>
    <t>Die Temperature (degrees Celsius) value greater than Fail Threshold calibration:
Proc_Derate.In.DieTemp_DegC &gt; K_McpDiag.PimOvrTempGrp.MdlOverTemp.FltSetThrsh</t>
  </si>
  <si>
    <t>K_McpDiag.PimOvrTempGrp.MdlOverTemp.LimFailSec</t>
  </si>
  <si>
    <t>K_McpDiag.PimOvrTempGrp.MdlOverTemp.EnblTyp</t>
  </si>
  <si>
    <t>Die Temperature (degrees Celsius) value greater than Fail Threshold calibration:
Proc_Derate.In.DieTemp_DegC &lt;= K_McpDiag.PimOvrTempGrp.MdlOverTemp.FltSetThrsh</t>
  </si>
  <si>
    <t>K_McpDiag.PimOvrTempGrp.MdlOverTemp.LimPassSec</t>
  </si>
  <si>
    <t>1066 - PimOvrTempGrp.MdlThermalRunaway
PimOvrTempGrp_Mdl</t>
  </si>
  <si>
    <t>Die Temperature (degrees Celsius) value greater than Fail Threshold calibration:
Proc_Derate.In.DieTemp_DegC &gt; K_McpDiag.PimOvrTempGrp.MdlThermalRunaway.FltSetThrsh</t>
  </si>
  <si>
    <t>K_McpDiag.PimOvrTempGrp.MdlThermalRunaway.LimFailSec</t>
  </si>
  <si>
    <t>K_McpDiag.PimOvrTempGrp.MdlThermalRunaway.EnblTyp</t>
  </si>
  <si>
    <t>Die Temperature (degrees Celsius) value greater than Fail Threshold calibration:
Proc_Derate.In.DieTemp_DegC &lt;= K_McpDiag.PimOvrTempGrp.MdlThermalRunaway.FltSetThrsh</t>
  </si>
  <si>
    <t>K_McpDiag.PimOvrTempGrp.MdlThermalRunaway.LimPassSec</t>
  </si>
  <si>
    <t>164 - PimOvrTempGrp.SnsrDerate
Derating based on Sensor overtemperature stronger than threshold</t>
  </si>
  <si>
    <t>The Pim Temp Temperature Slewed Capability value lower than Fail Threshold calibration:
Proc_Derate.Prvt.PimTemp.SlewdCpblty &lt; K_McpDiag. PimOvrTempGrp.SnsrDerate.FltSetThrsh</t>
  </si>
  <si>
    <t>K_McpDiag.PimOvrTempGrp.SnsrDerate.LimFailSec</t>
  </si>
  <si>
    <t>K_McpDiag.PimOvrTempGrp.SnsrDerate.EnblTyp</t>
  </si>
  <si>
    <t>The Pim Temp Temperature Slewed Capability must be above or equal to the Pass Threshold:
Proc_Derate.Prvt.PimTemp.SlewdCpblty &gt;= K_McpDiag.PimOvrTempGrp.SnsrDerate.FltHyst</t>
  </si>
  <si>
    <t>K_McpDiag.PimOvrTempGrp.SnsrDerate.LimPassSec</t>
  </si>
  <si>
    <t>0AED92</t>
  </si>
  <si>
    <t>P0AED-92</t>
  </si>
  <si>
    <t>Drive Motor Inverter Temperature Sensor 1 - Performance or Incorrect Operation</t>
  </si>
  <si>
    <t>1069 - PimTempSnsrPerfGrp
new group fault for PIM temp sensr performance checks</t>
  </si>
  <si>
    <t>1070 - PimTempSnsrPerfGrp.GrdtChk
GDIC's gradient checkl LV1</t>
  </si>
  <si>
    <t>The Pim Temperature Sensor Perf Gradient Check value greater than  Fail Threshold calibration:
Absolute Value (MAX of all GDIC_xxxxx_Grdt) &gt; K_McpDiag. PimTempSnsrPerfGrp.GrdtChk.FltSetThrsh</t>
  </si>
  <si>
    <t>K_McpDiag.PimTempSnsrPerfGrp.GrdtChk.LimFailSec</t>
  </si>
  <si>
    <t>K_McpDiagPimTempSnsrPerfGrp.GrdtChk.EnblTyp</t>
  </si>
  <si>
    <t>The Pim Temperature Sensor Perf Gradient Check value must be below or equal to the Pass Threshold: 
Absolute Value (MAX of all GDIC_xxxxx_Grdt) &lt;= K_McpDiag.PimTempSnsrPerfGrp.GrdtChk.FltHyst</t>
  </si>
  <si>
    <t>K_McpDiag.PimTempSnsrPerfGrp.GrdtChk.LimPassSec</t>
  </si>
  <si>
    <t>10 - PimTempSnsrPerfGrp.Perf
PIM sensor perfomance check.
Indicates the temperature sensor for the PIM experiencing an in range sensor failure</t>
  </si>
  <si>
    <t xml:space="preserve">5V Supply Voltage A is between Upper and Lower Threshold:
K_McpDiag.CalAddnl.Ok_5VA_OvrThrsh &gt; Intrfc.Hw.InRaw.Sply5vASgnl &gt; K_McpDiag.CalAddnl.Ok_5VA_UndrThrsh
</t>
  </si>
  <si>
    <t xml:space="preserve">If soak time is &gt; K_VehSoakTm, PIM GDIC temperatures are compared against the average of all sensors. If one or more sensors are + - 25DEG outisde the median fault is set.
this is displayed in Fault Flag:
Proc_Temp.bPimTempPerfFltFlg 
</t>
  </si>
  <si>
    <t>McpDiag.PimTempSnsrPerf.EnblTyp</t>
  </si>
  <si>
    <t xml:space="preserve">No Fault Flag Set for:
Proc_Temp.bPimTempPerfFltFlg </t>
  </si>
  <si>
    <t>0A3F99</t>
  </si>
  <si>
    <t>P0A3F-99</t>
  </si>
  <si>
    <t>Drive Motor "A" Position Sensor - Exceeded Learning Limit</t>
  </si>
  <si>
    <t>46 - PosnOfstRng
Indicates the calculated resolver offset was out of range</t>
  </si>
  <si>
    <t>Offset not learned correctly
Resolver sensor issue
Resolver sensing issue
PIM Assembly faulty</t>
  </si>
  <si>
    <t>Perform ROL learning 
Replace Resolver
If fault is still present, replace PIM Assembly</t>
  </si>
  <si>
    <t>5V Supply Voltage A is between Upper and Lower Threshold:
K_McpDiag.CalAddnl.Ok_5VA_OvrThrsh &gt; Intrfc.Hw.InRaw.Sply5vASgnl &gt; K_McpDiag.CalAddnl.Ok_5VA_UndrThrsh
AND
22V Supply Safety Signal 1 is between Upper and Lower Threshold:
K_McpDiag.CalAddnl.OK_24V_OvrThrsh&gt;Intrfc.Hw.InRaw.Sply22vSfty1Sgnl&gt;K_McpDiag.CalAddnl.OK_24V_UndrThrsh</t>
  </si>
  <si>
    <t xml:space="preserve">Absolut Value of Res Theta Out must be greater than Fail Threshold calibration:
Absolute Value (ResTheta_Out) &gt; K_McpDiag.PosnOfstRng.FltSetThrsh 
</t>
  </si>
  <si>
    <t>K_McpDiag.PosnOfstRng.EnblTyp</t>
  </si>
  <si>
    <t>Absolut Value of Res Theta Out must be smaller or equal than Threshold calibration:
Absolute Value (ResTheta_Out) &lt;= K_McpDiag.PosnOfstRng.FltSetThrsh</t>
  </si>
  <si>
    <t>0A3F1F</t>
  </si>
  <si>
    <t>P0A3F-1F</t>
  </si>
  <si>
    <t>Drive Motor "A" Position Sensor - Circuit Intermittent</t>
  </si>
  <si>
    <t>7 - PosnSgnlDgrdtnGrp
Posotion Sensor (Resolver) has degradation of signal</t>
  </si>
  <si>
    <t>Check EDM Assembly - Resolver for damaged connectors or not proper connection and repair/replace if needed
If fault is still present, replace EDM Assembly</t>
  </si>
  <si>
    <t>645 - PosnSgnlDgrdtnGrp.CosAmplHi
Resolver absolute cosine demodulated signal amplitude to high</t>
  </si>
  <si>
    <t>5V Supply Voltage A is between Upper and Lower Threshold:
K_McpDiag.CalAddnl.Ok_5VA_OvrThrsh &gt; Intrfc.Hw.InRaw.Sply5vASgnl &gt; K_McpDiag.CalAddnl.Ok_5VA_UndrThrsh
AND
Initial Speed Sensor Configuration Status must be true
McpDiag.In.InitSpeedSenseConfig_status = 1
AND
Supply Initial Delay Time value greater than calibration value:
McpDiag.DiagAddnl.SplyInitDlyTm_Sec &gt;=  K_McpDiag.CalAddnl.SplyInitDlyMax_Sec</t>
  </si>
  <si>
    <t>The condition (COS_AMPL_HI) that increments the Fail counter is:
Bit read (BIT 7) from:
IntrfcT0.SpdPosnLld.InRaw.Data.ResFaultStatus is one 
and
Bit read (BIT 10,9) from:
IntrfcT0.SpdPosnLld.InRaw.Data.ResFaultStatus are either 01 or 10
This diagnostics will be triggered if Resolver Cos signla amplitude is higher than a threshold. The threshold is an internal BW calibration K_SpeedSense_COS_Hi_Thr [V]</t>
  </si>
  <si>
    <t>Counter is above Calibration Fail Value:
IntrfcT0.SpdPosnLld.Prvt.CosAmplHiFltFailSec &gt; K_McpDiag.PosnSgnlDgrdtnGrp.CosAmplHi.LimFailSec</t>
  </si>
  <si>
    <t>K_McpDiag.PosnSgnlDgrdtnGrp.CosAmplHi.EnblTyp</t>
  </si>
  <si>
    <t>The condition (COS_AMPL_HI) that increments the Pass counter is:
Bit read (BIT 7) from:
IntrfcT0.SpdPosnLld.InRaw.Data.ResFaultStatus = 0</t>
  </si>
  <si>
    <t>Counter is above Calibration Pass Value:
IntrfcT0.SpdPosnLld.Prvt.CosAmplHiFltPassSec &gt; K_McpDiag.PosnSgnlDgrdtnGrp.CosAmplHi.LimPassSec</t>
  </si>
  <si>
    <t>648 - PosnSgnlDgrdtnGrp.CosMean
Resolver absolute cosine mean demodulated signal amplitude to low</t>
  </si>
  <si>
    <t>5V Supply Voltage A is between Upper and Lower Threshold:
K_McpDiag.CalAddnl.Ok_5VA_OvrThrsh &gt; Intrfc.Hw.InRaw.Sply5vASgnl &gt; K_McpDiag.CalAddnl.Ok_5VA_UndrThrsh
AND
Initial Speed Sensor Configuration Status must 
be true
McpDiag.In.InitSpeedSenseConfig_status = 1
AND
Supply Initial Delay Time value greater than calibration value:
McpDiag.DiagAddnl.SplyInitDlyTm_Sec &gt;=  K_McpDiag.CalAddnl.SplyInitDlyMax_Sec</t>
  </si>
  <si>
    <t xml:space="preserve">The condition (COS_MEAN) that increments the Fail counter is:
Bit read (BIT 12) from:
IntrfcT0.SpdPosnLld.InRaw.Data.ResFaultStatus is one
and
Bit read (BIT 10,9) from:
IntrfcT0.SpdPosnLld.InRaw.Data.ResFaultStatus are either 01 or 10
This diagnostics will be triggered if Resolver Cos signla mean value is higher than a threshold. The threshold is an internal BW calibration K_SpeedSense_Cos_Mean_Thr [V]
</t>
  </si>
  <si>
    <t>Counter is above Calibration Fail Value:
IntrfcT0.SpdPosnLld.Prvt.CosMeanFltFailSec &gt; K_McpDiag.PosnSgnlDgrdtnGrp.CosMean.LimFailSec</t>
  </si>
  <si>
    <t>K_McpDiag.PosnSgnlDgrdtnGrp.CosMean.EnblTyp</t>
  </si>
  <si>
    <t>The condition (COS_MEAN) that increments the Pass counter is:
Bit read (BIT 12) from:
IntrfcT0.SpdPosnLld.InRaw.Data.ResFaultStatus = 0</t>
  </si>
  <si>
    <t>Counter is above Calibration Pass Value:
IntrfcT0.SpdPosnLld.Prvt.CosMeanFltPassSec &gt; K_McpDiag.PosnSgnlDgrdtnGrp.CosMean.LimPassSec</t>
  </si>
  <si>
    <t>652 - PosnSgnlDgrdtnGrp.ResCosRnghi
Resolver absolute cosine modulated signal amplitude to high</t>
  </si>
  <si>
    <t>Fault Flag from Low-level Driver
RTE bit read (BIT 3)  from
IntrfcT1.In.ResSlowFaultStatus  is one
This diagnostics will be triggered if Resolver Cos signla amplitude is higher than a threshold. The threshold is an internal BW calibration K_SpeedSense_COS_STB_Thr [V]</t>
  </si>
  <si>
    <t xml:space="preserve">K_McpDiag.PosnSgnlDgrdtnGrp.ResCosRnghi.LimFailSec </t>
  </si>
  <si>
    <t>K_McpDiag.PosnSgnlDgrdtnGrp.ResCosRnghi.EnblTyp</t>
  </si>
  <si>
    <t>Fault Flag from Low-level Driver
RTE bit read (BIT 3)  from
IntrfcT1.In.ResSlowFaultStatus = 0</t>
  </si>
  <si>
    <t xml:space="preserve">K_McpDiag.PosnSgnlDgrdtnGrp.ResCosRnghi.LimPassSec </t>
  </si>
  <si>
    <t>649 - PosnSgnlDgrdtnGrp.ResSinRnghi
Resolver absolute sine modulated signal amplitude to high</t>
  </si>
  <si>
    <t>Fault Flag from Low-level Driver
RTE bit read (BIT 0)  from
IntrfcT1.In.ResSlowFaultStatus is one
This diagnostics will be triggered if Resolver Sin signal amplitude is out of range high. The threshold is an internal BW calibration K_SpeedSense_SIN_STB_Thr [V]</t>
  </si>
  <si>
    <t xml:space="preserve">K_McpDiag.PosnSgnlDgrdtnGrp.ResSinRnghi.LimFailSec </t>
  </si>
  <si>
    <t>K_McpDiag.PosnSgnlDgrdtnGrp.ResSinRnghi.EnblTyp</t>
  </si>
  <si>
    <t>Fault Flag from Low-level Driver
RTE bit read (BIT 0)  from
IntrfcT1.In.ResSlowFaultStatus = 0</t>
  </si>
  <si>
    <t xml:space="preserve">K_McpDiag.PosnSgnlDgrdtnGrp.ResSinRnghi.LimPassSec </t>
  </si>
  <si>
    <t>643 - PosnSgnlDgrdtnGrp.SinAmplHi
 Resolver absolute sine demodulated signal amplitude to high</t>
  </si>
  <si>
    <t>The condition (SIN_AMPL_HI) that increments the Fail counter is:
Bit read (BIT 3) from:
IntrfcT0.SpdPosnLld.InRaw.Data.ResFaultStatus is one
and
Bit read (BIT 6,5) from:
IntrfcT0.SpdPosnLld.InRaw.Data.ResFaultStatus are either 01 or 10
This diagnostics will be triggered if Resolver Sin signal amplitude is higher than a threshold. The threshold is an internal BW calibration K_SpeedSense_SIN_Hi_Thr [V]</t>
  </si>
  <si>
    <t>Counter is above Calibration Fail Value: 
IntrfcT0.SpdPosnLld.Prvt.SinAmplHiFltFailSec &gt; K_McpDiag.PosnSgnlDgrdtnGrp.SinAmplHi.LimFailSec</t>
  </si>
  <si>
    <t>K_McpDiag.PosnSgnlDgrdtnGrp.SinAmplHi.EnblTyp</t>
  </si>
  <si>
    <t>The condition (SIN_AMPL_HI) that increments the Pass counter is:
Bit read (BIT 3) from:
IntrfcT0.SpdPosnLld.InRaw.Data.ResFaultStatus = 0</t>
  </si>
  <si>
    <t>Counter is above Calibration Pass Value:
IntrfcT0.SpdPosnLld.Prvt.SinAmplHiFltPassSec &gt;
K_McpDiag.PosnSgnlDgrdtnGrp.SinAmplHi.LimPassSec</t>
  </si>
  <si>
    <t>647 - PosnSgnlDgrdtnGrp.SinMean
Resolver absolute sine mean demodulated signal amplitude to high</t>
  </si>
  <si>
    <t>The condition (SIN_MEAN) that increments the Fail counter is:
Bit read (BIT 11) from:
IntrfcT0.SpdPosnLld.InRaw.Data.ResFaultStatus is one
and
Bit read (BIT 6,5) from:
IntrfcT0.SpdPosnLld.InRaw.Data.ResFaultStatus are either 01 or 10
This diagnostics will be triggered if Resolver Sin signla mean value is higher than a threshold. The threshold is an internal BW calibration K_SpeedSense_Sin_Mean_Thr [V]</t>
  </si>
  <si>
    <t>Counter is above Calibration Fail Value: 
IntrfcT0.SpdPosnLld.Prvt.SinMeanFltFailSec &gt;
K_McpDiag.PosnSgnlDgrdtnGrp.SinMean.LimFailSec</t>
  </si>
  <si>
    <t>K_McpDiag.PosnSgnlDgrdtnGrp.SinMean.EnblTyp</t>
  </si>
  <si>
    <t>The condition (SIN_MEAN) that increments the Pass counter is:
Bit read (BIT 11) from:
IntrfcT0.SpdPosnLld.InRaw.Data.ResFaultStatus = 0</t>
  </si>
  <si>
    <t>Counter is above Calibration Pass Value:
IntrfcT0.SpdPosnLld.Prvt.SinMeanFltPassSec &gt;
K_McpDiag.PosnSgnlDgrdtnGrp.SinMean.LimPassSec</t>
  </si>
  <si>
    <t>641 - PosnSgnlDgrdtnGrp.VecMax
The squared sin/cos vector is higher than a calibrate-able threshold</t>
  </si>
  <si>
    <t>The condition (VEC_MAX) that increments the Fail counter is:
Bit read (BIT 1) from:
IntrfcT0.SpdPosnLld.InRaw.Data.ResFaultStatus = 1
This diagnostic will fail if resolver (Sin^2+Cos^2) is larger than a threshold.
The threshold is a BW internal calibration K_GTM_INIT_RSVS_KSqrAmpl_Max [V^2]</t>
  </si>
  <si>
    <t>Counter is above Calibration Fail Value: 
IntrfcT0.SpdPosnLld.Prvt.DOSFltFailSec &gt;
K_McpDiag.PosnSgnlDgrdtnGrp.VecMax.LimFailSec</t>
  </si>
  <si>
    <t>K_McpDiag.PosnSgnlDgrdtnGrp.VecMax.EnblTyp</t>
  </si>
  <si>
    <t>The condition (VEC_MAX) that increments the Pass counter is:
Bit read (BIT 1) from:
IntrfcT0.SpdPosnLld.InRaw.Data.ResFaultStatus = 0</t>
  </si>
  <si>
    <t>Counter is above Calibration Pass Value:
IntrfcT0.SpdPosnLld.Prvt.DOSFltPassSec &gt;
K_McpDiag.PosnSgnlDgrdtnGrp.VecMax.LimPassSec</t>
  </si>
  <si>
    <t>0A3F01</t>
  </si>
  <si>
    <t>P0A3F-01</t>
  </si>
  <si>
    <t>Drive Motor "A" Position Sensor - General Electrical Failure</t>
  </si>
  <si>
    <t>6 - PosnSgnlLssGrp
Position Sensor (Resolver) has lost signal</t>
  </si>
  <si>
    <t>646 - PosnSgnlLssGrp.CosAmplLo
Resolver absolute cosine demodulated signal amplitude to low</t>
  </si>
  <si>
    <t xml:space="preserve">The condition (COS_AMPL_LO) that increments the Fail counter is:
Bit read (BIT 8) from:
IntrfcT0.SpdPosnLld.InRaw.Data.ResFaultStatus is one
and
Bit read (BIT 10,9) from:
IntrfcT0.SpdPosnLld.InRaw.Data.ResFaultStatus are either 01 or 10
lower This diagnostics will be triggered if Resolver Cos signla amplitude is higher than a threshold. The threshold is an internal BW calibration K_SpeedSense_COS_Lo_Thr [V]
</t>
  </si>
  <si>
    <t>Counter is above Calibration Fail Value: 
IntrfcT0.SpdPosnLld.Prvt.CosAmplLoFltFailSec &gt; K_McpDiag.PosnSgnlLssGrp.CosAmplLo.LimFailSec</t>
  </si>
  <si>
    <t>K_McpDiag.PosnSgnlLssGrp.CosAmplLo.EnblTyp</t>
  </si>
  <si>
    <t>The condition (COS_AMPL_LO) that increments the Pass counter is:
Bit read (BIT 8) from:
IntrfcT0.SpdPosnLld.InRaw.Data.ResFaultStatus = 0</t>
  </si>
  <si>
    <t>Counter is above Calibration Fail Value: 
IntrfcT0.SpdPosnLld.Prvt.CosAmplLoFltPassSec &gt; K_McpDiag.PosnSgnlLssGrp.CosAmplLo.LimPassSec</t>
  </si>
  <si>
    <t xml:space="preserve">487 - PosnSgnlLssGrp.PosnConfigTmOut
LOS status have been reported in a given amount of samples. </t>
  </si>
  <si>
    <t xml:space="preserve">5V Supply Voltage A is between Upper and Lower Threshold:
K_McpDiag.CalAddnl.Ok_5VA_OvrThrsh &gt; IntrfcT1.In.Sply5vASgnl &gt; K_McpDiag.CalAddnl.Ok_5VA_UndrThrsh
</t>
  </si>
  <si>
    <t>Slow CDD Prvt ATO Config timeOut flag  VeMcp_e_VltgCurrLld_bATOConfigTmOutFlg_VltgCurrLld_bATOConfigTmOutFlg must be true:
SlowCDD.Prvt.ATOConfigTmOutFlg = 1
After power up, position signal Angle  tracking filter (ATO) takes some time to get initialized. MCP software waits for  K_SlowCdd.ATOConfigTmr_Sec seconds for the flag (SlowCDD.InitSpeedSenseConfig_status) from low level driver becomes one. If within K_SlowCdd.ATOConfigTmr_Sec  seconds the flag does not become one, diagnostic will fail</t>
  </si>
  <si>
    <t xml:space="preserve">K_McpDiag.PosnSgnlLssGrp.PosnConfigTmOut.EnblTyp
</t>
  </si>
  <si>
    <t>Slow CDD Prvt ATO Config timeOut flag must be false:
SlowCDD.Prvt.ATOConfigTmOutFlg= 0</t>
  </si>
  <si>
    <t>654 - PosnSgnlLssGrp.ResCosDiscnct
Resolver Modulated sine HI or Cosine Lo both disconnected</t>
  </si>
  <si>
    <t>Fault Flag from Low-level Driver
RTE bit read (BIT 5)  from
IntrfcT1.In.ResSlowFaultStatus is one
If resolver Cos signal is disconnectd this diagnostic fails. BW internal calibration for this fault is  K_SpeedSense_COS_OC_Thr [V]</t>
  </si>
  <si>
    <t>K_McpDiag.PosnSgnlLssGrp.ResCosDiscnct.LimFailSec</t>
  </si>
  <si>
    <t>K_McpDiag.PosnSgnlLssGrp.ResCosDiscnct.EnblTyp</t>
  </si>
  <si>
    <t>Fault Flag from Low-level Driver
RTE bit read (BIT 5)  from
IntrfcT1.In.ResSlowFaultStatus = 0</t>
  </si>
  <si>
    <t>K_McpDiag.PosnSgnlLssGrp.ResCosDiscnct.LimPassSec</t>
  </si>
  <si>
    <t>653 - PosnSgnlLssGrp.ResCosRnglo
Resolver Modulated sine HI or Cosine Lo is Lower than threshold</t>
  </si>
  <si>
    <t>Fault Flag from Low-level Driver
RTE bit read (BIT 4)  from
IntrfcT1.In.ResSlowFaultStatus  is one
This diagnostics will be triggered if Resolver Cos signla amplitude range is lower than a threshold. The threshold is an internal BW calibration K_SpeedSense_COS_STG_Thr [V]</t>
  </si>
  <si>
    <t>K_McpDiag.PosnSgnlLssGrp.ResCosRnglo.LimFailSec</t>
  </si>
  <si>
    <t>K_McpDiag.PosnSgnlLssGrp.ResCosRnglo.EnblTyp</t>
  </si>
  <si>
    <t>Fault Flag from Low-level Driver
RTE bit read (BIT 4)  from
IntrfcT1.In.ResSlowFaultStatus = 0</t>
  </si>
  <si>
    <t>K_McpDiag.PosnSgnlLssGrp.ResCosRnglo.LimPassSec</t>
  </si>
  <si>
    <t>651 - PosnSgnlLssGrp.ResSinDiscnct
Resolver Modulated sine HI or Sine Lo both disconnected</t>
  </si>
  <si>
    <t>Fault Flag from Low-level Driver
RTE bit read (BIT 2)  from
IntrfcT1.In.ResSlowFaultStatus  is one
If resolver Sin signal is disconnectd this diagnostic fails. BW internal calibration for this fault is  K_SpeedSense_SIN_OC_Thr</t>
  </si>
  <si>
    <t>K_McpDiag.PosnSgnlLssGrp.ResSinDiscnct.LimFailSec</t>
  </si>
  <si>
    <t>K_McpDiag.PosnSgnlLssGrp.ResSinDiscnct.EnblTyp</t>
  </si>
  <si>
    <t>Fault Flag from Low-level Driver
RTE bit read (BIT 2)  from
IntrfcT1.In.ResSlowFaultStatus = 0</t>
  </si>
  <si>
    <t>K_McpDiag.PosnSgnlLssGrp.ResSinDiscnct.LimPassSec</t>
  </si>
  <si>
    <t>650 - PosnSgnlLssGrp.ResSinRnglo
Resolver Modulated sine HI or Sine Lo is Lower than threshold</t>
  </si>
  <si>
    <t>5V Supply Voltage A is between Upper and Lower Threshold:
K_McpDiag.CalAddnl.Ok_5VA_OvrThrsh &gt; Intrfc.Hw.InRaw.Sply5vASgnl &gt; K_McpDiag.CalAddnl.Ok_5VA_UndrThrsh
AND
Initial Speed Sensor Configuration Status must be true
McpDiag.In.InitSpeedSenseConfig_status = 1
AND
Supply Initial Delay Time value greater than calibration value:
McpDiag.DiagAddnl.SplyInitDlyTm_Sec &gt;=  K_McpDiag.CalAddnl.SplyInitDlyMax_Sec</t>
  </si>
  <si>
    <t>Fault Flag from Low-level Driver
RTE bit read (BIT 1)  from
IntrfcT1.In.ResSlowFaultStatus = 1
This diagnostics will be triggered if Resolver Sin Signal amplitude range is lower than a threshold. The threshold is an internal BW calibration K_SpeedSense_SIN_STG_Thr [V]</t>
  </si>
  <si>
    <t>K_McpDiag.PosnSgnlLssGrp.ResSinRnglo.LimFailSec</t>
  </si>
  <si>
    <t>K_McpDiag.PosnSgnlLssGrp.ResSinRnglo.EnblTyp</t>
  </si>
  <si>
    <t>Fault Flag from Low-level Driver
RTE bit read (BIT 1)  from
IntrfcT1.In.ResSlowFaultStatus = 0</t>
  </si>
  <si>
    <t>K_McpDiag.PosnSgnlLssGrp.ResSinRnglo.LimPassSec</t>
  </si>
  <si>
    <t>644 - PosnSgnlLssGrp.SinAmplLo
The abs Demodulated sine angle is lower than cal threshold</t>
  </si>
  <si>
    <t>The condition (SIN_AMPL_LO) that increments the Fail counter is:
Bit read (BIT 4) from:
IntrfcT0.SpdPosnLld.InRaw.Data.ResFaultStatus is one
and
Bit read (BIT 6,5) from:
IntrfcT0.SpdPosnLld.InRaw.Data.ResFaultStatus are either 01 or 10
This diagnostics will be triggered if Resolver Sin signal amplitude is lowerthan a threshold. The threshold is an internal BW calibration K_SpeedSense_SIN_Lo_Thr [V]</t>
  </si>
  <si>
    <t>Counter is above Calibration Fail Value: 
IntrfcT0.SpdPosnLld.Prvt.SinAmplLoFltFailSec &gt; K_McpDiag.PosnSgnlLssGrp.SinAmplLo.LimFailSec</t>
  </si>
  <si>
    <t>K_McpDiag.PosnSgnlLssGrp.SinAmplLo.EnblTyp</t>
  </si>
  <si>
    <t>The condition (SIN_AMPL_LO) that increments the Pass counter is:
Bit read (BIT 4) from:
IntrfcT0.SpdPosnLld.InRaw.Data.ResFaultStatus = 0</t>
  </si>
  <si>
    <t>Counter is above Calibration Pass Value:
IntrfcT0.SpdPosnLld.Prvt.SinAmplLoFltPassSec &gt;
K_McpDiag.PosnSgnlLssGrp.SinAmplLo.LimPassSec</t>
  </si>
  <si>
    <t>640 - PosnSgnlLssGrp.VecMin
The squared sin/cos vector is below a calibrate-able threshold</t>
  </si>
  <si>
    <t>The condition (VEC_MIN) that increments the Fail counter is:
Bit read (BIT 0) from:
IntrfcT0.SpdPosnLld.InRaw.Data.ResFaultStatus = 1
This diagnostic will fail if resolver (Sin^2+Cos^2) is smaller than a threshold.
The threshold is a BW internal calibration K_GTM_INIT_RSVS_KSqrAmpl_Min  [v^2]</t>
  </si>
  <si>
    <t>Counter is above Calibration Fail Value:   
IntrfcT0.SpdPosnLld.Prvt.LOSFltFailSec &gt; K_McpDiag.PosnSgnlLssGrp.VecMin.LimFailSec</t>
  </si>
  <si>
    <t>K_McpDiag.PosnSgnlLssGrp.VecMin.EnblTyp</t>
  </si>
  <si>
    <t>The condition (VEC_MIN) that increments the Pass counter is:
Bit read (BIT 0) from:
IntrfcT0.SpdPosnLld.InRaw.Data.ResFaultStatus = 0</t>
  </si>
  <si>
    <t>Counter is above Calibration Pass Value: 
IntrfcT0.SpdPosnLld.Prvt.LOSFltPassSec &gt; K_McpDiag.PosnSgnlLssGrp.VecMin.LimPassSec</t>
  </si>
  <si>
    <t>0A3F92</t>
  </si>
  <si>
    <t>P0A3F-92</t>
  </si>
  <si>
    <t>Drive Motor "A" Position Sensor - Performance or Incorrect Operation</t>
  </si>
  <si>
    <t xml:space="preserve">54 - PosnSpdMiscGrp
Parent fault for new Bosch based Bit </t>
  </si>
  <si>
    <t xml:space="preserve">661 - PosnSpdMiscGrp.ExcAmpFlt
Excitation amplifier fault </t>
  </si>
  <si>
    <t>23V Supply Voltage A is between Upper and Lower Threshold:
K_McpDiag.CalAddnl.Ok_23V_SAFETY_1_OvrThrsh &gt; Intrfc.Hw.InRaw.Sply22vSfty1Sgnl &gt; K_McpDiag.CalAddnl.Ok_23V_SAFETY_1_UndrThrsh
AND
Initial Speed Sensor Configuration Status must be true
McpDiag.In.InitSpeedSenseConfig_status = 1
AND
Supply Initial Delay Time value greater than calibration value:
McpDiag.DiagAddnl.SplyInitDlyTm_Sec &gt;=  K_McpDiag.CalAddnl.SplyInitDlyMax_Sec</t>
  </si>
  <si>
    <t>Fault Flag from Low-level Driver
RTE bit read (BIT 12)  from
IntrfcT1.In.ResSlowFaultStatus = 1
This diagnostic fails if the resolver excitation amplifier chip over temperature pin is asserted which means speedsense_resslowfaultstatus_local.B.EXC_AMP_FLT signal is one</t>
  </si>
  <si>
    <t>K_McpDiag.PosnSpdMiscGrp.ExcAmpFlt.LimFailSec</t>
  </si>
  <si>
    <t>K_McpDiag.PosnSpdMiscGrp.ExcAmpFlt.EnblTyp</t>
  </si>
  <si>
    <t>Fault Flag from Low-level Driver
RTE bit read (BIT 12)  from
IntrfcT1.In.ResSlowFaultStatus = 0</t>
  </si>
  <si>
    <t>K_McpDiag.PosnSpdMiscGrp.ExcAmpFlt.LimPassSec</t>
  </si>
  <si>
    <t>659 - PosnSpdMiscGrp.ExcHiFreqOor
Excitation hi frequency out of range</t>
  </si>
  <si>
    <t>Fault Flag from Low-level Driver
RTE bit read (BIT 10)  from
IntrfcT1.In.ResSlowFaultStatus = 1
This diagnostic fails if the resolver excitation HI or Low signal  frequency is out of range high. Calibration threshold is K_SpeedSense_EXC_Freq_OorHi_Thr [Hz]  which is an internal BW LLD calibration</t>
  </si>
  <si>
    <t xml:space="preserve">K_McpDiag.PosnSpdMiscGrp.ExcHiFreqOor.LimFailSec </t>
  </si>
  <si>
    <t>K_McpDiag.PosnSpdMiscGrp.ExcHiFreqOor.EnblTyp</t>
  </si>
  <si>
    <t>Fault Flag from Low-level Driver
RTE bit read (BIT 10) from
IntrfcT1.In.ResSlowFaultStatus = 0</t>
  </si>
  <si>
    <t>K_McpDiag.PosnSpdMiscGrp.ExcHiFreqOor.LimPassSec</t>
  </si>
  <si>
    <t>655 - PosnSpdMiscGrp.ExcHiRnghi
Excitation HI Larger than threshold</t>
  </si>
  <si>
    <t>23V Supply Voltage A is between Upper and Lower Threshold:
K_McpDiag.CalAddnl.Ok_23V_SAFETY_1_OvrThrsh &gt; Intrfc.Hw.InRaw.Sply22vSfty1Sgnl &gt; K_McpDiag.CalAddnl.Ok_23V_SAFETY_1_UndrThrsh
AND
Initial Speed Sensor Configuration Status must be true
McpDiag.In.InitSpeedSenseConfig_status = 1
AND
Supply Initial Delay Time value greater than calibration value:
McpDiag.DiagAddnl.SplyInitDlyTm_Sec &gt;=  K_McpDiag.CalAddnl.SplyInitDlyMax_Sec</t>
  </si>
  <si>
    <t>Fault Flag from Low-level Driver
RTE bit read (BIT 6)  from
IntrfcT1.In.ResSlowFaultStatus  is one
This diagnostic fails if excitation Hi signal SpeedSense_ExcHiDiagFreq is larger than a threshold. Calibration threshold is K_SpeedSense_EXC_STB_Thr [Hz] which is an internal BW LLD calibration</t>
  </si>
  <si>
    <t>K_McpDiag.PosnSpdMiscGrp.ExcHiRnghi.LimFailSec</t>
  </si>
  <si>
    <t>K_McpDiag.PosnSpdMiscGrp.ExcHiRnghi.EnblTyp</t>
  </si>
  <si>
    <t>Fault Flag from Low-level Driver
RTE bit read (BIT 6)  from
IntrfcT1.In.ResSlowFaultStatus = 0</t>
  </si>
  <si>
    <t>K_McpDiag.PosnSpdMiscGrp.ExcHiRnghi.LimPassSec</t>
  </si>
  <si>
    <t>656 - PosnSpdMiscGrp.ExcHiRnglo
Excitation HI Lower than threshold</t>
  </si>
  <si>
    <t xml:space="preserve">Fault Flag from Low-level Driver
RTE bit read (BIT 7)  from
IntrfcT1.In.ResSlowFaultStatus is one
This diagnostic fails if excitation Hi signal is lower than a threshold. Calibration threshold isK_SpeedSense_EXC_STG_Thr [Hz] which is an internal BW LLD calibration
</t>
  </si>
  <si>
    <t>K_McpDiag.PosnSpdMiscGrp.ExcHiRnglo.LimFailSec</t>
  </si>
  <si>
    <t>K_McpDiag.PosnSpdMiscGrp.ExcHiRnglo.EnblTyp</t>
  </si>
  <si>
    <t>Fault Flag from Low-level Driver
RTE bit read (BIT 7)  from
IntrfcT1.In.ResSlowFaultStatus = 0</t>
  </si>
  <si>
    <t>PosnSpdMiscGrp.ExcHiRnglo.LimPassSec</t>
  </si>
  <si>
    <t>660 - PosnSpdMiscGrp.ExcLoFreqOor
Excitation Lo frequency out of range</t>
  </si>
  <si>
    <t>Fault Flag from Low-level Driver
RTE bit read (BIT 11)  from
IntrfcT1.In.ResSlowFaultStatus is one
This diagnostic fails if the resolver excitation signal  low frequency is out of range Low. Calibration threshold is K_SpeedSense_EXC_Freq_OorLo_Thr [Hz] which is an internal BW LLD calibration</t>
  </si>
  <si>
    <t>K_McpDiag.PosnSpdMiscGrp.ExcLoFreqOor.LimFailSec</t>
  </si>
  <si>
    <t>K_McpDiag.PosnSpdMiscGrp.ExcLoFreqOor.EnblTyp</t>
  </si>
  <si>
    <t>Fault Flag from Low-level Driver
RTE bit read (BIT 11)  from
IntrfcT1.In.ResSlowFaultStatus = 0</t>
  </si>
  <si>
    <t>K_McpDiag.PosnSpdMiscGrp.ExcLoFreqOor.LimPassSec</t>
  </si>
  <si>
    <t>657 - PosnSpdMiscGrp.ExcLoRnghi
Excitation LO Larger than threshold</t>
  </si>
  <si>
    <t>Fault Flag from Low-level Driver
RTE bit read (BIT 8)  from
IntrfcT1.In.ResSlowFaultStatus is one
This diagnostic fails if excitation Lo  signal is larger than a threshold. Calibration threshold is K_SpeedSense_EXC_STB_Thr [Hz] which is an internal BW LLD calibration</t>
  </si>
  <si>
    <t xml:space="preserve">K_McpDiag.PosnSpdMiscGrp.ExcLoRnghi.LimFailSec </t>
  </si>
  <si>
    <t>K_McpDiag.PosnSpdMiscGrp.ExcLoRnghi.EnblTyp</t>
  </si>
  <si>
    <t>Fault Flag from Low-level Driver
RTE bit read (BIT 8)  from
IntrfcT1.In.ResSlowFaultStatus = 0</t>
  </si>
  <si>
    <t>K_McpDiag.PosnSpdMiscGrp.ExcLoRnghi.LimPassSec</t>
  </si>
  <si>
    <t>658 - PosnSpdMiscGrp.ExcLoRnglo
Excitation Lo Lower than threshold</t>
  </si>
  <si>
    <t>Fault Flag from Low-level Driver
RTE bit read (BIT 9)  from
IntrfcT1.In.ResSlowFaultStatus = 1
This diagnostic fails if excitation Lo signal is lower than a threshold. Calibration threshold is K_SpeedSense_EXC_STG_Thrr which is an internal BW LLD calibration</t>
  </si>
  <si>
    <t xml:space="preserve">K_McpDiag.PosnSpdMiscGrp.ExcLoRnglo.LimFailSec </t>
  </si>
  <si>
    <t>K_McpDiag.PosnSpdMiscGrp.ExcLoRnglo.EnblTyp</t>
  </si>
  <si>
    <t>Fault Flag from Low-level Driver
RTE bit read (BIT 9)  from
IntrfcT1.In.ResSlowFaultStatus = 0</t>
  </si>
  <si>
    <t>K_McpDiag.PosnSpdMiscGrp.ExcLoRnglo.LimPassSec</t>
  </si>
  <si>
    <t>0A3F64</t>
  </si>
  <si>
    <t>P0A3F-64</t>
  </si>
  <si>
    <t>Drive Motor "A" Position Sensor - Signal Plausibility Failure</t>
  </si>
  <si>
    <t>44 - PosnTrckngLssGrp
/</t>
  </si>
  <si>
    <t>Offset not learned correctly
Resolver sensor issue
PIM Assembly faulty</t>
  </si>
  <si>
    <t>119 - PosnTrckngLssGrp.AngJmp
Based on the current motor speed the next position of the resolver is calculated, if the position differs by more than a certain degree threshold from the calculated position then the Angle Jump diagnostic)start matures</t>
  </si>
  <si>
    <t>Diag T0 Gate Driver Param Download Completed must be true:
DiagT0.In.Ok_GateDrvParamDwnldCmplt = 1
AND
Diag T0 12 V must be true:
DiagT0.In.Ok_12V = 1
AND
Diag T0 Resolver Algo No Etpu must be true:
DiagT0.In.Ok_RslvrAlgoNoEtpu = 1
The condition DiagT0.In.Ok_GateDrvParamDwnldCmplt makes sure the the Gate Drive Circuit (GDIC) is programmed before running the diagnostics</t>
  </si>
  <si>
    <t>Diag Signal Difference between absolute angular difference counter and the position error limit counter. 
The Integral (DiagT0.PosnTrckngLssGrp_AngJmp.DiagSgnl) is the Result of the Difference between a signal (1) and a signal multiplied with sample time (2):
1) Proc_SpdPosnT0.AbsAngDiff_eCnt 
2) Signal (A) multiplied with sample time (B):
-A) Proc_SpdPosn.PosnErrLim_eCnt
-B) McswT0.FreqCalc.Tsk0TsDthrd
The Integral (DiagT0.PosnTrckngLssGrp_AngJmp.DiagSgnl) value must be greater than Fail Threshold calibration:
DiagT0.PosnTrckngLssGrp_AngJmp.DiagSgnl &gt;
K_Mcp_DiagT0.PosnTrckngLssGrp_AngJmp.FltSetThrsh
This diagnostics monitors the expected change in position signal. If the change in position signal is more than a calibratable value, diagnostic fails.
Expected change in position signal (Proc_SpdPosnT0.AbsAngDiff_eCn) is calculated from motor speed. 
Threshold (Proc_SpdPosnT0.Prvt.AngDiffFilt_eCnt) is calculated using below calibrations:
K_McpProc.PosnErrLim_DegLo  (Min Threshold in eDeg)
K_McpProc.Init.PosnErrLim_DegHi (Max Thresh in Deg)</t>
  </si>
  <si>
    <t xml:space="preserve">K_Mcp_DiagT0.PosnTrckngLssGrp_AngJmp.EnblTyp
</t>
  </si>
  <si>
    <t>T0 - 0.1ms</t>
  </si>
  <si>
    <t>No Dematuration- Latched</t>
  </si>
  <si>
    <t>642 - PosnTrckngLssGrp.AtoAngleErr
angle Jump diagnostics
The ATO absolute angle Error is higher than cal threshold</t>
  </si>
  <si>
    <t>The condition (ATO_ANGLE_ERR) that increments the Fail counter is:
Bit read (BIT 2) from:
IntrfcT0.SpdPosnLld.InRaw.Data.ResFaultStatus is one
This diagnostics indicate an error is BW LLD position sensor Angle Tracking Observer (ATO). If the error in resolver angle and ATO angle more than a threshold, this fault is set. The BW calibration threshold  is  K_GTM_INIT_RSVS_KErrThresh [deg]</t>
  </si>
  <si>
    <t>Counter is above Calibration Fail Value:
IntrfcT0.SpdPosnLld.Prvt.LOTFltFailSec &gt; K_McpDiag.PosnTrckngLssGrp.AtoAngleErr.LimFailSec</t>
  </si>
  <si>
    <t>K_McpDiag.PosnTrckngLssGrp.AtoAngleErr.EnblTyp</t>
  </si>
  <si>
    <t>The condition (ATO_ANGLE_ERR) that increments the Pass counter is:
Bit read (BIT 2) from:
IntrfcT0.SpdPosnLld.InRaw.Data.ResFaultStatus = 0</t>
  </si>
  <si>
    <t>Counter is above Calibration Pass Value:
IntrfcT0.SpdPosnLld.Prvt.LOTFltPassSec &gt; K_McpDiag.PosnTrckngLssGrp.AtoAngleErr.LimPassSec</t>
  </si>
  <si>
    <t>272C1D</t>
  </si>
  <si>
    <t>P272C-1D</t>
  </si>
  <si>
    <t>Park Pawl Motor - Circuit Current Out of Range</t>
  </si>
  <si>
    <t>86 - PPawlCurrentFlt
Park Pawl motor current fault</t>
  </si>
  <si>
    <t>Undervoltage of Park Pawl actuator supply
Park Pawl actuator circuit fault
Park Pawl actuator faulty
PIM Assembly faulty</t>
  </si>
  <si>
    <t>Check Park Pawl actuator for power supply 5v and repair if needed
Check Park Pawl actuator circuit for damaged wiring or not proper connection and repair/replace if needed
If fault is still present, replace Park Pawl actuator
If fault is still present, replace PIM Assembly</t>
  </si>
  <si>
    <t>RTE bit read (BIT 2)  from IntrfcT1.In.DTC_Bit_Register = 1.
There are 5 paths that can mature the fault:
Path 1.) VePPIR_b_PPawlMtrCrntRawLS_FA == 1
Path 2.) VePPDR_b_PPawlDsbldCurrFltLtch == 1
Path 3.) VePPDR_b_PPawlInRushCurrFltLtch == 1
Path 4.) VePPDR_b_PPawlChngInCurr_FltLtch == 1
Path 5.) VePPDR_b_CurrSnsrPerfmncFlt == 1
Path 1 starts maturation if:
1.) VsADCR_e_CnvnRes_PPAWL_MTR_CURRENT_SENSE_AI_VsADCR_e_CnvnRes &gt; KePPIR_I_MtrCrnt_UpperBound OR &lt; KePPIR_I_MtrCrnt_LowerBound
Path 2 starts maturation if:
1.) KePPDR_b_EnblPPawlDsblCurrentFlt == 1
AND
2.) 5V PPawl1 is not faulted (VeMcp_b_V5D_FA != 1)
AND
3.) Path 1 == 0
AND
4.) Park pawl is not being intentionally actuated (VePPCR_b_PPawlEnable != 1)
AND
5) VePPIR_I_PPawlMtrCrnt &gt; KePPDR_I_PPawlDsbldCurr
Path 3 starts maturation if:
1.)  KePPDR_b_EnblPPawlInRushCurrentFlt == 1
AND
2.) Park pawl is not initializing (VePPCR_e_PPawlRequest != 3/5/6)
AND
3.) Park pawl is being intentionally actuated (VePPCR_b_PPawlEnable == 1)
AND
4.) Path 1 == 0
AND
5.) 5V PPawl1 is not faulted (VeMcp_b_V5D_FA != 1)
AND
6.) VePPIR_I_PPawlMtrCrnt &gt;= KtPPDR_I_InRushCurr is not achieved within KePPDR_t_PPawlInRushCurrFltTmr
Path 4 starts maturation if:
1. KePPDR_b_EnblPPawlChngInCurrFlt == 1
AND
2.) Park pawl is being intentionally actuated (VePPCR_b_PPawlEnable == 1)
AND
3.) Position sensor fault (fault 84) is not present
AND
4.) 5V PPawl1 is not faulted (VeMcp_b_V5D_FA != 1)
AND
5.) Path 1 == 0
AND
6.) Park pawl is in specified portion of actuation cycle (VePPCR_Pct_PrcntOfTotlTime &lt; KePPDR_Pct_TotalTimeMax and &gt; KePPDR_Pct_TotalTimeMin)
AND
7.) Park pawl current is not changing sufficiently (abs(VePPIR_I_PPawlMtrCrnt - VePPIR_I_PPawlMtrCrnt z^-3) &lt;= KePPDR_I_PPawlChngInCurr)
Path 5 starts maturation if:
1. KePPDR_b_EnblPPawlCurrentPrfmncFlt == 1
AND
2.) Park pawl is being intentionally actuated (VePPCR_b_PPawlEnable == 1)
AND
3.) Park pawl actuator position sensor is sufficiently moving (abs(VePPCR_Cnt_PPawlTotalSnsrCnts - VePPCR_Cnt_PPawlTotalSnsrCnts z^-3) &gt; KePPDR_Cnt_ChngInCnt_Th)
AND
4.) 5V PPawl1 is not faulted (VeMcp_b_V5D_FA != 1)
AND
5.) Path 1 == 0
AND
6.) Park pawl is in specified portion of actuation cycle (VePPCR_Pct_PrcntOfTotlTime &lt; KePPDR_Pct_TotalTimeMax and &gt; KePPDR_Pct_TotalTimeMin)
AND
7.) Park pawl current is not in operating current range (VePPIR_I_PPawlMtrCrnt &gt;= KtPPDR_I_StallCurrent or &lt;= KePPDR_I_IdleCurr)</t>
  </si>
  <si>
    <t>Path 1 is matured if condition is present for:
X of Y calculation w/ X = KePPIR_Cnt_PPawlMtrCrnt_FA_FailCnt and Y =  KePPIR_Cnt_PPawlMtrCrnt_FA_PassCnt
Path 2 is matured if condition is present for:
KePPDR_t_PPawlDsblCurrFlt_FailTime (seconds)
Path 3 is matured if condition is present for:
KePPDR_t_PPawlInRushCurrFltTmr (see enable conditions for description
Path 4 is matured if condition is present for:
KePPDR_t_PPawlChngInCurr_FailTime
Path 5 is matured if condition is present for:
KePPDR_t_PPawlCurrFlt_FailTime</t>
  </si>
  <si>
    <t>K_McpDiag.PPawlCurrentFlt.EnblTyp</t>
  </si>
  <si>
    <t>Fault Flag from Low-level Driver
RTE bit read (BIT 2)  from
IntrfcT1.In.DTC_Bit_Register = 0</t>
  </si>
  <si>
    <t>Path 4 is de-matured if condition is present for:
KePPDR_t_PPawlChngInCurr_PassTime
Path 5 is de-matured if condition is present for:
KePPDR_t_PPawlCurrFlt_PassTime</t>
  </si>
  <si>
    <t>Apply EPB during park</t>
  </si>
  <si>
    <t>162562</t>
  </si>
  <si>
    <t>P1625-62</t>
  </si>
  <si>
    <t>Park Pawl - Signal Compare Failure</t>
  </si>
  <si>
    <t>49 - PpawlEPARKMntrGrp
/</t>
  </si>
  <si>
    <t>Inability to remove the gear shift from the park position</t>
  </si>
  <si>
    <t>Park Pawl actuator mechanism mechanical failure
PIM Assembly faulty</t>
  </si>
  <si>
    <t>Replace Park Pawl actuator
If fault is still present, replace PIM Assembly</t>
  </si>
  <si>
    <t>Apply EPB during park AND/OR inhibit shifter (open contactors/prevent shifting)</t>
  </si>
  <si>
    <t>818 - PpawlEPARKMntrGrp.Failure
 L2 ppawl failure DTC from GSMR (L2 ppawl ring)</t>
  </si>
  <si>
    <t>There are 5 paths that can mature the fault:
Path 1.) VeGSMC_b_LV2_PosSnsrFltDetcd == 1
Path 2.) VeGSMC_b_LV2_CrntSnsrFltDetcd == 1
Path 3.) VeGSMC_b_LV2_MSFltDetcd == 1
Path 4.) VeGSMC_b_SetDTC_VehMovDtctd == 1
Path 5.) VeGSMC_b_InValidPPawlMtrSt == 1
Path 1 starts maturation if:
1.) KeGSMR_b_PerfLV2PosSnsrFltDet == 1
AND
2.) No critical Lv1 fault is reported (VeGSMC_b_NoLV1FltRpt == 0)
AND
3.) Operating current (VeGSMR_b_OperatingCurrent) is sustained for KeGSMR_Cnt_OpCrntCntr4PosSnsrMov counts (VeGSMC_b_OperatingCurrentSustained == 1)
AND
4.) Lv1 actuator position fault (fault 84) is not present
AND
5.) No acuator position sensor movement has been detected since start of the actuation (VeGSMC_b_Lv2PosSnsrMovCnfrmd == 0)
Path 2 starts maturation if:
1.) KeGSMR_b_PerfLV2CrntSnsrFltDet == 1
AND
2.) No critical Lv1 fault is reported (VeGSMC_b_NoLV1FltRpt == 0)
AND
3.) Acuator position sensor movement has been detected since start of the actuation (VeGSMC_b_Lv2PosSnsrMovCnfrmd == 1)
AND
4.) Lv1 current sensor fault (fault 86) is not present
AND
5.) No current sensor movement has been detected since the start of the actuation cycle (VeGSMC_b_Lv2CrntSnsrMovCnfrmd == 0)
Path 3 starts maturation if:
1.) KeGSMR_b_PerfLV2MSFltDet == 1
AND
2.) No critical Lv1 fault is reported (VeGSMC_b_NoLV1FltRpt == 0)
AND
3.) Operating current (VeGSMR_b_OperatingCurrent) is sustained for KeGSMR_Cnt_OpCrntCntr4PosSnsrMov counts (VeGSMC_b_OperatingCurrentSustained == 1)
AND
4.) Lv1 actuator position fault (fault 84) is not present
AND
5.) Acuator position sensor movement has been detected since start of the actuation (VeGSMC_b_Lv2PosSnsrMovCnfrmd == 1)
AND
6.) Lv1 matching sensor faults (faults 92/93/94) are not present
AND
7.) No matching sensor movement has been detected since the start of the actuation cycle (VeGSMC_b_Lv2MSMovCnfrmd == 0)
Path 4 starts maturation if:
1. KeGSMR_b_EnblEPBApplyDet == 1
AND
2.) Vehicle is in park via Lv1 SW (VeGSMC_b_Lv1InPark == 1) and Lv2 SW (VeGSMI_b_DrvReqPark == 1)
AND
3.) Vehicle Speed &lt; KeGSMR_v_SpdThsh_EPBReq (VeGSMC_b_SpeedOkToEnblEPB == 1)
AND
4.) Lv2 system state detects engaged (VeGSMR_b_PPSt_Engaged == 1)
AND
5.) Wheel moves past VeGSMC_b_ApplyEPB_Dist meters (VeGSMC_b_ApplyEPB_VehMov == 1)
Path 5 starts maturation if:
1. Invalid engagement of park pawl is detected (VeGSMC_b_PPMtr_EngStValid == 1) which can be caused when the following conditions are present:
a.) VeGSMC_b_PPawlMtr_Eng == 1
AND
b.) VeGSMC_b_ToParkVehicleSpdMet == 0
OR
2.) Invalid disengagement of park pawl is detected (VeGSMC_b_PPMtr_DisEngStValid == 1) which can be caused when the following conditions are present:
a.) VeGSMC_b_PPawlMtr_DisEng == 1
AND
b.) VeGSMC_b_PPawlMtr_OK2DisEng == 0</t>
  </si>
  <si>
    <t>Path 1 is matured if condition is present for:
KeGSMR_t_MaxPosSnsrMntrTmr
Path 2 is matured if condition is present for:
KeGSMR_t_MaxCurrSnsrMntrTmr
Path 3 is matured if condition is present for:
KeGSMR_t_MaxMSMntrTmr
Path 4 is matured if condition is present for:
No maturation once condition is met
Path 5 is matured if condition is present for:
KeGSMR_Cnt_PPMtrSt_Undes_Inc for KeGSMR_Cnt_PPMtrSt_Undes_Limit (counts)</t>
  </si>
  <si>
    <t xml:space="preserve">K_McpDiag.PpawlEPARKMntrGrp.GSMR_Fail.EnblTyp
</t>
  </si>
  <si>
    <t>Crc Data Diag Failure Fault Status must be not Fault Set:
McpDiag.In.TrqSecur_CrcData_Diag_Failure_FltStatus =! FLT_SET</t>
  </si>
  <si>
    <t>Path 5 is de-matured if condition is present for:
Instantly</t>
  </si>
  <si>
    <t>162555</t>
  </si>
  <si>
    <t>P1625-55</t>
  </si>
  <si>
    <t>Park Pawl - Not Configured</t>
  </si>
  <si>
    <t>946 - PPawlMissingLrnCmplt
Park Lock/Pawl Actuator Missing Calibration</t>
  </si>
  <si>
    <t>Park pawl actuator stop positions not learned correctly</t>
  </si>
  <si>
    <t xml:space="preserve">Perform Park pawl actuator stop positions learning 
</t>
  </si>
  <si>
    <t>Fault Flag from Low-level Driver
RTE bit read (BIT 12)  from
IntrfcT1.In.DTC_Bit_Register = 1
this flag gets true if:
Park Pawl upper and lower threshold Learning  Not completed</t>
  </si>
  <si>
    <t>K_McpDiag.PPawlMissingLrnCmplt.EnblTyp</t>
  </si>
  <si>
    <t>Fault Flag from Low-level Driver
RTE bit read (BIT 12)  from
IntrfcT1.In.DTC_Bit_Register = 0</t>
  </si>
  <si>
    <t>27F692</t>
  </si>
  <si>
    <t>P27F6-92</t>
  </si>
  <si>
    <t>Park Pawl Position Sensor "C" - Performance or Incorrect Operation</t>
  </si>
  <si>
    <t>94 - PPawlMSPerf
Park Pawl Matching sensor  (engagement sensor) performance fault</t>
  </si>
  <si>
    <t>Park Pawl Matching sensor faulty
Pim assembly faulty</t>
  </si>
  <si>
    <t>Check Park Pawl actuator circuit for damaged wiring or not proper connection and repair/replace if needed
If fault is still present, replace Park Pawl actuator
If fault is still present, replace PIM Assembly</t>
  </si>
  <si>
    <t>RTE bit read (BIT 10)  from IntrfcT1.In.DTC_Bit_Register = 1.
There are 5 paths that can mature the fault:
Path 1.) VePPIR_b_MatchingSensorFA == 1
Path 2.) VePPDR_b_Dtrmng_MSNoChangeLtched == 1
Path 3.) VePPDR_b_Dtrmng_MS_FreqPerfRange == 1
Path 4.) MS_LostMagnet == 1
Path 5.) MS_Internal == 1
Path 1 starts maturation if:
1.) Matching sensor communication to MCP is interrupted (VePPIR_b_MatchingSensorFA which is set by LLD diagnostic VeDIOR_h_PwmInp_MATCHING_SENSOR_VeDIOR_b_PwmInp_TiOutSts == 1)
Path 2 starts maturation if:
1.) KePPDR_b_MSPerf_MSNoChangeEnbl == 1
AND
2.) Position sensor fault (fault 84) is not present
AND
3.) Park pawl actuator position has traveled moved from engaged to disengage threshold or vice versa within an intentional acutation cycle (VePPCR_Cnt_PPawlTotalSnsrCnts latches &gt;= KePPDR_Cnt_PawlMovRngMaxCnts and VePPCR_Cnt_PPawlTotalSnsrCnts latches &lt;= KePPDR_Cnt_PawlMovRngMinCnts)
AND
4.) Park pawl position (matching) sensor has not traveled enough within an engagement cycle (VePPDR_DC_CalcdMSTrvl &lt;= KePPDR_DC_MSMinCyclTrvl
Path 3 starts maturation if:
1.) Park pawl position (matching) sensor frequency is not within range (VePPIR_f_MatchingSensorFreq &lt; KePPDR_f_MSPerf_FreqLwrThrhd or VePPIR_f_MatchingSensorFreq &gt; KePPDR_f_MSPerf_FreqUprThrhd)
Path 4 starts maturation if:
1. Park pawl position (matching) sensor reports Lost Magnet smart fault (VePPIR_DC_MatchingSensor ~ KePPDR_DC_MS_LostMagnet_threshold)
Path 5 starts maturation if:
1. Park pawl position (matching) sensor reports Internal smart fault (VePPIR_DC_MatchingSensor ~ KePPDR_DC_MS_InternalFlt_threshold)</t>
  </si>
  <si>
    <t>All paths are matured if condition is present for:
X of Y calculation w/ X = KePPDR_Cnt_MSFlt_FailCnt and Y =  KePPDR_Cnt_MSFlt_PassCnt</t>
  </si>
  <si>
    <t>K_McpDiag.PPawlMSPerf.EnblTyp</t>
  </si>
  <si>
    <t>Fault Flag from Low-level Driver
RTE bit read (BIT 10)  from
IntrfcT1.In.DTC_Bit_Register = 0</t>
  </si>
  <si>
    <t>All paths are de-matured if condition is present for:
X of Y calculation w/ X = KePPDR_Cnt_MSFlt_FailCnt and Y =  KePPDR_Cnt_MSFlt_PassCnt</t>
  </si>
  <si>
    <t>27F612</t>
  </si>
  <si>
    <t>P27F6-12</t>
  </si>
  <si>
    <t>Park Pawl Position Sensor "C" - Circuit Short to Battery</t>
  </si>
  <si>
    <t>93 - PPawlMSSTB
Park Pawl Matching sensor  (engagement sensor) short to high</t>
  </si>
  <si>
    <t>Park Pawl Matching sensor circuit
Pim assembly faulty</t>
  </si>
  <si>
    <t>RTE bit read (BIT 9)  from
IntrfcT1.In.DTC_Bit_Register = 1
Fault starts maturation if:
1.) KePPDR_b_EnblMS_STB == 1
AND
2.) Park pawl position sensor is not reporting a smart fault (VePPIR_DC_MatchingSensor ~ KePPDR_DC_MS_LostMagnet_threshold or VePPIR_DC_MatchingSensor ~ KePPDR_DC_MS_InternalFlt_threshold)
AND
3.) Park pawl position sensor is shorted to battery (VePPIR_DC_MatchingSensor &gt;= KePPDR_DC_MS_STB_threshold)</t>
  </si>
  <si>
    <t>X of Y calculation w/ X = KePPDR_Cnt_MSFlt_FailCnt and Y =  KePPDR_Cnt_MSFlt_PassCnt</t>
  </si>
  <si>
    <t>K_McpDiag.PPawlMSSTB.EnblTyp</t>
  </si>
  <si>
    <t>Fault Flag from Low-level Driver
RTE bit read (BIT 9)  from
IntrfcT1.In.DTC_Bit_Register = 0</t>
  </si>
  <si>
    <t>27F611</t>
  </si>
  <si>
    <t>P27F6-11</t>
  </si>
  <si>
    <t>Park Pawl Position Sensor "C" - Circuit Short to Ground</t>
  </si>
  <si>
    <t>92 - PPawlMSSTG
Park Pawl Matching sensor  (engagement sensor) short to ground</t>
  </si>
  <si>
    <t>RTE bit read (BIT 8)  from
IntrfcT1.In.DTC_Bit_Register = 1
Fault starts maturation if:
1.) KePPDR_b_EnblMS_STG == 1
AND
2.) Park pawl position sensor is not reporting a smart fault (VePPIR_DC_MatchingSensor ~ KePPDR_DC_MS_LostMagnet_threshold or VePPIR_DC_MatchingSensor ~ KePPDR_DC_MS_InternalFlt_threshold)
AND
3.) Park pawl position sensor is shorted to ground (VePPIR_DC_MatchingSensor &lt;= KePPDR_DC_MS_STG_threshold)</t>
  </si>
  <si>
    <t>K_McpDiag.PPawlMSSTG.EnblTyp</t>
  </si>
  <si>
    <t>Fault Flag from Low-level Driver
RTE bit read (BIT 8)  from
IntrfcT1.In.DTC_Bit_Register = 0</t>
  </si>
  <si>
    <t>07B292</t>
  </si>
  <si>
    <t>P07B2-92</t>
  </si>
  <si>
    <t>Transmission Park Position Sensor/Switch "A" - Performance or Incorrect Operation</t>
  </si>
  <si>
    <t>84 - PPawlPosSnsrFltd
Park Pawl Motor position sensor fault
out of range, shorts circuits or rationality faulted</t>
  </si>
  <si>
    <t>Park Pawl Matching position sensor faulty
Pim assembly faulty</t>
  </si>
  <si>
    <t>RTE bit read (BIT 0)  from IntrfcT1.In.DTC_Bit_Register = 1.
There are 2 paths that can mature the fault:
Path 1.) VePPIR_b_PPawlMtrPosSnsrRawFA == 1
Path 2.) VePPDR_b_PosSnsrFlt_Ltchd == 1
Path 1 starts maturation if:
1.) Internal actuator position fault set by smart sensor or Low Level Driver (LLD) in MCP sets SENT communication / integrity fault (no signals are resolved to monitor these in SW)
Path 2 starts maturation if:
1.) KePPDR_b_EnblPosSnsrPerfmncFlt == 1
AND
2.) Park pawl is being intentionally actuated (VePPCR_b_PPawlEnable == 1)
AND
3.) Current sensor fault (fault 86) is not present
AND
4.) Park pawl is in specified portion of actuation cycle (VePPCR_Pct_PrcntOfTotlTime &lt;= KePPDR_Pct_TotalTimeMax and &gt;= KePPDR_Pct_TotalTimeMin).
AND
5.) Park pawl current is in operating current range (VePPIR_I_PPawlMtrCrnt &lt; KtPPDR_I_StallCurrent and &gt; KePPDR_I_IdleCurr)
AND
6.) Path 1 == 0
AND
7.) 5V PPawl1 is not faulted (VeMcp_b_V5D_FA != 1)
AND
8.) Park pawl actuator position sensor is not sufficiently moving (abs(VePPCR_Cnt_PPawlTotalSnsrCnts - VePPCR_Cnt_PPawlTotalSnsrCnts z^-3) &lt;= KePPDR_Cnt_ChngInCnt_Th)</t>
  </si>
  <si>
    <t>Path 1 is matured if condition is present for:
Supplier of actuator defines maturation for internal actuator smart position sensor fault, and LLD communication / integrity fault is matured within LLD SW.
Path 2 is matured if condition is present for:
KePPDR_t_PosSnsrFlt_SlowProf_FailTime (if VePPCR_e_PPawlFdbck == 1/3)
KePPDR_t_PosSnsrFlt_FailTime (for all other cases)</t>
  </si>
  <si>
    <t>K_McpDiag.PPawlPosSnsrFltd.EnblTyp</t>
  </si>
  <si>
    <t>Fault Flag from Low-level Driver
RTE bit read (BIT 0)  from
IntrfcT1.In.DTC_Bit_Register = 0</t>
  </si>
  <si>
    <t>272C71</t>
  </si>
  <si>
    <t>P272C-71</t>
  </si>
  <si>
    <t>Park Pawl Motor - Actuator Stuck</t>
  </si>
  <si>
    <t>85 - PPawlStuckFlt
Park Pawl 
Stuck in range</t>
  </si>
  <si>
    <t>Park Pawl mechanical block
Pim assembly faulty</t>
  </si>
  <si>
    <t>Check Park Pawl actuator circuit for damaged wiring or not proper connection and repair/replace if needed
Check Park Pawl actuator for obstructions and repair it
If fault is still present, replace Park Pawl actuator
If fault is still present, replace PIM Assembly</t>
  </si>
  <si>
    <t>RTE bit read (BIT 7)  from
IntrfcT1.In.DTC_Bit_Register = 1
Fault starts maturation if:
1.) KePPDR_b_EnblPPawlStuckFlt == 1
AND
2.) HBridge faults (faults 88/89/91) are not present
AND
3.) 5V PPawl1 is not faulted (VeMcp_b_V5D_FA != 1)
AND
4.) Park Pawl actuator gets stuck and cannot reach target position (VePPCR_b_PPawlStuckFltSet == 1) which can occur in two scenarios with different maturation times:
a.) i) Park pawl actuator current is high (VePPIR_I_PPawlMtrCrnt &gt; KePPCR_I_HighFltCurr) AND ii) Actuator position is not changing (abs(VePPCR_Cnt_PPawlTotalSnsrCnts - VePPCR_Cnt_PPawlTotalSnsrCnts z^-3) &lt;= KePPCR_Cnt_ChngInCnt_Th) AND iii) Actuator position sensor (fault 84) is not faulted AND iv) Current sensor fault (fault 86) is not present
b.) Conditions of '4a' above are not all satisfied</t>
  </si>
  <si>
    <t xml:space="preserve">
For '4a' condition:
When initializing: VePPCR_t_InitTmr &gt;= KePPCR_t_InitStckTmr
When Engaging: VePPCR_t_EngTmr &gt;= KePPCR_t_EngStckTmr
When  ZeroRefLrn / Disengaging: VePPCR_t_DisEngTmr &gt;= KePPCR_t_DisEngStckTmr
For '4b' condition:
When initializing: VePPCR_t_InitTmr &gt;= KePPCR_t_InitTmr
When Engaging:  VePPCR_t_EngTmr &gt;= KePPCR_t_EngTmr
When ZeroRefLrn: VePPCR_t_DisEngTmr &gt;= KePPCR_t_DisEngTmr_SegOne
When Disengaging: VePPCR_t_DisEngTmr &gt;= KePPCR_t_DisEngTmr</t>
  </si>
  <si>
    <t>K_McpDiag.PPawlStuckFlt.EnblTyp</t>
  </si>
  <si>
    <t>Fault Flag from Low-level Driver
RTE bit read (BIT 7)  from
IntrfcT1.In.DTC_Bit_Register = 0</t>
  </si>
  <si>
    <t>Apply EPB during park and inhibit shifter (open contactors/prevent shifting)</t>
  </si>
  <si>
    <t>272C94</t>
  </si>
  <si>
    <t>P272C-94</t>
  </si>
  <si>
    <t>Park Pawl Motor - Unexpected Operation</t>
  </si>
  <si>
    <t>87 - PPawlUnauthMove
Park Pawl  unintended movement detected</t>
  </si>
  <si>
    <t xml:space="preserve">RTE bit read (BIT 1)  from IntrfcT1.In.DTC_Bit_Register = 1.
There are 4 paths that can mature the fault:
Path 1.) VePPDR_b_ApplyEPB_Ltched == 1
Path 2.) VePPDR_b_ParkWithSpd_Ltched == 1
Path 3.) VePPDR_b_Broken_Pawl_Ltched == 1
Path 4.) VePPDR_b_UnauthorizeMove_Ltched == 1
Path 1 starts maturation if:
1.) KePPCR_b_EPB_Enbl_VehMovAtP == 1
AND
2.) Vehicle is not in freewheeling mode (VePPCR_b_DisablePP_Increep == 1) OR KePPCR_b_EnblVehMovAtPInPlant == 1
AND
3.) Vehicle is in park (VePPCI_e_VldtdTransShiftRngStAftrOvrd == 1 OR VePPCC_b_EngCntsRchd == 1 OR (KePPCR_b_EnblEngCnts_EPBDispFunc == 1 AND VePPCC_b_EngagedBasedOnCounts == 1))
AND
4.) Excessive vehicle rollback occurs (VePPCC_l_WheelDist &gt;= KePPCR_l_DistMoved)
Path 2 starts maturation if:
1.) KePPDR_b_EnblEPB_AtParkWithHiSpd == 1
AND
2.) KePPDR_b_EnblPPawlDTC_WithHiSpd == 1
AND
3.) Vehicle is in park or illegal state (TransShiftRngSt (no exact resolved signal) == 1 or 29)
AND
4.) Vehicle Speed is too high (VehicleSpeedVSOSig (no exact resolved signal) &gt;= KePPDR_v_ParkSpdThreshold)
Path 3 starts maturation if:
1.) Pawl is detected as broken (VePPCR_b_Broken_Pawl == 1) which can occur if the following scenarios are true:
a.) KePPCR_b_Enbl_MS == 1
AND
b.) Actuator position sensor fault (fault 84) is not present
AND
c.) Matching sensor faults (faults 92/93/94) are not present
AND
d.) Actuator position has reached target (VePPCC_b_TargetRchd == 1)
AND
e.) Matching sensor is not engaged or tooth butt (VePPCC_b_MSTargetRchd_ENG == 0 and tooth butt (no signal resolved in SW) == 0)
Path 4 starts maturation if:
1.) KePPDR_b_EnblPPUnauthorizedMove == 1
AND
2.) Actuator is not being intentionally actuated (VePPCR_b_PPawlEnable ==0)
AND
3.) Park pawl state is not in specific states in which not to monitor for this path (VePPDR_b_Inertia_States == 1 and VePPCR_b_PPEntrySt == 0)
AND
4.) Actuator position is within specified range (KePPDR_Cnt_DisengMaxBrokenLinkTh &lt;= VePPCR_Cnt_PPawlTotalSnsrCnts &lt;= KePPDR_Cnt_DisengMinBrokenLinkTh)
AND
5.) Final actuator position after actuation moves past specificed number of counts (VePPDR_Cnt_TSCUnAuthoMove &gt;= VePPDR_Cnt_TSCUnAuthoMove + KePPDR_Cnt_UnauthorizeMove or VePPDR_Cnt_TSCUnAuthoMove &lt;= VePPDR_Cnt_TSCUnAuthoMove - KePPDR_Cnt_UnauthorizeMove)  </t>
  </si>
  <si>
    <t>Path 1 is matured if condition is present for:
No maturation once condition is met
Path 2 is matured if condition is present for:
Condition 4 has maturation of KePPDR_Cnt_AtParkSpdHi_EPBDbnc
Overall fault of path 2 has maturation of KePPDR_Cnt_AtParkSpdHi_PPawlSysFltDbnc
Path 3 is matured if condition is present for:
No maturation once condition is met
Path 4 is matured if condition is present for:
No maturation once condition is met but the condition doesn't begin monitoring until KePPDR_t_PPawlMtrDsbldTmr after intended actuation ends</t>
  </si>
  <si>
    <t>K_McpDiag.PPawlUnauthMove.EnblTyp</t>
  </si>
  <si>
    <t>Fault Flag from Low-level Driver
RTE bit read (BIT 1)  from
IntrfcT1.In.DTC_Bit_Register = 0</t>
  </si>
  <si>
    <t>Path 1 is de-matured if condition is present for:
Instantly
Path 2 is de-matured if condition is present for:
Instantly</t>
  </si>
  <si>
    <t>272C4B</t>
  </si>
  <si>
    <t>P272C-4B</t>
  </si>
  <si>
    <t>Park Pawl Motor - Over Temperature</t>
  </si>
  <si>
    <t>88 - PPawlHbrirdgeOvrTmpCurrLmt
Park Pawl H bridge overtemperature Current Limit faut</t>
  </si>
  <si>
    <t>Park Pawl-EDM Control Board wiring issue
Park Pawl electrical fault or mechanical blockage
Park Pawl actuator faulty
PIM Assembly faulty</t>
  </si>
  <si>
    <t>RTE bit read (BIT 3)  from
IntrfcT1.In.DTC_Bit_Register = 1
Fault starts maturation if:
1.) KePPDR_b_Enbl_HBridgeFlts == 1
AND
2.) 5V PPawl1 is not faulted (VeMcp_b_V5D_FA != 1)
AND
3.) LLD sets over temperature or over current limiting diagnostic (VePPIR_e_PPawlHBridge_Diag == 8 or ADTEnum_TePPCR_e_PPawlHBridge_Diag == 23)</t>
  </si>
  <si>
    <t>KePPDR_Cnt_HBridgeShrtOvrLoad_Dbnc (counts)</t>
  </si>
  <si>
    <t>K_McpDiag.PPawlHbridgeOvrTmpCurrLmt.EnblTyp</t>
  </si>
  <si>
    <t>Fault Flag from Low-level Driver
RTE bit read (BIT 4)  from
IntrfcT1.In.DTC_Bit_Register = 0</t>
  </si>
  <si>
    <t>272C13</t>
  </si>
  <si>
    <t>P272C-13</t>
  </si>
  <si>
    <t>Park Pawl Motor - Circuit Open</t>
  </si>
  <si>
    <t>89 - PPawlHbridgeGrp
/</t>
  </si>
  <si>
    <t>Park Pawl-EDM Control Board wiring issue
Park Pawl actuator faulty
PIM Assembly faulty</t>
  </si>
  <si>
    <t>Not Found - Not Found</t>
  </si>
  <si>
    <t>469 - ROLAbortReason
Resolver offset learn abort reason</t>
  </si>
  <si>
    <t>missing DTC</t>
  </si>
  <si>
    <t>22V Supply Safety 1 Signal is between Upper and Lower Threshold:
K_McpDiag.CalAddnl.OK_24V_OvrThrsh
Intrfc.Hw.InRaw.Sply22vSfty1Sgnl &gt; K_McpDiag.CalAddnl.OK_24V_UndrThrsh 
AND
5V Supply Voltage A is between Upper and Lower Threshold:
K_McpDiag.CalAddnl.Ok_5VA_OvrThrsh &gt; Intrfc.Hw.InRaw.Sply5vASgnl &gt; K_McpDiag.CalAddnl.Ok_5VA_UndrThrsh</t>
  </si>
  <si>
    <t>Motor ROL Status value must be greater than Fail Threshold calibration:
Intrfc.Out.MtrROLStatus &gt; K_McpDiag.ROLAbortReason.FltSetThrsh</t>
  </si>
  <si>
    <t>K_McpDiag.ROLAbortReason.EnblTyp</t>
  </si>
  <si>
    <t>Motor ROL Status value must be smaller or equal than Fail Threshold calibration:
Intrfc.Out.MtrROLStatus  &lt;= K_McpDiag.ROLAbortReason.FltSetThrsh</t>
  </si>
  <si>
    <t>0A90A3</t>
  </si>
  <si>
    <t>P0A90-A3</t>
  </si>
  <si>
    <t>Drive Motor "A" - System Voltage High</t>
  </si>
  <si>
    <t>39 - Sply12vRngHiGrp
12V supply voltage  high group</t>
  </si>
  <si>
    <t xml:space="preserve">Lack of power
</t>
  </si>
  <si>
    <t>DCDC Converter 12V faulty.
Controlboard faulty</t>
  </si>
  <si>
    <t>Check if 12V Supply is in the correct range. If is it higher than the maxim valure, replace 
DCDC Converter.
If voltage is in the proper range replace Controlboard</t>
  </si>
  <si>
    <t>589 - Sply12vRngHiGrp.Vbatt1_OvrThrshMtrn
minimum of 12V battery voltage 1 and 2 higher than threshold</t>
  </si>
  <si>
    <t>12V Supply Battery Signal value greater than Fail Threshold calibration:
Intrfc.Hw.InRaw.Sply12vBatSgnl &gt; K_McpDiag.Sply12vRngHiGrp.Vbatt1_OvrThrshMtrn.FltSetThrsh</t>
  </si>
  <si>
    <t>K_McpDiag.Sply12vRngHiGrp.Vbatt1_OvrThrshMtrn.LimFailSec</t>
  </si>
  <si>
    <t>K_McpDiag.Sply12vRngHiGrp.Vbatt1_OvrThrshMtrn.EnblTyp</t>
  </si>
  <si>
    <t>12V Supply Battery Signal value must be below or equal to the Pass Threshold: 
Intrfc.Hw.InRaw.Sply12vBatSgnl &lt;=K_McpDiag.Sply12vRngHiGrp.Vbatt1_OvrThrshMtrn.FltHyst</t>
  </si>
  <si>
    <t>K_McpDiag.Sply12vRngHiGrp.Vbatt1_OvrThrshMtrn.LimPassSec</t>
  </si>
  <si>
    <t>623 - Sply12vRngHiGrp.Vbatt1_RngHi
12V battery voltage 1 short High</t>
  </si>
  <si>
    <t xml:space="preserve">
Supply 12 V Rng Hi Validity is Invalid:
The signal  representing the validity  of the high voltage range for the supply voltage of 12V  is equal to the constant value SGNL_INVALID :
Intrfc.Hw.InRaw.eSply12vRngHiVldty == SGNL_INVALID
this flag gets Invalid if
Intrfc.Hw.InRaw.Sply12vBatSgnl &gt; K_McpIntrfc.HwCal.Sply12vBatSgnlOvrCal.FltSetThrsh</t>
  </si>
  <si>
    <t>K_McpIntrfc.HwCal.Sply12vBatSgnlOvrCal.LimFailSec</t>
  </si>
  <si>
    <t>K_McpDiag.Sply12vRngHiGrp.Vbatt1_RngHi.EnblTyp</t>
  </si>
  <si>
    <t xml:space="preserve">
Supply 12 V Rng Hi Validity is not Invalid:
Intrfc.Hw.InRaw.eSply12vRngHiVldty != SGNL_INVALID</t>
  </si>
  <si>
    <t>K_McpIntrfc.HwCal.Sply12vBatSgnlOvrCal.LimPassSec</t>
  </si>
  <si>
    <t>Contactors open (only when both VBATT's are faulted)</t>
  </si>
  <si>
    <t>591 - Sply12vRngHiGrp.Vbatt2_OvrThrshMtrn
12V battery voltage 2 higher than threshold</t>
  </si>
  <si>
    <t>Supply Battery 2 Signal value greater than Fail Threshold calibration:
Intrfc.Hw.InRaw.SplyBat2Sgnl &gt; K_McpDiag.Sply12vRngHiGrp.Vbatt2_OvrThrshMtrn.FltSetThrsh</t>
  </si>
  <si>
    <t>K_McpDiag.Sply12vRngHiGrp.Vbatt2_OvrThrshMtrn.LimFailSec</t>
  </si>
  <si>
    <t>K_McpDiag.Sply12vRngHiGrp.Vbatt2_OvrThrshMtrn.EnblTyp</t>
  </si>
  <si>
    <t>Supply Battery 2 Signal value must be below or equal to the Pass Threshold: 
Intrfc.Hw.InRaw.SplyBat2Sgnl &lt;=K_McpDiag.Sply12vRngHiGrp.Vbatt2_OvrThrshMtrn.FltHyst</t>
  </si>
  <si>
    <t>K_McpDiag.Sply12vRngHiGrp.Vbatt2_OvrThrshMtrn.LimPassSec</t>
  </si>
  <si>
    <t>625 - Sply12vRngHiGrp.Vbatt2_RngHi
12V battery voltage 2 short High</t>
  </si>
  <si>
    <t>Supply Bat 2 Rng Hi Validity is Invalid:
the signal representing the validity of the high voltage range for the second battery supply is equal to the constant value SGNL_INVALID :
Intrfc.Hw.InRaw.eSplyBat2RngHiVldty == SGNL_INVALID
this flag gets Invalid if
Intrfc.Hw.InRaw.SplyBat2Sgnl &gt; K_McpIntrfc.HwCal.SplyBat2SgnlOvrCal.FltSetThrsh</t>
  </si>
  <si>
    <t>K_McpIntrfc.HwCal.SplyBat2SgnlOvrCal.LimFailSec</t>
  </si>
  <si>
    <t>K_McpDiag.Sply12vRngHiGrp.Vbatt2_RngHi
.EnblTyp</t>
  </si>
  <si>
    <t>Supply Bat 2 Rng Hi Validity is not Invalid:
Intrfc.Hw.InRaw.eSplyBat2RngHiVldty != SGNL_INVALID</t>
  </si>
  <si>
    <t>K_McpIntrfc.HwCal.SplyBat2SgnlOvrCal.LimPassSec</t>
  </si>
  <si>
    <t>871 - Sply12vRngHiGrp.VbattCmbnd_OvrThrshMtrn
min of both Vbatts used for Ovr Thrsh</t>
  </si>
  <si>
    <t>Min Supply Battery 12V signal value and Supply Battery 2V Signal Value greater than Fail Threshold calibration:
Min(IntrfcT2.In.Sply12vBatSgnl,IntrfcT1.In.SplyBat2Sgnl) &gt; K_McpDiag.Sply12vRngHiGrp.VbattCmbnd_OvrThrshMtrn.FltSetThrsh</t>
  </si>
  <si>
    <t>K_McpDiag.Sply12vRngHiGrp.VbattCmbnd_OvrThrshMtrn.LimFailSec</t>
  </si>
  <si>
    <t>K_McpDiag.Sply12vRngHiGrp.VbattCmbnd_OvrThrshMtrn
.EnblTyp</t>
  </si>
  <si>
    <t>Min Supply Battery 12V signal value and Supply Battery 2V Signal Value must be below or equal to the Pass Threshold:
Min(IntrfcT2.In.Sply12vBatSgnl,IntrfcT1.In.SplyBat2Sgnl) &lt;= K_McpDiag.Sply12vRngHiGrp.VbattCmbnd_OvrThrshMtrn.FltHyst</t>
  </si>
  <si>
    <t>K_McpDiag.Sply12vRngHiGrp.VbattCmbnd_OvrThrshMtrn.LimPassSec</t>
  </si>
  <si>
    <t>869 - Sply12vRngHiGrp.VbattCmbnd_RngHi
12V battery voltage1 and 2 short high</t>
  </si>
  <si>
    <t>// mistake in SW implementation, need to correct, logic will be updated later
Supply 12V Rng Hi Validity is Invalid:
Intrfc.Hw.InRaw.eSply12vRngHiVldty == SGNL_INVALID
and
Supply 12V Rng Lo Validity is Invalid:
Intrfc.Hw.InRaw.eSply12vRngLoVldty ==  SGNL_INVALID</t>
  </si>
  <si>
    <t>K_McpDiag.Sply12vRngHiGrp.VbattCmbnd_RngHi.EnblTyp</t>
  </si>
  <si>
    <t>Supply 12V Rng Hi Validity is not Invalid:
Intrfc.Hw.InRaw.eSply12vRngHiVldty != SGNL_INVALID
and
Supply 12V Rng Lo Validity is not Invalid:
Intrfc.Hw.InRaw.eSply12vRngLoVldty !=  SGNL_INVALID</t>
  </si>
  <si>
    <t>0A90A2</t>
  </si>
  <si>
    <t>P0A90-A2</t>
  </si>
  <si>
    <t>Drive Motor "A" - System Voltage Low</t>
  </si>
  <si>
    <t>38 - Sply12vRngLoGrp
12V supply voltage  low group</t>
  </si>
  <si>
    <t>Lack of power</t>
  </si>
  <si>
    <t>Wiring from 12V Supply to EDM Control Board
12V Battery aged or damaged
Fuses
DCDC Converter 12V faulty</t>
  </si>
  <si>
    <t>Chech Wiring from 12V Supply to EDM Control Board for low voltage harness and ground connection
Check if 12V Battery is in the correct range. If is it lower than the minimum value, replace 12V battery
Check PDC for melt fuses and replace if needed
If fault is still present, replace DCDC Converter</t>
  </si>
  <si>
    <t>622 - Sply12vRngLoGrp.Vbatt1_RngLo
12V battery voltage 1 short low</t>
  </si>
  <si>
    <t>Supply 12 V Rng Lo Validity is Invalid:
The signal  representing the validity  of the Low voltage range for the supply voltage of 12V  is equal to the constant value SGNL_INVALID :
Intrfc.Hw.InRaw.eSply12vRngLoVldty == SGNL_INVALID
this flag gets Invalid if
Intrfc.Hw.InRaw.Sply12vBatSgnl &lt; K_McpIntrfc.HwCal.Sply12vBatSgnlUndrCal.FltSetThrsh</t>
  </si>
  <si>
    <t>K_McpIntrfc.HwCal.Sply12vBatSgnlUndrCal.LimFailSec</t>
  </si>
  <si>
    <t>K_McpDiag.Sply12vRngLoGrp.Vbatt1_RngLo
.EnblTyp</t>
  </si>
  <si>
    <t>Supply 12 V Rng Lo Validity is not Invalid:
Intrfc.Hw.InRaw.eSply12vRngLoVldty != SGNL_INVALID</t>
  </si>
  <si>
    <t>588 - Sply12vRngLoGrp.Vbatt1_UndrThrshMtrn
maximum of 12V battery voltage 1 and 2 lower than threshold</t>
  </si>
  <si>
    <t>12V Supply Battery Signal value smaller than Fail Threshold calibration:
Intrfc.Hw.InRaw.Sply12vBatSgnl &lt; K_McpDiag.Sply12vRngLoGrp.Vbatt1_UndrThrshMtrn.FltSetThrsh</t>
  </si>
  <si>
    <t>K_McpDiag.Sply12vRngLoGrp.Vbatt1_UndrThrshMtrn.LimFailSec</t>
  </si>
  <si>
    <t>K_McpDiag.Sply12vRngLoGrp.Vbatt1_UndrThrshMtrn.EnblTyp</t>
  </si>
  <si>
    <t>12V Supply Battery Signal value must be above or equal to the Pass Threshold:
Intrfc.Hw.InRaw.Sply12vBatSgnl &gt;= K_McpDiag.Sply12vRngLoGrp.Vbatt1_UndrThrshMtrn.FltHyst</t>
  </si>
  <si>
    <t>K_McpDiag.Sply12vRngLoGrp.Vbatt1_UndrThrshMtrn.LimPassSec</t>
  </si>
  <si>
    <t>624 - Sply12vRngLoGrp.Vbatt2_RngLo
12V battery voltage 2 short low</t>
  </si>
  <si>
    <t>Supply Bat 2 Rng Lo Validity is Invalid:
the signal representing the validity of the Low voltage range for the second battery supply is equal to the constant value
Intrfc.Hw.InRaw.eSplyBat2RngLoVldty == SGNL_INVALID
this flag gets Invalid if
Intrfc.Hw.InRaw.SplyBat2Sgnl &lt; K_McpIntrfc.HwCal.SplyBat2SgnlUndrCal.FltSetThrsh</t>
  </si>
  <si>
    <t>K_McpIntrfc.HwCal.SplyBat2SgnlUndrCal.LimFailSec</t>
  </si>
  <si>
    <t>K_McpDiag.Sply12vRngLoGrp.Vbatt2_RngLo.EnblTyp</t>
  </si>
  <si>
    <t>Supply Bat 2 Rng Lo Validity is not Invalid:
Intrfc.Hw.InRaw.eSplyBat2RngLoVldty != SGNL_INVALID</t>
  </si>
  <si>
    <t>K_McpIntrfc.HwCal.SplyBat2SgnlUndrCal.LimPassSec</t>
  </si>
  <si>
    <t>590 - Sply12vRngLoGrp.Vbatt2_UndrThrshMtrn
12V battery voltage 2 lower than thrshold</t>
  </si>
  <si>
    <t>Supply Battery 2 Signal value smaller than Fail Threshold calibration:
Intrfc.Hw.InRaw.SplyBat2Sgnl &lt; K_McpDiag.Sply12vRngLoGrp.Vbatt2_UndrThrshMtrn.FltSetThrsh</t>
  </si>
  <si>
    <t>K_McpDiag.Sply12vRngLoGrp.Vbatt2_UndrThrshMtrn.LimFailSec</t>
  </si>
  <si>
    <t>K_McpDiag.Sply12vRngLoGrp.Vbatt2_UndrThrshMtrn.EnblTyp</t>
  </si>
  <si>
    <t>Supply Battery 2 Signal value must be above or equal to the Pass Threshold:
Intrfc.Hw.InRaw.SplyBat2Sgnl &gt;= K_McpDiag.Sply12vRngLoGrp.Vbatt2_UndrThrshMtrn.FltHyst</t>
  </si>
  <si>
    <t>K_McpDiag.Sply12vRngLoGrp.Vbatt2_UndrThrshMtrn.LimPassSec</t>
  </si>
  <si>
    <t>868 - Sply12vRngLoGrp.VbattCmbnd_RngLo
12V battery voltage1 and 2 short ground</t>
  </si>
  <si>
    <t>K_McpDiag.Sply12vRngLoGrp.VbattCmbnd_RngLo.EnblTyp</t>
  </si>
  <si>
    <t>Supply 12V Rng Hi Validity is not Invalid:
Intrfc.Hw.InRaw.eSply12vRngHiVldty != SGNL_INVALID
or
Supply 12V Rng Lo Validity is not Invalid:
Intrfc.Hw.InRaw.eSply12vRngLoVldty !=  SGNL_INVALID</t>
  </si>
  <si>
    <t>870 - Sply12vRngLoGrp.VbattCmbnd_UndrThrshMtrn
max of both Vbatts used for Undr Thrsh</t>
  </si>
  <si>
    <t>Max Supply Battery 12V signal value and Supply Battery 2V Signal Value smaller than Fail Threshold calibration:
Max(IntrfcT2.In.Sply12vBatSgnl,IntrfcT1.In.SplyBat2Sgnl) &lt; K_McpDiag.Sply12vRngLoGrp.VbattCmbnd_UndrThrshMtrn.FltSetThrsh</t>
  </si>
  <si>
    <t>K_McpDiag.Sply12vRngLoGrp.VbattCmbnd_UndrThrshMtrn.LimFailSec</t>
  </si>
  <si>
    <t>Max Supply Battery 12V signal value and Supply Battery 2V Signal Value must be above or equal to the Pass Threshold:
Max(IntrfcT2.In.Sply12vBatSgnl,IntrfcT1.In.SplyBat2Sgnl) &gt;= K_McpDiag.Sply12vRngLoGrp.VbattCmbnd_UndrThrshMtrn.FltHyst</t>
  </si>
  <si>
    <t>K_McpDiag.Sply12vRngLoGrp.VbattCmbnd_UndrThrshMtrn.LimPassSec</t>
  </si>
  <si>
    <t>1C9012</t>
  </si>
  <si>
    <t>P1C90-12</t>
  </si>
  <si>
    <t>Power Supply 2 - Circuit Short to Battery</t>
  </si>
  <si>
    <t>51 - SplyEmrgcyRngHiGrp
30V flyback emergency power supply High group</t>
  </si>
  <si>
    <t xml:space="preserve">EDM Inverter voltage stabilizer damaged
PIM Assembly
</t>
  </si>
  <si>
    <t>573 - SplyEmrgcyRngHiGrp.Sply30VEPS_OvrThrshMtrn
30V flyback emergency power supply voltage higher than threshold</t>
  </si>
  <si>
    <t>Filtered DC Voltage value greater than Fail Threshold calibration: 
Proc_Temp.In.FiltVdc &gt; K_McpDiag.CalAddnl.FiltVdc_Thrsh</t>
  </si>
  <si>
    <t>24V Supply Fly Back Gt Drive Board Voltage Signal value greater than Fail Threshold calibration:
Intrfc.Hw.InRaw.Sply24vFlyBckGtDrvBrdSgnl &gt; K_McpDiag.SplyEmrgcyRngHiGrp.Sply30VEPS_OvrThrshMtrn.FltSetThrsh</t>
  </si>
  <si>
    <t>K_McpDiag.SplyEmrgcyRngHiGrp.Sply30VEPS_OvrThrshMtrn.LimFailSec</t>
  </si>
  <si>
    <t>K_McpDiag.SplyEmrgcyRngHiGrp.Sply30VEPS_OvrThrshMtrn.EnblTyp</t>
  </si>
  <si>
    <t xml:space="preserve">24V Supply Fly Back Gt Drive Board Voltage Signal value must be below or equal to the Pass Threshold: 
Intrfc.Hw.InRaw.Sply24vFlyBckGtDrvBrdSgnl &lt;= K_McpDiag.SplyEmrgcyRngHiGrp.Sply30VEPS_OvrThrshMtrn.FltHyst
 </t>
  </si>
  <si>
    <t>K_McpDiag.SplyEmrgcyRngHiGrp.Sply30VEPS_OvrThrshMtrn.LimPassSec</t>
  </si>
  <si>
    <t>607 - SplyEmrgcyRngHiGrp.Sply30VEPS_RngHi
30V flyback emergency power supply voltage short high</t>
  </si>
  <si>
    <t>24V Supply Fly Back Gt Drive Board Voltage Hi Signal Validity is Invalid:
Intrfc.Hw.InRaw.eSply24vFlyBckGtDrvBrdSgnlHiVldty == SGNL_INVALID
this flag gets Invalid if
Intrfc.Hw.InRaw.Sply24vFlyBckGtDrvBrdSgnl &gt; K_McpIntrfc.HwCal.Sply24vFlyBckGtDrvBrdSgnlOvrCal.FltSetThrsh</t>
  </si>
  <si>
    <t>K_McpIntrfc.HwCal.Sply24vFlyBckGtDrvBrdSgnlOvrCal.LimFailSec</t>
  </si>
  <si>
    <t xml:space="preserve">K_McpDiag.SplyEmrgcyRngHiGrp.Sply30VEPS_RngHi.EnblTyp
</t>
  </si>
  <si>
    <t>24V Supply Fly Back Gt Drive Board Voltage Hi Signal Validity is not Invalid:
Intrfc.Hw.InRaw.eSply24vFlyBckGtDrvBrdSgnlHiVldty != SGNL_INVALID</t>
  </si>
  <si>
    <t>K_McpIntrfc.HwCal.Sply24vFlyBckGtDrvBrdSgnlOvrCal.LimPassSec</t>
  </si>
  <si>
    <t>1C9011</t>
  </si>
  <si>
    <t>P1C90-11</t>
  </si>
  <si>
    <t>Power Supply 2 - Circuit Short to Ground</t>
  </si>
  <si>
    <t>50 - SplyEmrgcyRngLoGrp
30V flyback emergency power supply low group</t>
  </si>
  <si>
    <t>606 - SplyEmrgcyRngLoGrp.Sply30VEPS_RngLo
30V flyback emergency power supply voltage short ground</t>
  </si>
  <si>
    <t xml:space="preserve">
Filtered DC Voltage value greater than Fail Threshold calibration: 
Proc_Temp.In.FiltVdc &gt; K_McpDiag.CalAddnl.FiltVdc_Thrsh</t>
  </si>
  <si>
    <t xml:space="preserve">
24V Supply Fly Back Gt Drive Board Voltage Signal Lo Validity is Invalid:
Intrfc.Hw.InRaw.eSply24vFlyBckGtDrvBrdSgnlLoVldty == SGNL_INVALID
this flag gets Invalid if
Intrfc.Hw.InRaw.Sply24vFlyBckGtDrvBrdSgnl &lt; K_McpIntrfc.HwCal.Sply24vFlyBckGtDrvBrdSgnlUndrCal.FltSetThrsh</t>
  </si>
  <si>
    <t>K_McpIntrfc.HwCal.Sply24vFlyBckGtDrvBrdSgnlUndrCal.LimFailSec</t>
  </si>
  <si>
    <t>K_McpDiag.SplyEmrgcyRngLoGrp.Sply30VEPS_RngLo.EnblTyp</t>
  </si>
  <si>
    <t xml:space="preserve">
24V Supply Fly Back Gt Drive Board Voltage Signal Lo Validity is not Invalid:
Intrfc.Hw.InRaw.eSply24vFlyBckGtDrvBrdSgnlLoVldty != SGNL_INVALID</t>
  </si>
  <si>
    <t>K_McpIntrfc.HwCal.Sply24vFlyBckGtDrvBrdSgnlUndrCal.LimPassSec</t>
  </si>
  <si>
    <t>572 - SplyEmrgcyRngLoGrp.Sply30VEPS_UndrThrshMtrn
30V flyback emergency power supply voltage lower than threshold</t>
  </si>
  <si>
    <t xml:space="preserve">
Filtered DC Voltage value greater than Fail Threshold calibration: 
Proc_Temp.In.FiltVdc&gt; K_McpDiag.CalAddnl.FiltVdc_Thrsh</t>
  </si>
  <si>
    <t>24V Supply Fly Back Gt Drive Board Voltage Signal value smaller than Fail Threshold calibration:
Intrfc.Hw.InRaw.Sply24vFlyBckGtDrvBrdSgnl &lt; K_McpDiag.SplyEmrgcyRngLoGrp.Sply30VEPS_UndrThrshMtrn.FltSetThrsh</t>
  </si>
  <si>
    <t>K_McpDiag.SplyEmrgcyRngLoGrp.Sply30VEPS_UndrThrshMtrn.LimFailSec</t>
  </si>
  <si>
    <t>K_McpDiag.SplyEmrgcyRngLoGrp.Sply30VEPS_UndrThrshMtrn.EnblTyp</t>
  </si>
  <si>
    <t>24V Supply Fly Back Gt Drive Board Voltage Signal value must be above or equal to the Pass Threshold:
Intrfc.Hw.InRaw.Sply24vFlyBckGtDrvBrdSgnl &gt;= K_McpDiag.SplyEmrgcyRngLoGrp.Sply30VEPS_UndrThrshMtrn.FltHyst</t>
  </si>
  <si>
    <t>K_McpDiag.SplyEmrgcyRngLoGrp.Sply30VEPS_UndrThrshMtrn.LimPassSec</t>
  </si>
  <si>
    <t>0A1B49</t>
  </si>
  <si>
    <t>P0A1B-49</t>
  </si>
  <si>
    <t>Drive Motor "A" Control Module - Internal Electronic Failure</t>
  </si>
  <si>
    <t>13 - SplyGrp
supply voltage group</t>
  </si>
  <si>
    <t>PIM voltage stabilizer damaged
PIM supply voltage sensor damaged</t>
  </si>
  <si>
    <t>Check for low voltage harness (short circuit) on supply line.
Replace PIM</t>
  </si>
  <si>
    <t>569 - SplyGrp.Sply1V3_OvrThrshMtrn
1V3_MCU core supply voltage higher than thrshold</t>
  </si>
  <si>
    <t>3.3V Supply Voltage Signal is between Upper and Lower Threshold:
K_McpDiag.CalAddnl.Ok_3V3_FLASH_OvrThrsh &gt; Intrfc.Hw.InRaw.Sply3pt3vSgnl &gt; K_McpDiag.CalAddnl.Ok_3V3_FLASH_UndrThrsh
AND 
5V Supply Voltage Signal is between Upper and Lower Threshold:
K_McpDiag.CalAddnl.Ok_5VA_OvrThrsh &gt; Intrfc.Hw.InRaw.Sply5vASgnl &gt; K_McpDiag.CalAddnl.Ok_5VA_UndrThrsh</t>
  </si>
  <si>
    <t>1,3V Supply Voltage Signal value greater than Fail Threshold calibration:
Intrfc.Hw.InRaw.Sply1pt3vSgnl &gt; K_McpDiag.SplyGrp.Sply1V3_OvrThrshMtrn.FltSetThrsh</t>
  </si>
  <si>
    <t>K_McpDiagSplyGrpHi.Sply1V3_OvrThrshMtrn.LimFailSec</t>
  </si>
  <si>
    <t>K_McpDiag.SplyGrpHi.Sply1V3_OvrThrshMtrn.EnblTyp</t>
  </si>
  <si>
    <t>1,3V Supply Voltage Signal value must be below or equal to the Pass Threshold: 
Intrfc.Hw.InRaw.Sply1pt3vSgnl &lt;= K_McpDiag.SplyFOTAGrp.Sply1V3_OvrThrshMtrn.FltHyst</t>
  </si>
  <si>
    <t>K_McpDiag.SplyGrpHi.Sply1V3_OvrThrshMtrn.LimPassSec</t>
  </si>
  <si>
    <t>603 - SplyGrp.Sply1V3_RngHi
1V3_MCU core supply voltage short high</t>
  </si>
  <si>
    <t xml:space="preserve">3.3V Supply Voltage Signal is between Upper and Lower Threshold:
K_McpDiag.CalAddnl.Ok_3V3_FLASH_OvrThrsh &gt; Intrfc.Hw.InRaw.Sply3pt3vSgnl &gt; K_McpDiag.CalAddnl.Ok_3V3_FLASH_UndrThrsh
AND
5V Supply Voltage is between Upper and Lower Threshold:
K_McpDiag.CalAddnl.Ok_5V_OvrThrsh &gt; Intrfc.Hw.InRaw.Sply5vSgnl &gt; K_McpDiag.CalAddnl.Ok_5V_UndrThrsh
</t>
  </si>
  <si>
    <t>1,3V Supply Voltage Hi Signal Validity is Invalid:
Intrfc.Hw.InRaw.eSply1pt3vSgnlHiVldty ==SGNL_INVALID
this flag gets Invalid if
Intrfc.Hw.InRaw.Sply1pt3vSgnl &gt;K_McpIntrfc.HwCal.Sply1pt3vSgnlOvrCal.FltSetThrsh</t>
  </si>
  <si>
    <t>K_McpIntrfc.HwCal.Sply1pt3vSgnlOvrCal.LimFailSec</t>
  </si>
  <si>
    <t>K_McpDiag.SplyGrpHi.Sply1V3_RngHi.EnblTyp</t>
  </si>
  <si>
    <t>1,3V Supply Voltage Hi Signal Validity is not Invalid:
Intrfc.Hw.InRaw.eSply1pt3vSgnlHiVldty != SGNL_INVALID</t>
  </si>
  <si>
    <t>K_McpIntrfc.HwCal.Sply1pt3vSgnlOvrCal.LimPassSec</t>
  </si>
  <si>
    <t>602 - SplyGrp.Sply1V3_RngLo
1V3_MCU core supply voltage short low</t>
  </si>
  <si>
    <t>3.3V Supply Voltage Signal is between Upper and Lower Threshold:
K_McpDiag.CalAddnl.Ok_3V3_FLASH_OvrThrsh &gt; Intrfc.Hw.InRaw.Sply3pt3vSgnl &gt; K_McpDiag.CalAddnl.Ok_3V3_FLASH_UndrThrsh
AND
5V Supply Voltage is between Upper and Lower Threshold:
K_McpDiag.CalAddnl.Ok_5V_OvrThrsh &gt; Intrfc.Hw.InRaw.Sply5vSgnl &gt; K_McpDiag.CalAddnl.Ok_5V_UndrThrsh</t>
  </si>
  <si>
    <t>Fault Flag from Low-Level Driver
The signal  representing the validity  of the 1.3V supply voltage
1,3V Supply Voltage Lo Signal Validity is Invalid:
Intrfc.Hw.InRaw.eSply1pt3vSgnlLoVldty ==SGNL_INVALID
this flag gets Invalid if
Intrfc.Hw.InRaw.Sply1pt3vSgnl &lt; K_McpIntrfc.HwCal.Sply1pt3vSgnlUndrCal.FltSetThrsh</t>
  </si>
  <si>
    <t>K_McpIntrfc.HwCal.Sply1pt3vSgnlUndrCal.LimFailSec</t>
  </si>
  <si>
    <t>K_McpDiag.SplyGrpHi.Sply1V3_RngLo.EnblTyp</t>
  </si>
  <si>
    <t>1,3V Supply Voltage Lo Signal Validity is not Invalid:
Intrfc.Hw.InRaw.eSply1pt3vSgnlLoVldty != SGNL_INVALID</t>
  </si>
  <si>
    <t>K_McpIntrfc.HwCal.Sply1pt3vSgnlUndrCal.LimPassSec</t>
  </si>
  <si>
    <t>568 - SplyGrp.Sply1V3_UndrThrshMtrn
1V3_MCU core supply voltage lower than thrshold</t>
  </si>
  <si>
    <t>1,3V Supply Voltage Signal value smaller than Fail Threshold calibration:
Intrfc.Hw.InRaw.Sply1pt3vSgnl &lt; K_McpDiag.SplyGrp.Sply1V3_UndrThrshMtrnFltSetThrsh</t>
  </si>
  <si>
    <t>K_McpDiag.SplyGrp.Sply1V3_UndrThrshMtrn.LimFailSec</t>
  </si>
  <si>
    <t>K_McpDiag.SplyGrpHi.Sply1V3_UndrThrshMtrn
.EnblTyp</t>
  </si>
  <si>
    <t>1,3V Supply Voltage Signal value must be above or equal to the Pass Threshold:
Intrfc.Hw.InRaw.Sply1pt3vSgnl &gt;= K_McpDiag.SplyFOTAGrp.Sply1V3_UndrThrshMtrn.FltHyst</t>
  </si>
  <si>
    <t>K_McpDiag.SplyGrpHi.Sply1V3_UndrThrshMtrn
.LimPassSec</t>
  </si>
  <si>
    <t>563 - SplyGrp.Sply23VSfty1_OvrThrshMtrn
23V_SAFETY_1 Supply monitoring by MCU voltage higher than threshold</t>
  </si>
  <si>
    <t>24V Supply Fly Back Gt Drive Board Signal is between Upper and Lower Threshold:
K_McpDiag.CalAddnl.Ok_30V_EPS_OvrThrsh &gt; Intrfc.Hw.InRaw.Sply24vFlyBckGtDrvBrdSgnl &gt; K_McpDiag.CalAddnl.Ok_30V_EPS_UndrThrsh
OR 
23V Supply Signal is between Upper and Lower Threshold:
K_McpDiag.CalAddnl.OK_24V_OvrThrsh &gt; Intrfc.Hw.InRaw.Sply23vSgnl&gt; K_McpDiag.CalAddnl.OK_24V_UndrThrsh</t>
  </si>
  <si>
    <t>22V Supply Voltage Safety 1 Signal value greater than Fail Threshold calibration:
Intrfc.Hw.InRaw.Sply22vSfty1Sgnl &gt; K_McpDiag.SplyGrp.Sply23VSfty1_OvrThrshMtrn.FltSetThrsh</t>
  </si>
  <si>
    <t>K_McpDiag.SplyGrp.Sply23VSfty1_OvrThrshMtrn.LimFailSec</t>
  </si>
  <si>
    <t>K_McpDiag.SplyGrpHi.Sply23VSfty1_OvrThrshMtrn.EnblTyp</t>
  </si>
  <si>
    <t>22V Supply Voltage Safety 1 Signal value must be below or equal to the Pass Threshold: 
Intrfc.Hw.InRaw.Sply22vSfty1Sgnl &lt;= K_McpDiag.SplyGrp.Sply23VSfty1_OvrThrshMtrn.FltHyst</t>
  </si>
  <si>
    <t>K_McpDiag.SplyGrpHi.Sply23VSfty1_OvrThrshMtrn.LimPassSec</t>
  </si>
  <si>
    <t>597 - SplyGrp.Sply23VSfty1_RngHi
23V_SAFETY_1 Supply monitoring by MCU voltage short high</t>
  </si>
  <si>
    <t>Fault Flag from Low-Level Driver
The signal  representing validity  of the 22V  supply voltage safety 1 signal
22V Supply Voltage Safety Hi Signal Validity is Invalid: Intrfc.Hw.InRaw.eSply22vSfty1SgnlHiVldty == SGNL_INVALID
this flag gets Invalid if
Intrfc.Hw.InRaw.Sply22vSfty1Sgnl &gt; K_McpIntrfc.HwCal.Sply22vSfty1SgnlOvrCal.FltSetThrsh</t>
  </si>
  <si>
    <t>K_McpIntrfc.HwCal.Sply22vSfty1SgnlOvrCal.LimFailSec</t>
  </si>
  <si>
    <t>K_McpDiag.SplyGrpHi.Sply23VSfty1_RngHi.EnblTyp</t>
  </si>
  <si>
    <t>22V Supply Voltage Safety Hi Signal Validity is not Invalid: Intrfc.Hw.InRaw.eSply22vSfty1SgnlHiVldty != SGNL_INVALID</t>
  </si>
  <si>
    <t>K_McpIntrfc.HwCal.Sply22vSfty1SgnlOvrCal.LimPassSec</t>
  </si>
  <si>
    <t>596 - SplyGrp.Sply23VSfty1_RngLo
23V_SAFETY_1 Supply monitoring by MCU voltage short low</t>
  </si>
  <si>
    <t>Fault Flag from Low-Level Driver
The signal  representing validity  of the 22V  supply voltage safety 1 signal
22V Supply Voltage Safety Lo Signal Validity is Invalid:
Intrfc.Hw.InRaw.eSply22vSfty1SgnlLoVldty == SGNL_INVALID
this flag gets Invalid if
Intrfc.Hw.InRaw.Sply22vSfty1Sgnl &lt; K_McpIntrfc.HwCal.Sply22vSfty1SgnlUndrCal.FltSetThrsh</t>
  </si>
  <si>
    <t>K_McpIntrfc.HwCal.Sply22vSfty1SgnlUndrCal.LimFailSec</t>
  </si>
  <si>
    <t>K_McpDiag.SplyGrpLoSply23VSfty1_RngLo.EnblTyp</t>
  </si>
  <si>
    <t>22V Supply Voltage Safety Lo Signal Validity is not Invalid: 
Intrfc.Hw.InRaw.eSply22vSfty1SgnlLoVldty != SGNL_INVALID</t>
  </si>
  <si>
    <t>K_McpIntrfc.HwCal.Sply22vSfty1SgnlUndrCal.LimPassSec</t>
  </si>
  <si>
    <t>562 - SplyGrp.Sply23VSfty1_UndrThrshMtrn
23V_SAFETY_1 Supply monitoring by MCU voltage lower than threshold</t>
  </si>
  <si>
    <t>22V Supply Voltage Safety 1 Signal value smaller than Fail Threshold calibration:
Intrfc.Hw.InRaw.Sply22vSfty1Sgnl &lt; K_McpDiag.SplyGrp.Sply23VSfty1_UndrThrshMtrn.FltSetThrsh</t>
  </si>
  <si>
    <t>K_McpDiag.SplyGrp.Sply23VSfty1_UndrThrshMtrn.LimFailSec</t>
  </si>
  <si>
    <t>K_McpDiag.SplyGrpLo.Sply23VSfty1_UndrThrshMtrn.EnblTyp</t>
  </si>
  <si>
    <t>22V Supply Voltage Safety 1 Signal value  must be above or equal to the Pass Threshold:
Intrfc.Hw.InRaw.Sply22vSfty1Sgnl &gt;= K_McpDiag.SplyGrp.Sply23VSfty1_UndrThrshMtrn.FltHyst</t>
  </si>
  <si>
    <t>K_McpDiag.SplyGrpLo.Sply23VSfty1_UndrThrshMtrn.LimPassSec</t>
  </si>
  <si>
    <t>763 - SplyGrp.Sply23VSfty1UV_HW
23V_SAFETY_1 Supply monitoring by MCU undervoltage HW detection</t>
  </si>
  <si>
    <t>5V Supply Voltage Signal is between Upper and Lower Threshold:
K_McpDiag.CalAddnl.Ok_5VA_OvrThrsh &gt; Intrfc.Hw.InRaw.Sply5vASgnl &gt; K_McpDiag.CalAddnl.Ok_5VA_UndrThrsh</t>
  </si>
  <si>
    <t>Fault Flag from Low-Level Driver
The fault condition is detected the specific bit (bit 18) corresponding to Inv_Status_1_23VS1_UV_DIG_IN (undervoltage fault at a 23V safety 1 digital input) 
RTE bit read (BIT 18)  from
IntrfcT1.In.Inv_Status_1 = 1</t>
  </si>
  <si>
    <t>K_McpDiag.SplyGrp.Sply23VSfty1UV_HW.LimFailSec</t>
  </si>
  <si>
    <t>K_McpDiag.SplyGrpLo.Sply23VSfty1UV_HW.EnblTyp</t>
  </si>
  <si>
    <t>Fault Flag from Low-level Driver
RTE bit read (BIT 14)  from
IntrfcT1.In.Inv_Status_1 = 0</t>
  </si>
  <si>
    <t>K_McpDiag.SplyGrpLo.Sply23VSfty1UV_HW.LimPassSec</t>
  </si>
  <si>
    <t>561 - SplyGrp.Sply23VSfty2_OvrThrshMtrn
23V_SAFETY_2 Supply monitoring by MCU voltage higher than threshold</t>
  </si>
  <si>
    <t>22V Supply Voltage Safety 2 Signal value greater than Fail Threshold calibration:
Intrfc.Hw.InRaw.Sply22vSfty2Sgnl &gt; K_McpDiag.SplyGrp.Sply23VSfty2_OvrThrshMtrn.FltSetThrsh</t>
  </si>
  <si>
    <t>K_McpDiag.SplyGrp.Sply23VSfty2_OvrThrshMtrn.LimFailSec</t>
  </si>
  <si>
    <t>K_McpDiag.SplyGrpLo.Sply23VSfty2_OvrThrshMtrn.EnblTyp</t>
  </si>
  <si>
    <t>22V Supply Voltage Safety 2 Signal value must be below or equal to the Pass Threshold: 
Intrfc.Hw.InRaw.Sply22vSfty2Sgnl &lt;= K_McpDiag.SplyGrp.Sply23VSfty2_OvrThrshMtrn.FltHyst</t>
  </si>
  <si>
    <t>K_McpDiag.SplyGrpLo.Sply23VSfty2_OvrThrshMtrn.LimPassSec</t>
  </si>
  <si>
    <t>595 - SplyGrp.Sply23VSfty2_RngHi
23V_SAFETY_2 Supply monitoring by MCU voltage short high</t>
  </si>
  <si>
    <t>22V Supply Voltage Safety 2 Signal Hi Validity is Invalid:
The signal  representing validity  of the 22V  supply voltage safety 2 signal High
Intrfc.Hw.InRaw.eSply22vSfty2SgnlHiVldty ==SGNL_INVALID
this flag gets Invalid if
Intrfc.Hw.InRaw.Sply22vSfty2Sgnl&gt; K_McpIntrfc.HwCal.Sply22vSfty2SgnlOvrCal.FltSetThrsh</t>
  </si>
  <si>
    <t>K_McpIntrfc.HwCal.Sply22vSfty2SgnlOvrCal.LimFailSec</t>
  </si>
  <si>
    <t>K_McpDiag.SplyGrpLo.Sply23VSfty2_RngHi.EnblTyp</t>
  </si>
  <si>
    <t>22V Supply Voltage Safety 2 Signal Hi Validity is not Invalid:
Intrfc.Hw.InRaw.eSply22vSfty2SgnlHiVldty != SGNL_INVALID</t>
  </si>
  <si>
    <t>K_McpIntrfc.HwCal.Sply22vSfty2SgnlOvrCal.LimPassSec</t>
  </si>
  <si>
    <t>594 - SplyGrp.Sply23VSfty2_RngLo
23V_SAFETY_2 Supply monitoring by MCU voltage short low</t>
  </si>
  <si>
    <t>22V Supply Voltage Safety 2 Signal Lo Validity is Invalid:
Intrfc.Hw.InRaw.eSply22vSfty2SgnlLoVldty == SGNL_INVALID
this flag gets Invalid if
Intrfc.Hw.InRaw.Sply22vSfty2Sgnl &lt; K_McpIntrfc.HwCal.Sply22vSfty2SgnlUndrCal.FltSetThrsh</t>
  </si>
  <si>
    <t>K_McpIntrfc.HwCal.Sply22vSfty2SgnlUndrCal.LimFailSec</t>
  </si>
  <si>
    <t>K_McpDiag.SplyGrpLo.Sply23VSfty2_RngLo.EnblTyp</t>
  </si>
  <si>
    <t>22V Supply Voltage Safety 2 Signal Lo Validity is not Invalid:
Intrfc.Hw.InRaw.eSply22vSfty2SgnlLoVldty != SGNL_INVALID</t>
  </si>
  <si>
    <t>K_McpIntrfc.HwCal.Sply22vSfty2SgnlUndrCal.LimPassSec</t>
  </si>
  <si>
    <t>560 - SplyGrp.Sply23VSfty2_UndrThrshMtrn
23V_SAFETY_2 Supply monitoring by MCU voltage lower than threshold</t>
  </si>
  <si>
    <t>22V Supply Voltage Safety 2 Signal value smaller than Fail Threshold calibration:
Intrfc.Hw.InRaw.Sply22vSfty2Sgnl &lt; K_McpDiag.SplyGrp.Sply23VSfty2_UndrThrshMtrn.FltSetThrsh</t>
  </si>
  <si>
    <t>K_McpDiag.SplyGrp.Sply23VSfty2_UndrThrshMtrn.LimFailSec</t>
  </si>
  <si>
    <t>K_McpDiag.SplyGrpLo.Sply23VSfty2_UndrThrshMtrn.EnblTyp</t>
  </si>
  <si>
    <t>22V Supply Voltage Safety 2 Signal value must be above or equal to the Pass Threshold:
Intrfc.Hw.InRaw.Sply22vSfty2Sgnl &gt;= K_McpDiag.SplyGrp.Sply23VSfty2_UndrThrshMtrn.FltHyst</t>
  </si>
  <si>
    <t>K_McpDiag.SplyGrpLo.Sply23VSfty2_UndrThrshMtrn.LimPassSec</t>
  </si>
  <si>
    <t>764 - SplyGrp.Sply23VSfty2UV_HW
23V_SAFETY_2 Supply monitoring by MCU voltage HW undervoltage detected</t>
  </si>
  <si>
    <t>Fault Flag from Low-level Driver
The fault condition is detected the specific bit (bit 19 ) corresponding to Inv_Status_1_23VS2_UV_DIG_IN (undervoltage at 23V safety 2 digital input)
IntrfcT1.In.Inv_Status_1 = 1</t>
  </si>
  <si>
    <t>K_McpDiag.SplyGrp.Sply23VSfty2UV_HW.LimFailSec</t>
  </si>
  <si>
    <t>K_McpDiag.SplyGrpLo.Sply23VSfty2UV_HW.EnblTyp</t>
  </si>
  <si>
    <t>Fault Flag from Low-level Driver
RTE bit read (BIT 15)  from
IntrfcT1.In.Inv_Status_1 = 0</t>
  </si>
  <si>
    <t>K_McpDiag.SplyGrpLo.Sply23VSfty2UV_HW.LimPassSec</t>
  </si>
  <si>
    <t>571 - SplyGrp.Sply24V_OvrThrshMtrn
resistor on the voltage divider that is providing the supply rail
voltage above threshold</t>
  </si>
  <si>
    <t xml:space="preserve">
12V Supply Battery Signal is between Upper and Lower Threshold:
K_McpDiag.CalAddnl.Ok_VBatt1_OvrThrsh &gt;=IntrfcT2.In.Sply12vBatSgnl&gt;K_McpDiag.CalAddnl.Ok_VBatt1_UndrThrsh
OR
Supply Battery 2 Signal is between Upper and Lower Threshold:
K_McpDiag.CalAddnl.Ok_VBatt2_OvrThrsh &gt;= Intrfc.Hw.InRaw.In.SplyBat2Sgnl&gt;K_McpDiag.CalAddnl.Ok_VBatt2_UndrThrsh
OR
24V Supply Fly Back Gt Drive Board Signal is between Upper and Lower Threshold:
K_McpDiag.CalAddnl.Ok_30V_EPS_OvrThrsh &gt; Intrfc.Hw.InRaw.Sply24vFlyBckGtDrvBrdSgnl &gt; K_McpDiag.CalAddnl.Ok_30V_EPS_UndrThrsh
AND
5V Supply GDIC Bottom Signal is between Upper and Lower Threshold:
K_McpDiag.CalAddnl.Ok_5V_GDIC_BOT_AI_OvrThrsh &gt; Intrfc.Hw.InRaw.Sply5vGDICBotSgnl &gt; K_McpDiag.CalAddnl.Ok_5V_GDIC_BOT_AI_UndrThrsh
</t>
  </si>
  <si>
    <t>23V Supply Voltage Signal value greater than Fail Threshold calibration:
Intrfc.Hw.InRaw.Sply23vSgnl &gt; K_McpDiag.SplyGrp.Sply24V_OvrThrshMtrn.FltSetThrsh</t>
  </si>
  <si>
    <t>K_McpDiag.SplyGrp.Sply24V_OvrThrshMtrn.LimFailSec</t>
  </si>
  <si>
    <t>K_McpDiag.SplyGrpLo.Sply24V_OvrThrshMtrn.EnblTyp</t>
  </si>
  <si>
    <t>23V Supply Voltage Signal value must be below or equal to the Pass Threshold: 
Intrfc.Hw.InRaw.Sply23vSgnl &lt;= K_McpDiag.SplyGrp.Sply24V_OvrThrshMtrn.FltHyst</t>
  </si>
  <si>
    <t>K_McpDiag.SplyGrpLo.Sply24V_OvrThrshMtrn.LimPassSec</t>
  </si>
  <si>
    <t>605 - SplyGrp.Sply24V_RngHi
 resistor on the voltage divider that is providing the supply rail
short high</t>
  </si>
  <si>
    <t>23V Supply Voltage Signal Hi Validity is Invalid:
Intrfc.Hw.InRaw.eSply23vSgnlHiVldty == SGNL_INVALID
this flag gets Invalid if
Intrfc.Hw.InRaw.Sply23vSgnl &gt;K_McpIntrfc.HwCal.Sply23vSgnlOvrCal.FltSetThrsh</t>
  </si>
  <si>
    <t>K_McpIntrfc.HwCal.Sply23vSgnlOvrCal.LimFailSec</t>
  </si>
  <si>
    <t>K_McpDiag.SplyGrpLo.Sply24V_RngHi.EnblTyp</t>
  </si>
  <si>
    <t>23V Supply Voltage Signal Hi Validity is not Invalid:
Intrfc.Hw.InRaw.eSply23vSgnlHiVldty != SGNL_INVALID</t>
  </si>
  <si>
    <t>K_McpIntrfc.HwCal.Sply23vSgnlOvrCal.LimPassSec</t>
  </si>
  <si>
    <t>604 - SplyGrp.Sply24V_RngLo
 resistor on the voltage divider that is providing the supply rail
short low</t>
  </si>
  <si>
    <t>23V Supply Voltage Signal Lo Validity is Invalid:
Intrfc.Hw.InRaw.eSply23vSgnlLoVldty == SGNL_INVALID
this flag gets Invalid if
Intrfc.Hw.InRaw.Sply23vSgnl &lt; K_McpIntrfc.HwCal.Sply23vSgnlUndrCal.FltSetThrsh</t>
  </si>
  <si>
    <t>K_McpIntrfc.HwCal.Sply23vSgnlUndrCal.LimFailSec</t>
  </si>
  <si>
    <t>K_McpDiag.SplyGrpLo.Sply24V_RngLo.EnblTyp</t>
  </si>
  <si>
    <t>23V Supply Voltage Signal Validity Lo is not Invalid:
Intrfc.Hw.InRaw.eSply23vSgnlLoVldty != SGNL_INVALID</t>
  </si>
  <si>
    <t>570 - SplyGrp.Sply24V_UndrThrshMtrn
resistor on the voltage divider that is providing the supply rail
voltage below threshold</t>
  </si>
  <si>
    <t>23V Supply Voltage Signal value smaller than Fail Threshold calibration:
Intrfc.Hw.InRaw.Sply23vSgnl &lt; K_McpDiag.SplyGrp.Sply24V_UndrThrshMtrn.FltSetThrsh</t>
  </si>
  <si>
    <t>K_McpDiag.SplyGrp.Sply24V_UndrThrshMtrn.LimFailSec</t>
  </si>
  <si>
    <t>K_McpDiag.SplyGrpLo.Sply24V_UndrThrshMtrn.EnblTyp</t>
  </si>
  <si>
    <t>23V Supply Voltage Signal value must be above or equal to the Pass Threshold:
Intrfc.Hw.InRaw.Sply23vSgnl &gt;= K_McpDiag.SplyGrp.Sply24V_UndrThrshMtrn.FltHyst</t>
  </si>
  <si>
    <t>K_McpDiag.SplyGrpLo.Sply24V_UndrThrshMtrn.LimPassSec</t>
  </si>
  <si>
    <t xml:space="preserve">592 - SplyGrp.Sply2V5_OvrThrshMtrn
2V5_AI  2,5V reference suply voltage above threshold </t>
  </si>
  <si>
    <t>5V Supply Voltage A is between Upper and Lower Threshold:
K_McpDiag.CalAddnl.Ok_5VA_OvrThrsh  &gt; Intrfc.Hw.InRaw.Sply5vASgnl &gt; K_McpDiag.CalAddnl.Ok_5VA_UndrThrsh</t>
  </si>
  <si>
    <t>2,5V Supply Signal value greater than Fail Threshold calibration:
Intrfc.Hw.InRaw.Sply2pt5vSgnl &gt; K_McpDiag.SplyRefGrp.Sply2V5_OvrThrshMtrn.FltSetThrsh</t>
  </si>
  <si>
    <t>K_McpDiag.SplyRefGrp.Sply2V5_OvrThrshMtrn.LimFailSec</t>
  </si>
  <si>
    <t>K_McpDiag.SplyRefGrp.Sply2V5_OvrThrshMtrn.EnblTyp</t>
  </si>
  <si>
    <t>2,5V Supply Signal Signal value must be below or equal to the Pass Threshold: 
Intrfc.Hw.InRaw.Sply2pt5vSgnl &lt;= K_McpDiag.SplyRefGrp.Sply2V5_OvrThrshMtrn.FltHyst</t>
  </si>
  <si>
    <t>K_McpDiag.SplyRefGrp.Sply2V5_OvrThrshMtrn.LimPassSec</t>
  </si>
  <si>
    <t>630 - SplyGrp.Sply2V5_RngHi
2V5_AI  2,5V reference suply voltage short high</t>
  </si>
  <si>
    <t>2,5V Supply Signal Hi Validity is Invalid:
Intrfc.Hw.InRaw.eSply2pt5vSgnlHiVldty == SGNL_INVALID
this flag gets Invalid if
Intrfc.Hw.InRaw.Sply2pt5vSgnl &gt; K_McpIntrfc.HwCal.Sply2pt5vSgnlOvrCal.FltSetThrsh</t>
  </si>
  <si>
    <t>K_McpIntrfc.HwCal.Sply2pt5vSgnlOvrCal.LimFailSec</t>
  </si>
  <si>
    <t>K_McpDiag.SplyRefGrp.Sply2V5_RngHi.EnblTyp</t>
  </si>
  <si>
    <t>2,5V Supply Signal Hi Validity is not Invalid:
Intrfc.Hw.InRaw.eSply2pt5vSgnlHiVldty != SGNL_INVALID</t>
  </si>
  <si>
    <t>631 - SplyGrp.Sply2V5_RngLo
2V5_AI  2,5V reference suply voltage short low</t>
  </si>
  <si>
    <t>2,5V Supply Signal Lo Validity is Invalid:
Intrfc.Hw.InRaw.eSply2pt5vSgnlLoVldty == SGNL_INVALID
this flag gets Invalid if
Intrfc.Hw.InRaw.Sply2pt5vSgnl &lt; K_McpIntrfc.HwCal.Sply2pt5vSgnlUndrCal.FltSetThrsh</t>
  </si>
  <si>
    <t>K_McpIntrfc.HwCal.Sply2pt5vSgnlUndrCal.LimFailSec</t>
  </si>
  <si>
    <t>K_McpDiag.SplyRefGrp.Sply2V5_RngLo.EnblTyp</t>
  </si>
  <si>
    <t>2,5V Supply Signal Lo Validity is not Invalid:
Intrfc.Hw.InRaw.eSply2pt5vSgnlLoVldty != SGNL_INVALID</t>
  </si>
  <si>
    <t>K_McpIntrfc.HwCal.Sply2pt5vSgnlUndrCal.LimPassSec</t>
  </si>
  <si>
    <t xml:space="preserve">593 - SplyGrp.Sply2V5_UndrThrshMtrn
2V5_AI  2,5V reference suply voltage below threshold </t>
  </si>
  <si>
    <t>2,5V Supply Signal value lower than Fail Threshold calibration:
Intrfc.Hw.InRaw.Sply2pt5vSgnl &lt; K_McpDiag.SplyRefGrp.Sply2V5_UndrThrshMtrn.FltSetThrsh</t>
  </si>
  <si>
    <t>K_McpDiag.SplyRefGrp.Sply2V5_UndrThrshMtrn.LimFailSec</t>
  </si>
  <si>
    <t>K_McpDiag.SplyRefGrp.Sply2V5_UndrThrshMtrn.EnblTyp</t>
  </si>
  <si>
    <t>2,5V Supply Signal value must be above or equal to the Pass Threshold:
Intrfc.Hw.InRaw.Sply2pt5vSgnl &gt;= K_McpDiag.SplyRefGrp.Sply2V5_UndrThrshMtrn.FltHyst</t>
  </si>
  <si>
    <t>K_McpDiag.SplyRefGrp.Sply2V5_UndrThrshMtrn.LimPassSec</t>
  </si>
  <si>
    <t>577 - SplyGrp.Sply5V_OvrThrshMtrn
5V_MCU_AI supply monitoring 
voltage above threshold</t>
  </si>
  <si>
    <t xml:space="preserve">
5V Supply Voltage Signal value greater than Fail Threshold calibration:
Intrfc.Hw.InRaw.Sply5vSgnl &gt; K_McpDiag.SplyGrp.Sply5V_OvrThrshMtrn.FltSetThrsh</t>
  </si>
  <si>
    <t>K_McpDiag.SplyGrp.Sply5V_OvrThrshMtrn.LimFailSec</t>
  </si>
  <si>
    <t>K_McpDiag.SplyGrpLo.Sply5V_OvrThrshMtrn.EnblTyp</t>
  </si>
  <si>
    <t>5V Supply Voltage Signal value must be below or equal to the Pass Threshold: 
Intrfc.Hw.InRaw.Sply5vSgnl &lt;= K_McpDiag.SplyGrp.Sply5V_OvrThrshMtrn.FltHyst</t>
  </si>
  <si>
    <t>K_McpDiag.SplyGrpLo.Sply5V_OvrThrshMtrn.LimPassSec</t>
  </si>
  <si>
    <t>611 - SplyGrp.Sply5V_RngHi
5V_MCU_AI supply monitoring 
voltage short high</t>
  </si>
  <si>
    <t xml:space="preserve">
5V Supply Voltage Signal Hi Validity is Invalid:
Intrfc.Hw.InRaw.eSply5vSgnlHiVldty == SGNL_INVALID
this flag gets Invalid if
Intrfc.Hw.InRaw.Sply5vSgnl &gt; K_McpIntrfc.HwCal.Sply5vSgnlOvrCal.FltSetThrsh</t>
  </si>
  <si>
    <t>K_McpIntrfc.HwCal.Sply5vSgnlOvrCal.LimFailSec</t>
  </si>
  <si>
    <t>K_McpDiag.SplyGrpLo.Sply5V_RngHi.EnblTyp</t>
  </si>
  <si>
    <t xml:space="preserve">
5V Supply Voltage Signal Hi Validity is not Invalid:
Intrfc.Hw.InRaw.eSply5vSgnlHiVldty != SGNL_INVALID</t>
  </si>
  <si>
    <t>K_McpIntrfc.HwCal.Sply5vSgnlOvrCal.LimPassSec</t>
  </si>
  <si>
    <t>610 - SplyGrp.Sply5V_RngLo
5V_MCU_AI supply monitoring 
voltage short low</t>
  </si>
  <si>
    <t>5V Supply Voltage Signal Lo Validity is Invalid:
Intrfc.Hw.InRaw.eSply5vSgnlLoVldty == SGNL_INVALID
this flag gets Invalid if
Intrfc.Hw.InRaw.Sply5vSgnl &lt; K_McpIntrfc.HwCal.Sply5vSgnlUndrCal.FltSetThrsh</t>
  </si>
  <si>
    <t>K_McpIntrfc.HwCal.Sply5vSgnlUndrCal.LimFailSec</t>
  </si>
  <si>
    <t>K_McpDiag.SplyGrpLo.Sply5V_RngLo.EnblTyp</t>
  </si>
  <si>
    <t>5V Supply Voltage Signal Lo Validity is not Invalid: Intrfc.Hw.InRaw.eSply5vSgnlLoVldty != SGNL_INVALID</t>
  </si>
  <si>
    <t>K_McpIntrfc.HwCal.Sply5vSgnlUndrCal.LimPassSec</t>
  </si>
  <si>
    <t>576 - SplyGrp.Sply5V_UndrThrshMtrn
5V_MCU_AI supply monitoring 
voltage below threshold</t>
  </si>
  <si>
    <t>5V Supply Voltage Signal value smaller than Fail Threshold calibration: 
Intrfc.Hw.InRaw.Sply5vSgnl &lt; K_McpDiag.SplyGrp.Sply5V_UndrThrshMtrn.FltSetThrsh</t>
  </si>
  <si>
    <t>K_McpDiag.SplyGrp.Sply5V_UndrThrshMtrn.LimFailSec</t>
  </si>
  <si>
    <t>K_McpDiag.SplyGrpLo.Sply5V_UndrThrshMtrn.EnblTyp</t>
  </si>
  <si>
    <t>5V Supply Voltage Signal value must be above or equal to the Pass Threshold:
Intrfc.Hw.InRaw.Sply5vSgnl &gt;= K_McpDiag.SplyGrp.Sply5V_UndrThrshMtrn.FltHyst</t>
  </si>
  <si>
    <t>K_McpDiag.SplyGrpLo.Sply5V_UndrThrshMtrn.LimPassSec</t>
  </si>
  <si>
    <t>587 - SplyGrp.Sply5VA_OvrThrshMtrn
5V A supply monitoring 
voltage above threshold</t>
  </si>
  <si>
    <t>5V Supply Voltage A Signal value greater than Fail Threshold calibration: 
Intrfc.Hw.InRaw.Sply5vaSgnl &gt; K_McpDiag.SplyGrp.Sply5VA_OvrThrshMtrn.FltSetThrsh</t>
  </si>
  <si>
    <t>K_McpDiag.SplyGrp.Sply5VA_OvrThrshMtrn.LimFailSec</t>
  </si>
  <si>
    <t>K_McpDiag.SplyGrpLo.Sply5VA_OvrThrshMtrn.EnblTyp</t>
  </si>
  <si>
    <t>5V Supply Voltage A Signal value must be below or equal to the Pass Threshold: 
Intrfc.Hw.InRaw.Sply5vaSgnl &lt;= K_McpDiag.SplyGrp.Sply5VA_OvrThrshMtrn.FltHyst</t>
  </si>
  <si>
    <t>K_McpDiag.SplyGrpLo.Sply5VA_OvrThrshMtrn.LimPassSec</t>
  </si>
  <si>
    <t>621 - SplyGrp.Sply5VA_RngHi
5V A supply monitoring 
voltage short high</t>
  </si>
  <si>
    <t xml:space="preserve">
5VA Supply Voltage A Signal Hi Validity is Invalid:
Intrfc.Hw.InRaw.eSply5vASgnlHiVldty == SGNL_INVALID
this flag gets Invalid if
Intrfc.Hw.InRaw.Sply5vASgnl &gt; K_McpIntrfc.HwCal.Sply5vASgnlOvrCal.FltSetThrsh</t>
  </si>
  <si>
    <t>K_McpIntrfc.HwCal.Sply5vASgnlOvrCal.LimFailSec</t>
  </si>
  <si>
    <t>K_McpDiag.SplyGrpLo.Sply5VA_RngHi.EnblTyp</t>
  </si>
  <si>
    <t xml:space="preserve">
5VA Supply Voltage A Signal Hi Validity is not Invalid:
Intrfc.Hw.InRaw.eSply5AvSgnlHiVldty != SGNL_INVALID</t>
  </si>
  <si>
    <t>K_McpIntrfc.HwCal.Sply5vASgnlOvrCal.LimPassSec</t>
  </si>
  <si>
    <t>620 - SplyGrp.Sply5VA_RngLo
5V A supply monitoring 
voltage short low</t>
  </si>
  <si>
    <t>5VA Supply Voltage A Signal Lo Validity is Invalid:
Intrfc.Hw.InRaw.eSply5vASgnlLoVldty == SGNL_INVALID
this flag gets Invalid if
Intrfc.Hw.InRaw.Sply5vASgnl &lt; K_McpIntrfc.HwCal.Sply5vASgnlUndrCal.FltSetThrsh</t>
  </si>
  <si>
    <t>K_McpIntrfc.HwCal.Sply5vASgnlUndrCal.LimFailSec</t>
  </si>
  <si>
    <t>K_McpDiag.SplyGrpLo.Sply5VA_RngLo.EnblTyp</t>
  </si>
  <si>
    <t>5VA Supply Voltage A Signal Lo Validity is not Invalid:
Intrfc.Hw.InRaw.eSply5vASgnlLoVldty != SGNL_INVALID</t>
  </si>
  <si>
    <t>K_McpIntrfc.HwCal.Sply5vASgnlUndrCal.LimPassSec</t>
  </si>
  <si>
    <t>586 - SplyGrp.Sply5VA_UndrThrshMtrn
5V A supply monitoring 
voltage below threshold</t>
  </si>
  <si>
    <t>5V Supply Voltage A Signal value smaller than Fail Threshold calibration:  Intrfc.Hw.InRaw.Sply5vaSgnl &lt; K_McpDiag.SplyGrp.Sply5VA_UndrThrshMtrn.FltSetThrsh</t>
  </si>
  <si>
    <t>K_McpDiag.SplyGrp.Sply5VA_UndrThrshMtrn.LimFailSec</t>
  </si>
  <si>
    <t>K_McpDiag.SplyGrpLo.Sply5VA_UndrThrshMtrn.EnblTyp</t>
  </si>
  <si>
    <t>5V Supply Voltage A Signal value must be above or equal to the Pass Threshold:
Intrfc.Hw.InRaw.Sply5vaSgnl &gt;= K_McpDiag.SplyGrp.Sply5VA_UndrThrshMtrn.FltHyst</t>
  </si>
  <si>
    <t>K_McpDiag.SplyGrpLo.Sply5VA_UndrThrshMtrn.LimPassSec</t>
  </si>
  <si>
    <t>579 - SplyGrp.Sply5VComm_OvrThrshMtrn
5V_COMM_AI voltage above threshold</t>
  </si>
  <si>
    <t>5V Supply Common Signal value greater than Fail Threshold calibration:
Intrfc.Hw.InRaw.Sply5vCommSgnl &gt; K_McpDiag.SplyGrp.Sply5VComm_OvrThrshMtrn.FltSetThrsh</t>
  </si>
  <si>
    <t>K_McpDiag.SplyGrp.Sply5VComm_OvrThrshMtrn.LimFailSec</t>
  </si>
  <si>
    <t>K_McpDiag.SplyGrpLo.Sply5VComm_OvrThrshMtrn.EnblTyp</t>
  </si>
  <si>
    <t>5V Supply Common Signal value must be below or equal to the Pass Threshold: 
Intrfc.Hw.InRaw.Sply5vCommSgnl &lt;= K_McpDiag.SplyGrp.Sply5VComm_OvrThrshMtrn.FltHyst</t>
  </si>
  <si>
    <t>K_McpDiag.SplyGrpLo.Sply5VComm_OvrThrshMtrn.LimPassSec</t>
  </si>
  <si>
    <t>613 - SplyGrp.Sply5VComm_RngHi
5V_COMM_AI voltage short high</t>
  </si>
  <si>
    <t>5V Supply Common Signal Hi Validity is Invalid:
Intrfc.Hw.InRaw.eSply5vCommSgnlHiVldty  == SGNL_INVALID
this flag gets Invalid if
Intrfc.Hw.InRaw.Sply5vCommSgnl &gt; K_McpIntrfc.HwCal.Sply5vCommSgnlOvrCal.FltSetThrsh</t>
  </si>
  <si>
    <t>K_McpIntrfc.HwCal.Sply5vCommSgnlOvrCal.LimFailSec</t>
  </si>
  <si>
    <t>K_McpDiag.SplyGrpLo.Sply5VComm_RngHi.EnblTyp</t>
  </si>
  <si>
    <t>5V Supply Common Signal Hi Validity is not Invalid:
Intrfc.Hw.InRaw.eSply5vCommSgnlHiVldty != SGNL_INVALID</t>
  </si>
  <si>
    <t>K_McpIntrfc.HwCal.Sply5vCommSgnlOvrCal.LimPassSec</t>
  </si>
  <si>
    <t>612 - SplyGrp.Sply5VComm_RngLo
5V_COMM_AI voltage short low</t>
  </si>
  <si>
    <t>5V Supply Common Signal Lo Validity is Invalid:
Intrfc.Hw.InRaw.eSply5vCommSgnlLoVldty == SGNL_INVALID
this flag gets Invalid if
Intrfc.Hw.InRaw.Sply5vCommSgnl &lt; K_McpIntrfc.HwCal.Sply5vCommSgnlUndrCal.FltSetThrsh</t>
  </si>
  <si>
    <t>K_McpIntrfc.HwCal.Sply5vCommSgnlUndrCal.LimFailSec</t>
  </si>
  <si>
    <t>K_McpDiag.SplyGrpLo.Sply5VComm_RngLo.EnblTyp</t>
  </si>
  <si>
    <t>5V Supply Common Signal Lo Validity is not Invalid:
Intrfc.Hw.InRaw.eSply5vCommSgnlLoVldty != SGNL_INVALID</t>
  </si>
  <si>
    <t>578 - SplyGrp.Sply5VComm_UndrThrshMtrn
5V_COMM_AI voltage below threshold</t>
  </si>
  <si>
    <t>5V Supply Common Signal value smaller than Fail Threshold calibration:
 Intrfc.Hw.InRaw.Sply5vCommSgnl &lt; K_McpDiag.SplyGrp.Sply5VComm_UndrThrshMtrn.FltSetThrsh</t>
  </si>
  <si>
    <t>K_McpDiag.SplyGrp.Sply5VComm_UndrThrshMtrn.LimFailSec</t>
  </si>
  <si>
    <t>K_McpDiag.SplyGrpLo.Sply5VComm_UndrThrshMtrn.EnblTyp</t>
  </si>
  <si>
    <t>5V Supply Common Signal value must be above or equal to the Pass Threshold:
Intrfc.Hw.InRaw.Sply5vCommSgnl &gt;= K_McpDiag.SplyGrp.Sply5VComm_UndrThrshMtrn.FltHyst</t>
  </si>
  <si>
    <t>K_McpDiag.SplyGrpLo.Sply5VComm_UndrThrshMtrn.LimPassSec</t>
  </si>
  <si>
    <t>581 - SplyGrp.Sply5VCurrSns_OvrThrshMtrn
Current sensor 5V supply voltage  above threshold</t>
  </si>
  <si>
    <t xml:space="preserve">
5V Supply GDIC Bottom Signal is between Upper and Lower Threshold:
K_McpDiag.CalAddnl.Ok_5V_GDIC_BOT_AI_OvrThrsh &gt; Intrfc.Hw.InRaw.Sply5vGDICBotSgnl &gt; K_McpDiag.CalAddnl.Ok_5V_GDIC_BOT_AI_UndrThrsh
OR
23V Supply Signal is between Upper and Lower Threshold:
K_McpDiag.CalAddnl.OK_24V_OvrThrsh &gt; Intrfc.Hw.InRaw.Sply23vSgnl&gt; K_McpDiag.CalAddnl.OK_24V_UndrThrsh</t>
  </si>
  <si>
    <t>5V Supply Current Sense Signal value greater than Fail Threshold calibration:
Intrfc.Hw.InRaw.Sply5vCrntSnsSgnl &gt; K_McpDiag.SplyGrp.Sply5VCurrSns_OvrThrshMtrn.FltSetThrsh</t>
  </si>
  <si>
    <t>K_McpDiag.SplyGrp.Sply5VCurrSns_OvrThrshMtrn.LimFailSec</t>
  </si>
  <si>
    <t>K_McpDiag.SplyGrpLo.Sply5VCurrSns_OvrThrshMtrn.EnblTyp</t>
  </si>
  <si>
    <t>5V Supply Current Sense Signal value must be below or equal to the Pass Threshold: 
Intrfc.Hw.InRaw.Sply5vCrntSnsSgnl &lt;= K_McpDiag.SplyGrp.Sply5VCurrSns_OvrThrshMtrn.FltHyst</t>
  </si>
  <si>
    <t>K_McpDiag.SplyGrpLo.Sply5VCurrSns_OvrThrshMtrn.LimPassSec</t>
  </si>
  <si>
    <t>615 - SplyGrp.Sply5VCurrSns_RngHi
Current sensor 5V supply voltage  short high</t>
  </si>
  <si>
    <t>5V Bottom Signal is between Upper and Lower Threshold:
K_McpDiag.CalAddnl.Ok_5V_GDIC_BOT_AI_OvrThrsh &gt; Intrfc.Hw.InRaw.Sply5vGDICBotSgnl &gt; K_McpDiag.CalAddnl.Ok_5V_GDIC_BOT_AI_UndrThrsh
OR
23V Supply Signal is between Upper and Lower Threshold:
K_McpDiag.CalAddnl.OK_24V_OvrThrsh &gt; Intrfc.Hw.InRaw.Sply23vSgnl&gt; K_McpDiag.CalAddnl.OK_24V_UndrThrsh</t>
  </si>
  <si>
    <t>5V Supply Current Sense Signal Hi Validity is Invalid:
Intrfc.Hw.InRaw.eSply5vCrntSnsSgnlHiVldty == SGNL_INVALID
this flag gets Invalid if
Intrfc.Hw.InRaw.Sply5vCrntSnsSgnl &gt; K_McpIntrfc.HwCal.Sply5vCrntSnsSgnlOvrCal.FltSetThrsh</t>
  </si>
  <si>
    <t>K_McpIntrfc.HwCal.Sply5vCrntSnsSgnlOvrCal.LimFailSec</t>
  </si>
  <si>
    <t>K_McpDiag.SplyGrpLo.Sply5VCurrSns_RngHi.EnblTyp</t>
  </si>
  <si>
    <t>5V Supply Current Sense Signal Hi Validity is not Invalid:
Intrfc.Hw.InRaw.eSply5vCrntSnsSgnlHiVldty != SGNL_INVALID</t>
  </si>
  <si>
    <t>K_McpIntrfc.HwCal.Sply5vCrntSnsSgnlOvrCal.LimPassSec</t>
  </si>
  <si>
    <t>614 - SplyGrp.Sply5VCurrSns_RngLo
Current sensor 5V supply voltage  short Low</t>
  </si>
  <si>
    <t>5V Supply Current Sense Signal Lo Validity is Invalid:
Intrfc.Hw.InRaw.eSply5vCrntSnsSgnlLoVldty == SGNL_INVALID
this flag gets Invalid if
Intrfc.Hw.InRaw.Sply5vCrntSnsSgnl   &lt; K_McpIntrfc.HwCal.Sply5vCrntSnsSgnlUndrCal.FltSetThrsh</t>
  </si>
  <si>
    <t>K_McpIntrfc.HwCal.Sply5vCrntSnsSgnlUndrCal.LimFailSec</t>
  </si>
  <si>
    <t>K_McpDiag.SplyGrpLo.Sply5VCurrSns_RngLo.EnblTyp</t>
  </si>
  <si>
    <t>5V Supply Current Sense Signal Lo Validity is not Invalid:
Intrfc.Hw.InRaw.eSply5vCrntSnsSgnlLoVldty != SGNL_INVALID</t>
  </si>
  <si>
    <t>K_McpIntrfc.HwCal.Sply5vCrntSnsSgnlUndrCal.LimPassSec</t>
  </si>
  <si>
    <t>580 - SplyGrp.Sply5VCurrSns_UndrThrshMtrn
Current sensor 5V supply voltage  below threshold</t>
  </si>
  <si>
    <t>5V Supply Current Sense Signal value smaller than Fail Threshold calibration:
Intrfc.Hw.InRaw.Sply5vCrntSnsSgnl &lt; K_McpDiag.SplyGrp.Sply5VCurrSns_UndrThrshMtrn.FltSetThrsh</t>
  </si>
  <si>
    <t>K_McpDiag.SplyGrp.Sply5VCurrSns_UndrThrshMtrn.LimFailSec</t>
  </si>
  <si>
    <t>K_McpDiag.SplyGrpLo.Sply5VCurrSns_UndrThrshMtrn.EnblTyp</t>
  </si>
  <si>
    <t>5V Supply Current Sense Signal value must be above or equal to the Pass Threshold:
Intrfc.Hw.InRaw.Sply5vCrntSnsSgnl &gt;= K_McpDiag.SplyGrp.Sply5VCurrSns_UndrThrshMtrn.FltHyst</t>
  </si>
  <si>
    <t>K_McpDiag.SplyGrpLo.Sply5VCurrSns_UndrThrshMtrn.LimPassSec</t>
  </si>
  <si>
    <t>583 - SplyGrp.Sply5VGDICBOT_OvrThrshMtrn
5V_GDIC_BOT Supply voltage above threshold</t>
  </si>
  <si>
    <t>23V Supply Signal is between Upper and Lower Threshold:
K_McpDiag.CalAddnl.OK_24V_OvrThrsh &gt; Intrfc.Hw.InRaw.Sply23vSgnl&gt; K_McpDiag.CalAddnl.OK_24V_UndrThrsh
OR
22V Supply Safety 2 Signal is between Upper and Lower Threshold:
K_McpDiag.CalAddnl.Ok_23V_SAFETY_2_OvrThrsh &gt; Intrfc.Hw.InRaw.Sply22vSfty2Sgnl &gt;  K_McpDiag.CalAddnl.Ok_23V_SAFETY_2_UndrThrsh</t>
  </si>
  <si>
    <t>5V Supply GDIC Bottom Signal value greater than Fail Threshold calibration:
Intrfc.Hw.InRaw.Sply5vGDICBotSgnl &gt; K_McpDiag.SplyGrp.Sply5VGDICBOT_OvrThrshMtrn.FltSetThrsh</t>
  </si>
  <si>
    <t>K_McpDiag.SplyGrp.Sply5VGDICBOT_OvrThrshMtrn.LimFailSec</t>
  </si>
  <si>
    <t>K_McpDiag.SplyGrpLo.Sply5VGDICBOT_OvrThrshMtrn.EnblTyp</t>
  </si>
  <si>
    <t>5V Supply GDIC Bottom Signal value must be below or equal to the Pass Threshold: 
Intrfc.Hw.InRaw.Sply5vGDICBotSgnl &lt;= K_McpDiag.SplyGrp.Sply5VGDICBOT_OvrThrshMtrn.FltHyst</t>
  </si>
  <si>
    <t>K_McpDiag.SplyGrpLo.Sply5VGDICBOT_OvrThrshMtrn.LimPassSec</t>
  </si>
  <si>
    <t>617 - SplyGrp.Sply5VGDICBOT_RngHi
5V_GDIC_BOT Supply voltage short hi</t>
  </si>
  <si>
    <t>5V Supply GDIC Bottom Signal Hi Validity is Invalid:
The signal  representing the validity  of the 5V GDIC (Gate Drive Interface Circuit) Bottom supply voltage signal High
Intrfc.Hw.InRaw.eSply5vGDICBotSgnlHiVldty == SGNL_INVALID
this flag gets Invalid if
Intrfc.Hw.InRaw.Sply5vGDICBotSgnl &gt; K_McpIntrfc.HwCal.Sply5vGDICBotSgnlOvrCal.FltSetThrsh</t>
  </si>
  <si>
    <t>K_McpIntrfc.HwCal.Sply5vGDICBotSgnlOvrCal.LimFailSec</t>
  </si>
  <si>
    <t>K_McpDiag.SplyGrpLo.Sply5VGDICBOT_RngHi.EnblTyp</t>
  </si>
  <si>
    <t>5V Supply GDIC Bottom Signal Hi Validity is not Invalid: 
Intrfc.Hw.InRaw.eSply5vGDICBotSgnlHiVldty != SGNL_INVALID</t>
  </si>
  <si>
    <t>K_McpIntrfc.HwCal.Sply5vGDICBotSgnlOvrCal.LimPassSec</t>
  </si>
  <si>
    <t>616 - SplyGrp.Sply5VGDICBOT_RngLo
5V_GDIC_BOT Supply voltage short low</t>
  </si>
  <si>
    <t>5V Supply GDIC Bottom Signal Lo Validity is Invalid:
The signal  representing the validity  of the 5V GDIC (Gate Drive Interface Circuit) Bottom supply voltage signal Lo
Intrfc.Hw.InRaw.eSply5vGDICBotSgnlLoVldty == SGNL_INVALID
this flag gets Invalid if
Intrfc.Hw.InRaw.Sply5vGDICBotSgnl &lt; K_McpIntrfc.HwCal.Sply5vGDICBotSgnlUndrCal.FltSetThrsh</t>
  </si>
  <si>
    <t>K_McpIntrfc.HwCal.Sply5vGDICBotSgnlUndrCal.LimFailSec</t>
  </si>
  <si>
    <t>K_McpDiag.SplyGrpLo.Sply5VGDICBOT_RngLo.EnblTyp</t>
  </si>
  <si>
    <t>5V Supply GDIC Bottom Signal Lo Validity is not Invalid: 
Intrfc.Hw.InRaw.eSply5vGDICBotSgnlLoVldty != SGNL_INVALID</t>
  </si>
  <si>
    <t>K_McpIntrfc.HwCal.Sply5vGDICBotSgnlUndrCal.LimPassSec</t>
  </si>
  <si>
    <t>582 - SplyGrp.Sply5VGDICBOT_UndrThrshMtrn
5V_GDIC_BOT Supply voltage below threshold</t>
  </si>
  <si>
    <t>5V Supply GDIC Bottom Signal value smaller than Fail Threshold calibration:
Intrfc.Hw.InRaw.Sply5vGDICBotSgnl &lt; K_McpDiag.SplyGrp.Sply5VGDICBOT_UndrThrshMtrn.FltSetThrsh</t>
  </si>
  <si>
    <t>K_McpDiag.SplyGrp.Sply5VGDICBOT_UndrThrshMtrn.LimFailSec</t>
  </si>
  <si>
    <t>K_McpDiag.SplyGrpLo.Sply5VGDICBOT_UndrThrshMtrn.EnblTyp</t>
  </si>
  <si>
    <t>5V Supply GDIC Bottom Signal value must be above or equal to the Pass Threshold:
Intrfc.Hw.InRaw.Sply5vGDICBotSgnl &gt;= K_McpDiag.SplyGrp.Sply5VGDICBOT_UndrThrshMtrn.FltHyst</t>
  </si>
  <si>
    <t>K_McpDiag.SplyGrpLo.Sply5VGDICBOT_UndrThrshMtrn.LimPassSec</t>
  </si>
  <si>
    <t>765 - SplyGrp.Sply5VGDICBOTUV_HW
5V_GDIC_BOT Supply voltage undervoltage HW detection</t>
  </si>
  <si>
    <t>Fault Flag from Low-level Driver
The fault condition is detected the specific bit (bit 20 ) corresponding to Inv_Status_1_5V_GDIC_BOT_UV (5V GDIC (Gate Drive Interface Circuit) Bottom Undervoltage)
IntrfcT1.In.Inv_Status_1 = 1</t>
  </si>
  <si>
    <t>K_McpDiag.SplyGrp.Sply5vGDICBOTUV_HW.LimFailSec</t>
  </si>
  <si>
    <t>K_McpDiag.SplyGrpLo.Sply5vGDICBOTUV_HW.EnblTyp</t>
  </si>
  <si>
    <t>Fault Flag from Low-level Driver
RTE bit read (BIT 20)  from
IntrfcT1.In.Inv_Status_1 = 0</t>
  </si>
  <si>
    <t>K_McpDiag.SplyGrpLo.Sply5vGDICBOTUV_HW.LimPassSec</t>
  </si>
  <si>
    <t>585 - SplyGrp.Sply5VGDICTOP_OvrThrshMtrn
5V_GDIC_TOP Supply voltage above thershold</t>
  </si>
  <si>
    <t xml:space="preserve">
5V Supply GDIC Top Signal value greater than Fail Threshold calibration:
Intrfc.Hw.InRaw.Sply5vGDICTopSgnl &gt; K_McpDiag.SplyGrp.Sply5VGDICTOP_OvrThrshMtrn.FltSetThrsh</t>
  </si>
  <si>
    <t>K_McpDiag.SplyGrp.Sply5VGDICTOP_OvrThrshMtrn.LimFailSec</t>
  </si>
  <si>
    <t>K_McpDiag.SplyGrpLo.Sply5VGDICTOP_OvrThrshMtrn.EnblTyp</t>
  </si>
  <si>
    <t xml:space="preserve">
5V Supply GDIC Top Signal value must be below or equal to the Pass Threshold: 
Intrfc.Hw.InRaw.Sply5vGDICTopSgnl &lt;= K_McpDiag.SplyGrp.Sply5VGDICTOP_OvrThrshMtrn.FltHyst</t>
  </si>
  <si>
    <t>K_McpDiag.SplyGrpLo.Sply5VGDICTOP_OvrThrshMtrn.LimPassSec</t>
  </si>
  <si>
    <t>619 - SplyGrp.Sply5VGDICTOP_RngHi
5V_GDIC_TOP Supply voltage short high</t>
  </si>
  <si>
    <t xml:space="preserve">
5V Supply GDIC Top Signal Hi Validity is Invalid:
Intrfc.Hw.InRaw.eSply5vGDICTopSgnlHiVldty == SGNL_INVALID
this flag gets Invalid if
Intrfc.Hw.InRaw.Sply5vGDICTopSgnl &gt; K_McpIntrfc.HwCal.Sply5vGDICTopSgnlOvrCal.FltSetThrsh</t>
  </si>
  <si>
    <t>K_McpIntrfc.HwCal.Sply5vGDICTopSgnlOvrCal.LimFailSec</t>
  </si>
  <si>
    <t>K_McpDiag.SplyGrpLo.Sply5VGDICTOP_RngHi.EnblTyp</t>
  </si>
  <si>
    <t xml:space="preserve">
5V Supply GDIC Top Signal Hi Validity is not Invalid: 
Intrfc.Hw.InRaw.eSply5vGDICTopSgnlHiVldty != SGNL_INVALID</t>
  </si>
  <si>
    <t>K_McpIntrfc.HwCal.Sply5vGDICTopSgnlOvrCal.LimPassSec</t>
  </si>
  <si>
    <t>618 - SplyGrp.Sply5VGDICTOP_RngLo
5V_GDIC_TOP Supply voltage short low</t>
  </si>
  <si>
    <t xml:space="preserve">
5V Supply GDIC Top Signal Lo Validity is Invalid:
The signal  representing the validity  of the 5V GDIC (Gate Drive Interface Circuit) Top supply voltage signal Lo
Intrfc.Hw.InRaw.eSply5vGDICTopSgnlLoVldty == SGNL_INVALID
this flag gets Invalid if
Intrfc.Hw.InRaw.Sply5vGDICTopSgnl &lt; K_McpIntrfc.HwCal.Sply5vGDICTopSgnlUndrCal.FltSetThrsh</t>
  </si>
  <si>
    <t>K_McpIntrfc.HwCal.Sply5vGDICTopSgnlUndrCal.LimFailSec</t>
  </si>
  <si>
    <t>K_McpDiag.SplyGrpLo.Sply5VGDICTOP_RngLo.EnblTyp</t>
  </si>
  <si>
    <t xml:space="preserve">
5V Supply GDIC Top Signal Lo Validity is not Invalid: 
Intrfc.Hw.InRaw.eSply5vGDICTopSgnlLoVldty != SGNL_INVALID</t>
  </si>
  <si>
    <t>K_McpIntrfc.HwCal.Sply5vGDICTopSgnlUndrCal.LimPassSec</t>
  </si>
  <si>
    <t>584 - SplyGrp.Sply5VGDICTOP_UndrThrshMtrn
5V_GDIC_TOP Supply voltage below thershold</t>
  </si>
  <si>
    <t>5V Supply GDIC Top Signal value smaller than Fail Threshold calibration:
Intrfc.Hw.InRaw.Sply5vGDICTopSgnl &lt; K_McpDiag.SplyGrp.Sply5VGDICTOP_UndrThrshMtrn.FltSetThrsh</t>
  </si>
  <si>
    <t>K_McpDiag.SplyGrp.Sply5VGDICTOP_UndrThrshMtrn.LimFailSec</t>
  </si>
  <si>
    <t>K_McpDiag.SplyGrpLo.Sply5VGDICTOP_UndrThrshMtrn.EnblTyp</t>
  </si>
  <si>
    <t>5V Supply GDIC Top Signal value must be above or equal to the Pass Threshold:
Intrfc.Hw.InRaw.Sply5vGDICTopSgnl &gt;= K_McpDiag.SplyGrp.Sply5VGDICTOP_UndrThrshMtrn.FltHyst</t>
  </si>
  <si>
    <t>K_McpDiag.SplyGrpLo.Sply5VGDICTOP_UndrThrshMtrn.LimPassSec</t>
  </si>
  <si>
    <t>766 - SplyGrp.Sply5VGDICTOPUV_HW
5V_GDIC_TOP Supply voltage undervoltage HW detection</t>
  </si>
  <si>
    <t>Fault Flag from Low-level Driver
The fault condition is detected the specific bit (bit 21 ) corresponding to Inv_Status_1_5V_GDIC_TOP_UV (5V GDIC (Gate Drive Interface Circuit) Top Undervoltage)
IntrfcT1.In.Inv_Status_1 is one.
Fault is triggered in Gate Drive Circuit (GDIC) 5V power supply signal IoHwAb_Get_5V_GDIC_BOT_AI is lower than a threshold INV_LV2_5V_GDIC_BOT_THRESH</t>
  </si>
  <si>
    <t>K_McpDiag.SplyGrp.Sply5vGDICTOPUV_HW.LimFailSec</t>
  </si>
  <si>
    <t>K_McpDiag.SplyGrpLo.Sply5vGDICTOPUV_HW.EnblTyp</t>
  </si>
  <si>
    <t>Fault Flag from Low-level Driver
RTE bit read (BIT 17)  from
IntrfcT1.In.Inv_Status_1 = 0</t>
  </si>
  <si>
    <t>K_McpDiag.SplyGrpLo.Sply5vGDICTOPUV_HW.LimPassSec</t>
  </si>
  <si>
    <t>830 - SplyGrp.SupCapOvrThrshMtrn
Supercapacitor Overvoltage</t>
  </si>
  <si>
    <t>5VA Supply Voltage Signal is between Upper and Lower Threshold:
K_McpDiag.CalAddnl.Ok_5VA_OvrThrsh &gt; Intrfc.Hw.InRaw.Sply5vASgnl &gt; K_McpDiag.CalAddnl.Ok_5VA_UndrThrsh</t>
  </si>
  <si>
    <t>15V Supply Cp Bkp Signal value greater than Fail Threshold calibration:
Intrfc.Hw.InRaw.Sply15vSprCpBkpSgnl &gt; K_McpDiag.SplyGrp.SupCapOvrThrshMtrn.FltSetThrsh</t>
  </si>
  <si>
    <t>K_McpDiag.SplyGrp.SupCapOvrThrshMtrn.LimFailSec</t>
  </si>
  <si>
    <t>K_McpDiag.SplyGrp.SupCapOvrThrshMtrn.EnblTyp</t>
  </si>
  <si>
    <t>15V Supply Cp Bkp Signal value must be below or equal to the Pass Threshold: 
Intrfc.Hw.InRaw.Sply15vSprCpBkpSgnl &lt;= K_McpDiag.SplyGrp.SupCapOvrThrshMtrn.FltHyst</t>
  </si>
  <si>
    <t>K_McpDiag.SplyGrp.SupCapOvrThrshMtrn.LimPassSec</t>
  </si>
  <si>
    <t>829 - SplyGrp.SupCapRngLo
Supercapacitor range low</t>
  </si>
  <si>
    <t>5V Bottom Signal is between Upper and Lower Threshold:K_McpDiag.CalAddnl.Ok_5V_GDIC_BOT_AI_OvrThrsh &gt; Intrfc.Hw.InRaw.Sply5vGDICBotSgnl &gt; K_McpDiag.CalAddnl.Ok_5V_GDIC_BOT_AI_UndrThrsh</t>
  </si>
  <si>
    <t xml:space="preserve">Fail Flag of eSprCp voltage Signal Lo validity must be true:
Intrfc.Hw.InRaw.eSprCpVltgSgnlLoVldty = 1
</t>
  </si>
  <si>
    <t>K_McpDiag.SplyGrp.SupCapRngLo.EnblTyp</t>
  </si>
  <si>
    <t xml:space="preserve">Fail Flag of eSprCp voltage Signal Lo validity must be false:
Intrfc.Hw.InRaw.eSprCpVltgSgnlLoVldty = 0
</t>
  </si>
  <si>
    <t>831 - SplyGrp.SupCapUndrThrshMtrn
Supercapacitor underthreshold</t>
  </si>
  <si>
    <t>5VA Supply Voltage Signal is between Upper and Lower Threshold:
K_McpDiag.CalAddnl.Ok_5VA_OvrThrsh &gt; Intrfc.Hw.InRaw.Sply5vASgnl &gt; K_McpDiag.CalAddnl.Ok_5VA_UndrThrsh
AND
12V Supply Battery Signal is between Upper and Lower Threshold:
K_McpDiag.CalAddnl.Ok_VBatt1_OvrThrsh &gt;=IntrfcT2.In.Sply12vBatSgnl&gt;K_McpDiag.CalAddnl.Ok_VBatt1_UndrThrsh 
AND
Supply Battery 2 Signal is between Upper and Lower Threshold:
K_McpDiag.CalAddnl.Ok_VBatt2_OvrThrsh &gt;= Intrfc.Hw.InRaw.In.SplyBat2Sgnl&gt;K_McpDiag.CalAddnl.Ok_VBatt2_UndrThrsh</t>
  </si>
  <si>
    <t>15V Supply Cp Bkp Signal value smaller than Fail Threshold calibration:
Intrfc.Hw.InRaw.Sply15vSprCpBkpSgnl &lt; K_McpDiag.SplyGrp.SupCapUndrThrshMtrn.FltSetThrsh</t>
  </si>
  <si>
    <t>K_McpDiag.SplyGrp.SupCapUndrThrshMtrn.LimFailSec</t>
  </si>
  <si>
    <t>K_McpDiag.SplyGrp.SupCapUndrThrshMtrn.EnblTyp</t>
  </si>
  <si>
    <t>15V Supply Cp Bkp Signal value must be above or equal to the Pass Threshold:
Intrfc.Hw.InRaw.Sply15vSprCpBkpSgnl &lt; K_McpDiag.SplyGrp.SupCapUndrThrshMtrn.FltHyst</t>
  </si>
  <si>
    <t>K_McpDiag.SplyGrp.SupCapUndrThrshMtrn.LimPassSec</t>
  </si>
  <si>
    <t>272C1C</t>
  </si>
  <si>
    <t>P272C-1C</t>
  </si>
  <si>
    <t>Park Pawl Motor - Circuit Voltage Out of Range</t>
  </si>
  <si>
    <t>61 - SplyPPawlBrdGrp
Suply voltages for Park Pawl bord group</t>
  </si>
  <si>
    <t>Park Pawl actuator supply
Park Pawl-EDM Control Board wiring issue
Park Pawl actuator faulty
PIM Assembly faulty</t>
  </si>
  <si>
    <t>No Park on MCPA</t>
  </si>
  <si>
    <t>565 - SplyPPawlBrdGrp.Sply5VPPAWL1_OvrThrshMtrn
5V_PPAWL1 supply voltage above threshold</t>
  </si>
  <si>
    <t>5V Supply Prk PWL 1 Signal value greater than Fail Threshold calibration:
Intrfc.Hw.InRaw.Sply5vPrkPwl1Sgnl &gt; K_McpDiag.SplyPPawlBrdGrp.Sply5VPPAWL1_OvrThrshMtrn.FltSetThrsh</t>
  </si>
  <si>
    <t>K_McpDiag.SplyPPawlBrdGrp.Sply5VPPAWL1_OvrThrshMtrn.LimFailSec</t>
  </si>
  <si>
    <t>K_McpDiag.SplyPPawlBrdGrp.Sply5VPPAWL1_OvrThrshMtrn.EnblTyp</t>
  </si>
  <si>
    <t>5V Supply Prk PWL 1 Signal value must be below or equal to the Pass Threshold: 
Intrfc.Hw.InRaw.Sply5vPrkPwl1Sgnl &lt;= K_McpDiag.SplyPPawlBrdGrp.Sply5VPPAWL1_OvrThrshMtrn.FltHyst</t>
  </si>
  <si>
    <t>K_McpDiag.SplyPPawlBrdGrp.Sply5VPPAWL1_OvrThrshMtrn.LimPassSec</t>
  </si>
  <si>
    <t>600 - SplyPPawlBrdGrp.Sply5VPPAWL1_RngHi
5V_PPAWL1 supply voltage short high</t>
  </si>
  <si>
    <t>5V Supply Prk PWL 1 Signal Hi Validity is Invalid:
Intrfc.Hw.InRaw.eSply5vPrkPwl1SgnlHiVldty == SGNL_INVALID
this flag gets Invalid if
Intrfc.Hw.InRaw.Sply5vPrkPwl1Sgnl &gt; K_McpIntrfc.HwCal.Sply5vPrkPwl1SgnlOvrCal.FltSetThrsh</t>
  </si>
  <si>
    <t>K_McpIntrfc.HwCal.Sply5vPrkPwl1SgnlOvrCal.LimFailSec</t>
  </si>
  <si>
    <t>K_McpDiag.SplyPPawlBrdGrp.Sply5VPPAWL1_RngHi.EnblTyp</t>
  </si>
  <si>
    <t>5V Supply Prk PWL 1 Signal Hi Validity is not Invalid:
Intrfc.Hw.InRaw.eSply5vPrkPwl1SgnlHiVldty != SGNL_INVALID</t>
  </si>
  <si>
    <t>K_McpIntrfc.HwCal.Sply5vPrkPwl1SgnlOvrCal.LimPassSec</t>
  </si>
  <si>
    <t>598 - SplyPPawlBrdGrp.Sply5VPPAWL1_RngLo
5V_PPAWL1 supply voltage short low</t>
  </si>
  <si>
    <t>5V Supply Prk PWL 1 Signal Lo Validity is Invalid:
Intrfc.Hw.InRaw.eSply5vPrkPwl1SgnlLoVldty == SGNL_INVALID
this flag gets Invalid if
Intrfc.Hw.InRaw.Sply5vPrkPwl1Sgnl &lt;  K_McpIntrfc.HwCal.Sply5vPrkPwl1SgnlUndrCal.FltSetThrsh</t>
  </si>
  <si>
    <t>K_McpIntrfc.HwCal.Sply5vPrkPwl1SgnlUndrCal.LimFailSec</t>
  </si>
  <si>
    <t>K_McpDiag.SplyPPawlBrdGrp.Sply5VPPAWL1_RngLo.EnblTyp</t>
  </si>
  <si>
    <t>5V Supply Prk PWL 1 Signal Lo Validity is not Invalid:
Intrfc.Hw.InRaw.eSply5vPrkPwl1SgnlLoVldty != SGNL_INVALID</t>
  </si>
  <si>
    <t>K_McpIntrfc.HwCal.Sply5vPrkPwl1SgnlUndrCal.LimPassSec</t>
  </si>
  <si>
    <t>564 - SplyPPawlBrdGrp.Sply5VPPAWL1_UndrThrshMtrn
5V_PPAWL1 supply voltage below threshold</t>
  </si>
  <si>
    <t>5V SupplyPrk PWL 1 Signal value smaller than Fail Threshold calibration:
Intrfc.Hw.InRaw.Sply5vPrkPwl1Sgnl &lt; K_McpDiag.SplyPPawlBrdGrp.Sply5VPPAWL1_UndrThrshMtrn.FltSetThrsh</t>
  </si>
  <si>
    <t>K_McpDiag.SplyPPawlBrdGrp.Sply5VPPAWL1_UndrThrshMtrn.LimFailSec</t>
  </si>
  <si>
    <t>K_McpDiag.SplyPPawlBrdGrp.Sply5VPPAWL1_UndrThrshMtrn.EnblTyp</t>
  </si>
  <si>
    <t>5V Supply Prk PWL 1 Signal value must be above or equal to the Pass Threshold:
Intrfc.Hw.InRaw.Sply5vPrkPwl1Sgnl &gt;= K_McpDiag.SplyPPawlBrdGrp.Sply5VPPAWL1_UndrThrshMtrn.FltHyst</t>
  </si>
  <si>
    <t>K_McpDiag.SplyPPawlBrdGrp.Sply5VPPAWL1_UndrThrshMtrn.LimPassSec</t>
  </si>
  <si>
    <t>567 - SplyPPawlBrdGrp.Sply5VPPAWL2_OvrThrshMtrn
5V_PPAWL2 supply voltage above threshold</t>
  </si>
  <si>
    <t>5V Supply Prk PWL 2 Signal value greater than Fail Threshold calibration:
Intrfc.Hw.InRaw.Sply5vPrkPwl2Sgnl &gt; K_McpDiag.SplyPPawlBrdGrp.Sply5VPPAWL2_OvrThrshMtrn.FltSetThrsh</t>
  </si>
  <si>
    <t>K_McpDiag.SplyPPawlBrdGrp.Sply5VPPAWL2_OvrThrshMtrn.LimFailSec</t>
  </si>
  <si>
    <t>K_McpDiag.SplyPPawlBrdGrp.Sply5VPPAWL2_OvrThrshMtrn.EnblTyp</t>
  </si>
  <si>
    <t>5V Supply Prk PWL 2 Signal value must be below or equal to the Pass Threshold: 
Intrfc.Hw.InRaw.Sply5vPrkPwl2Sgnl &lt;= K_McpDiag.SplyPPawlBrdGrp.Sply5VPPAWL2_OvrThrshMtrn.FltHyst</t>
  </si>
  <si>
    <t>K_McpDiag.SplyPPawlBrdGrp.Sply5VPPAWL2_OvrThrshMtrn.LimPassSec</t>
  </si>
  <si>
    <t>601 - SplyPPawlBrdGrp.Sply5VPPAWL2_RngHi
5V_PPAWL2 supply voltage short high</t>
  </si>
  <si>
    <t>5V Supply SupplyPrk PWL 2 Signal Hi Validity is Invalid:
Intrfc.Hw.InRaw.eSply5vPrkPwl2SgnlHiVldty == SGNL_INVALID
this flag gets Invalid if
Intrfc.Hw.InRaw.Sply5vPrkPwl2Sgnl &gt; K_McpIntrfc.HwCal.Sply5vPrkPwl2SgnlOvrCal.FltSetThrsh</t>
  </si>
  <si>
    <t>K_McpIntrfc.HwCal.Sply5vPrkPwl2SgnlOvrCal.LimFailSec</t>
  </si>
  <si>
    <t>K_McpDiag.SplyPPawlBrdGrp.Sply5VPPAWL2_RngHi.EnblTyp</t>
  </si>
  <si>
    <t>5V Supply Prk PWL 2 Signal Hi Validity is not Invalid:
Intrfc.Hw.InRaw.eSply5vPrkPwl2SgnlHiVldty != SGNL_INVALID</t>
  </si>
  <si>
    <t>K_McpIntrfc.HwCal.Sply5vPrkPwl2SgnlOvrCal.LimPassSec</t>
  </si>
  <si>
    <t>599 - SplyPPawlBrdGrp.Sply5VPPAWL2_RngLo
5V_PPAWL2 supply voltage short low</t>
  </si>
  <si>
    <t>5V Supply Prk PWL 2 Signal Lo Validity is Invalid:
Intrfc.Hw.InRaw.eSply5vPrkPwl2SgnlLoVldty == SGNL_INVALID
this flag gets Invalid if
Intrfc.Hw.InRaw.Sply5vPrkPwl2Sgnl &lt;  K_McpIntrfc.HwCal.Sply5vPrkPwl2SgnlUndrCal.FltSetThrsh</t>
  </si>
  <si>
    <t>K_McpIntrfc.HwCal.Sply5vPrkPwl2SgnlUndrCal.LimFailSec</t>
  </si>
  <si>
    <t>K_McpDiag.SplyPPawlBrdGrp.Sply5VPPAWL2_RngLo.EnblTyp</t>
  </si>
  <si>
    <t>5V Supply Prk PWL 2 Signal Lo Validity is not Invalid:
Intrfc.Hw.InRaw.eSply5vPrkPwl2SgnlLoVldty != SGNL_INVALID</t>
  </si>
  <si>
    <t>K_McpIntrfc.HwCal.Sply5vPrkPwl2SgnlUndrCal.LimPassSec</t>
  </si>
  <si>
    <t>566 - SplyPPawlBrdGrp.Sply5VPPAWL2_UndrThrshMtrn
5V_PPAWL2 supply voltage below threshold</t>
  </si>
  <si>
    <t>5V Supply Prk PWL 2 Signal value smaller than Fail Threshold calibration:
Intrfc.Hw.InRaw.Sply5vPrkPwl2Sgnl &lt; K_McpDiag.SplyPPawlBrdGrp.Sply5VPPAWL2_UndrThrshMtrn.FltSetThrsh</t>
  </si>
  <si>
    <t>K_McpDiag.SplyPPawlBrdGrp.Sply5VPPAWL2_UndrThrshMtrn.LimFailSec</t>
  </si>
  <si>
    <t>K_McpDiag.SplyPPawlBrdGrp.Sply5VPPAWL2_UndrThrshMtrn.EnblTyp</t>
  </si>
  <si>
    <t>5V Supply Prk PWL 2 Signal value must be above or equal to the Pass Threshold:
Intrfc.Hw.InRaw.Sply5vPrkPwl2Sgnl &gt;= K_McpDiag.SplyPPawlBrdGrp.Sply5VPPAWL2_UndrThrshMtrn.FltHyst</t>
  </si>
  <si>
    <t>K_McpDiag.SplyPPawlBrdGrp.Sply5VPPAWL2_UndrThrshMtrn.LimPassSec</t>
  </si>
  <si>
    <t>272C16</t>
  </si>
  <si>
    <t>P272C-16</t>
  </si>
  <si>
    <t>Park Pawl Motor - Circuit Voltage Below Threshold</t>
  </si>
  <si>
    <t>72 - SplyPPawlMtrPwrGrp
Supply voltage for Park Pawl motor group</t>
  </si>
  <si>
    <t>91 - SplyPPawlMtrPwrGrp.HbridgeUndrVoltDtctd
Park Pawl H bridge undervoltage detection</t>
  </si>
  <si>
    <t>RTE bit read (BIT 6)  from
IntrfcT1.In.DTC_Bit_Register = 1
Fault starts maturation if:
1.) KePPDR_b_Enbl_HBridgeFlts == 1
AND
2.) 5V PPawl1 is not faulted (VeMcp_b_V5D_FA != 1)
AND
3.) LLD sets undervoltage diagnostic (VePPIR_e_PPawlHBridge_Diag == 10)</t>
  </si>
  <si>
    <t>KePPDR_Cnt_HBridgeUndrVoltDtctd_Dbnc (counts)</t>
  </si>
  <si>
    <t>K_McpDiag.PPawlHbridgeUndrVoltDtctd.EnblTyp</t>
  </si>
  <si>
    <t>Fault Flag from Low-level Driver
RTE bit read (BIT 6)  from
IntrfcT1.In.DTC_Bit_Register = 0</t>
  </si>
  <si>
    <t>628 - SplyPPawlMtrPwrGrp.OvrThrshMtrn
Park Pawl motor supply voltage above threshold</t>
  </si>
  <si>
    <t>Supply Battery 2 Signal is between Upper and Lower Threshold:
K_McpDiag.CalAddnl.Ok_VBatt2_OvrThrsh &gt;= Intrfc.Hw.InRaw.In.SplyBat2Sgnl&gt;K_McpDiag.CalAddnl.Ok_VBatt2_UndrThrsh</t>
  </si>
  <si>
    <t>Prk Motor Power Signal value greater than Fail Threshold calibration:
Intrfc.Hw.InRaw.PrkPwlMtrPwrSgnl &gt; K_McpDiag.SplyPPawlMtrPwrGrp.OvrThrshMtrn.FltSetThrsh</t>
  </si>
  <si>
    <t>K_McpDiag.SplyPPawlMtrPwrGrp.OvrThrshMtrn.LimFailSec</t>
  </si>
  <si>
    <t>K_McpDiag.SplyPPawlMtrPwrGrp.OvrThrshMtrn.EnblTyp</t>
  </si>
  <si>
    <t>Prk Motor Power Signal value must be below or equal to the Pass Threshold: 
Intrfc.Hw.InRaw.PrkPwlMtrPwrSgnl &lt;= K_McpDiag.SplyPPawlMtrPwrGrp.OvrThrshMtrn.FltHyst</t>
  </si>
  <si>
    <t>K_McpDiag.SplyPPawlMtrPwrGrp.OvrThrshMtrn.LimPassSec</t>
  </si>
  <si>
    <t>626 - SplyPPawlMtrPwrGrp.RngHi
Park Pawl motor supply voltage short high</t>
  </si>
  <si>
    <t>Prk Motor Power Signal Hi Validity is Invalid:
Intrfc.Hw.InRaw.ePrkPwlMtrPwrSgnlHiVldty == SGNL_INVALID
this flag gets Invalid if
Intrfc.Hw.InRaw.PrkPwlMtrPwrSgnl &gt; K_TrqSecur.HwCal.PrkPwlMtrPwrSgnlOvrCal.FltSetThrsh</t>
  </si>
  <si>
    <t>K_TrqSecur.HwCal.PrkPwlMtrPwrSgnlOvrCal.LimFailSec</t>
  </si>
  <si>
    <t>K_McpDiag.SplyPPawlMtrPwrGrp.RngHi.EnblTyp</t>
  </si>
  <si>
    <t>Prk Motor Power Signal Hi Validity is not Invalid: 
Intrfc.Hw.InRaw.ePrkPwlMtrPwrSgnlHiVldty != SGNL_INVALID</t>
  </si>
  <si>
    <t>K_TrqSecur.HwCal.PrkPwlMtrPwrSgnlOvrCal.LimPassSec</t>
  </si>
  <si>
    <t>627 - SplyPPawlMtrPwrGrp.RngLo
Park Pawl motor supply voltage short low</t>
  </si>
  <si>
    <t>Prk Motor Power Signal Lo Validity is Invalid:
The signal  representing  the Park Power Moter Power signal from the hardware interface signal Low
Intrfc.Hw.InRaw.ePrkPwlMtrPwrSgnlLoVldty == SGNL_INVALID
this flag gets Invalid if
Intrfc.Hw.InRaw.PrkPwlMtrPwrSgnl &lt; K_TrqSecur.HwCal.PrkPwlMtrPwrSgnlUndrCal.FltSetThrsh</t>
  </si>
  <si>
    <t>K_TrqSecur.HwCal.PrkPwlMtrPwrSgnlUndrCal.LimFailSec</t>
  </si>
  <si>
    <t>K_McpDiag.SplyPPawlMtrPwrGrp.RngLo.EnblTyp</t>
  </si>
  <si>
    <t>Prk Motor Power Signal Lo Validity is not Invalid: 
Intrfc.Hw.InRaw.ePrkPwlMtrPwrSgnlLoVldty != SGNL_INVALID</t>
  </si>
  <si>
    <t>K_TrqSecur.HwCal.PrkPwlMtrPwrSgnlUndrCal.LimPassSec</t>
  </si>
  <si>
    <t>828 - SplyPPawlMtrPwrGrp.SupCapRngHi
SupCap Volt RngHi</t>
  </si>
  <si>
    <t>Fail Flag of eSprCp voltage Signal High validity must be true:
Intrfc.Hw.InRaw.eSprCpVltgSgnlHiVldty = 1
this flag gets Invalid if
Intrfc.Hw.InRaw.SprCpVltgSgnl  &gt; K_McpIntrfc.HwCal.SprCpVltgSgnlOvrCal.FltSetThrsh</t>
  </si>
  <si>
    <t>K_McpIntrfc.HwCal.SprCpVltgSgnlOvrCal.LimFailSec</t>
  </si>
  <si>
    <t>K_McpDiag.SplyPPawlMtrPwrGrp.SupCapRngHi.EnblTyp</t>
  </si>
  <si>
    <t xml:space="preserve">Fail Flag of eSprCp voltage Signal High validity must be false:
Intrfc.Hw.InRaw.eSprCpVltgSgnlHiVldty = 0
</t>
  </si>
  <si>
    <t>K_McpIntrfc.HwCal.SprCpVltgSgnlOvrCal.LimPassSec</t>
  </si>
  <si>
    <t>861 - PPawlHbrridgeGrp.OpnCkt
Park Pawl H Bridge Open Circiut</t>
  </si>
  <si>
    <t>RTE bit read (BIT 4)  from
IntrfcT1.In.DTC_Bit_Register = 1
Fault starts maturation if:
1.) KePPDR_b_Enbl_HBridgeFlts == 1
AND
2.) 5V PPawl1 is not faulted (VeMcp_b_V5D_FA != 1)
AND
3.) LLD sets undervoltage diagnostic (VePPIR_e_PPawlHBridge_Diag == 2)</t>
  </si>
  <si>
    <t>KePPDR_Cnt_HBridgeOpnCkt_Dbnc (counts)</t>
  </si>
  <si>
    <t>K_McpDiag.PPawlHbrridgeGrp.OpnCkt.EnblTyp</t>
  </si>
  <si>
    <t>862 - PPawlHbrridgeGrp.ShrtOvrLoad
Park Pawl H bridge Short overload</t>
  </si>
  <si>
    <t>RTE bit read (BIT 5)  from
IntrfcT1.In.DTC_Bit_Register = 1
Fault starts maturation if:
1.) KePPDR_b_Enbl_HBridgeFlts == 1
AND
2.) 5V PPawl1 is not faulted (VeMcp_b_V5D_FA != 1)
AND
3.) LLD sets short/overload diagnostic (VePPIR_e_PPawlHBridge_Diag == 29)</t>
  </si>
  <si>
    <t>K_McpDiag.PPawlHbridgeShrtOvrLoad.EnblTyp</t>
  </si>
  <si>
    <t>Fault Flag from Low-level Driver
RTE bit read (BIT 5)  from
IntrfcT1.In.DTC_Bit_Register = 0</t>
  </si>
  <si>
    <t>629 - SplyPPawlMtrPwrGrp.UndrThrshMtrn
Park Pawl motor supply voltage below  threshold</t>
  </si>
  <si>
    <t>Prk Motor Power Signal value smaller than Fail Threshold calibration:
Intrfc.Hw.InRaw.PrkPwlMtrPwrSgnl &lt; K_McpDiag.SplyPPawlMtrPwrGrp.UndrThrshMtrn.FltSetThrsh</t>
  </si>
  <si>
    <t>K_McpDiag.SplyPPawlMtrPwrGrp.UndrThrshMtrn.LimFailSec</t>
  </si>
  <si>
    <t>K_McpDiag.SplyPPawlMtrPwrGrp.UndrThrshMtrn.EnblTyp</t>
  </si>
  <si>
    <t>Prk Motor Power Signal value  must be above or equal to the Pass Threshold:
Intrfc.Hw.InRaw.PrkPwlMtrPwrSgnl &gt;= K_McpDiag.SplyPPawlMtrPwrGrp.UndrThrshMtrn.FltHyst</t>
  </si>
  <si>
    <t>K_McpDiag.SplyPPawlMtrPwrGrp.UndrThrshMtrn.LimPassSec</t>
  </si>
  <si>
    <t>F66088</t>
  </si>
  <si>
    <t>U3660-88</t>
  </si>
  <si>
    <t>High Speed FD-CAN5 Communication Bus - Bus Off</t>
  </si>
  <si>
    <t>/ - 
/</t>
  </si>
  <si>
    <t>High Speed FD-CAN5 bus electrical issue 
one of the controller on the bus is damaged
PIM faulty</t>
  </si>
  <si>
    <t>check High Speed FD-CAN5 bus for resistance
check for DTCs in other controller on same bus
disconnect one by one controllers on same bus
if fault is still present, replace PIM</t>
  </si>
  <si>
    <t xml:space="preserve">
1. DMRR_g_EnblCondSts_GetDMRR_g_EnblCondSts should be disabled
2. Voltage should be in valid range for 1sec</t>
  </si>
  <si>
    <t xml:space="preserve">
1. Can network state is in BusOffstate
2. Current ComM Mode of FD5_Channel should not be in FULL COM mode</t>
  </si>
  <si>
    <t>1 sec</t>
  </si>
  <si>
    <t>10ms</t>
  </si>
  <si>
    <t xml:space="preserve">Bus Off state in FD5 should be recovered. </t>
  </si>
  <si>
    <t>As we have 2 Bus(FD16 &amp; FD5), if FD5 bus goes Bus off, FD16 would become a backup.</t>
  </si>
  <si>
    <t>F66092</t>
  </si>
  <si>
    <t>U3660-92</t>
  </si>
  <si>
    <t>High Speed FD-CAN5 Communication Bus - Performance or Incorrect Operation</t>
  </si>
  <si>
    <t>1. KeCAND_g_BusOpenMsgEnblMaskFD5 should be greater than 0.
2. Voltage should be valid range for 1sec</t>
  </si>
  <si>
    <t>1. Current ComM Mode of FD5_Channel should be in FULL COM mode
2. when all the configured Rx message is not recieved, High Speed FD-CAN5 Communication Bus Performance DTC will Set</t>
  </si>
  <si>
    <t>All the configured Rx message should be received in FD5 bus.</t>
  </si>
  <si>
    <t>As we have 2 Bus(FD16 &amp; FD5), if FD5 bus goes Bus Open, FD16 would become a backup.</t>
  </si>
  <si>
    <t>F66B88</t>
  </si>
  <si>
    <t>U366B-88</t>
  </si>
  <si>
    <t>High Speed FD-CAN16 Communication Bus - Bus Off</t>
  </si>
  <si>
    <t>High Speed FD-CAN16 bus electrical issue 
one of the controller on the bus is damaged
PIM faulty</t>
  </si>
  <si>
    <t>check High Speed FD-CAN16 bus for resistance
check for DTCs in other controller on same bus
disconnect one by one controllers on same bus
if fault is still present, replace PIM</t>
  </si>
  <si>
    <t xml:space="preserve">Bus Off state in FD16 should be recovered. </t>
  </si>
  <si>
    <t>As we have 2 Bus(FD16 &amp; FD5), if FD16 bus goes Bus off, FD5 Bus would become a backup.</t>
  </si>
  <si>
    <t>F66B92</t>
  </si>
  <si>
    <t>U366B-92</t>
  </si>
  <si>
    <t>High Speed FD-CAN16 Communication Bus - Performance or Incorrect Operation</t>
  </si>
  <si>
    <t>High Speed FD-CAN16bus electrical issue 
one of the controller on the bus is damaged
PIM faulty</t>
  </si>
  <si>
    <t xml:space="preserve">
1. KeCAND_g_BusOpenMsgEnblMaskFD16 should be greater than 0.
2. Voltage should be valid range for 1sec</t>
  </si>
  <si>
    <t xml:space="preserve">
1. Current ComM Mode of FD16_Channel should be in FULL COM mode
2. when all the configured Rx message is not recieved, High Speed FD-CAN16 Communication Bus Performance DTC will Set</t>
  </si>
  <si>
    <t>All the configured Rx message should be received in FD16 bus.</t>
  </si>
  <si>
    <t>As we have 2 Bus(FD16 &amp; FD5), if FD16 bus goes Bus Open, FD5 Bus would become a backup.</t>
  </si>
  <si>
    <t>FFFF55</t>
  </si>
  <si>
    <t>U3FFF-55</t>
  </si>
  <si>
    <t>Control Module Manufacture/Plant/Transportation Mode Active - Not Configured</t>
  </si>
  <si>
    <t>945 - SysDiagInPlantMode
ECU In - Plant Mode Active:</t>
  </si>
  <si>
    <t>Reduced performance</t>
  </si>
  <si>
    <t>Vehicle is in Plant Mode</t>
  </si>
  <si>
    <t>Disable plant mode</t>
  </si>
  <si>
    <t>Fail Flag of ECU In - Plant Mode Active  must be true:
McpSysDiag_ac_B.InPlantMode  = 1
This flag gets true if the plant mode  command is sent from External Tester</t>
  </si>
  <si>
    <t>K_McpDiag.SysDiagInPlantMode.EnblTyp</t>
  </si>
  <si>
    <t>Fault Flag from Low-level Driver
System Diag plant mode Bit ??? must be false
RTE bit read (BIT ???)  from
McpDiag.InRaw.VeSysDiag_b_InPlantMode = 0</t>
  </si>
  <si>
    <t>061B92</t>
  </si>
  <si>
    <t>P061B-92</t>
  </si>
  <si>
    <t>Internal Control Module Torque Calculation - Performance or Incorrect Operation</t>
  </si>
  <si>
    <t>69 - TrqAchvdLv1
absolute differnece between Torque archieved and Torque comanded above threshold</t>
  </si>
  <si>
    <t>Wiring from eMotor to PIM Assembly 
PIM Assembly  faulty
EDM Assembly faulty</t>
  </si>
  <si>
    <t xml:space="preserve">Check Wiring from eMotor to EDM Inverter for damaged connectors and repair/replace if needed
If fault is stil present, replace PIM Assembly 
If fault is stil present replace EDM Assembly </t>
  </si>
  <si>
    <t>5V Supply Voltage A is between Upper and Lower Threshold:
K_McpDiag.CalAddnl.Ok_5VA_OvrThrsh  &gt; Intrfc.Hw.InRaw.Sply5vASgnl &gt; K_McpDiag.CalAddnl.Ok_5VA_UndrThrsh
AND
5V Current Sense Signal is between Upper and Lower Threshold:
K_McpDiag.CalAddnl.Ok_5V_CURRENT_SENSE_OvrThrsh  &gt; [Intrfc.Hw.InRaw.Sply5vCrntSnsSgnl] &gt; K_McpDiag.CalAddnl.Ok_5V_CURRENT_SENSE_UndrThrsh
AND
Mode Command MCP must be equal to Torque Control(1):
VeMCIR_e_ModeCommand_MCP = TORQUE_CONTROL</t>
  </si>
  <si>
    <t xml:space="preserve">The Integral (McpDiag.In.TrqAchvdFltsDiagSgnl) is the Result of the Multiplication of a physical signal (A) and fixed calibration multiplied with sample time (B):
A) Difference between (1) and (2): 
-1) Absolute Value of Difference between (TrqAchvd and Tsk.TrqCmdSlew_withAemd)
-2) Proc_Aemd.Prvt.TrqAchvdTrckLimLib.FnlLim  
B) Fixed calibration (3) multiplied with sample time (4):
-3) K_McpProcAemd.TrqAchvdDiffAemdMultLib.TrqDiffGn
-4) McpProcStMchn.In.AppTsk1Ts (0.002)
The Integral value must be greater than Fail Threshold calibration:
Integral &gt; K_McpDiag.TrqAchvdLv1.FltSetThrsh
</t>
  </si>
  <si>
    <t>K_McpDiag.TrqAchvdLv1.LimFailSec</t>
  </si>
  <si>
    <t>K_McpDiag.TrqAchvdLv1.EnblTyp</t>
  </si>
  <si>
    <t xml:space="preserve">The Integral (McpDiag.In.TrqAchvdFltsDiagSgnl) is the Result of the Multiplication of a physical signal (1) and fixed calibration multiplied with sample time (2):
1) Difference between: 
- Absolute Value of Difference between TrqAchvd and Tsk.TrqCmdSlew_woAemd 
- Proc_Aemd.Prvt.TrqAchvdTrckLimLib.FnlLim  
2) Fixed calibration multiplied with sample time:
- K_McpProcAemd.TrqAchvdDiffAemdMultLib.TrqDiffGn
- McpProcStMchn.In.AppTsk1Ts (0.002)
The Pass Condition is the following OR condition:
- The Integral value must be smaller or equal than Fail Threshold calibration:
Integral &lt;= K_McpDiag.TrqAchvdLv1.FltSetThrsh
OR
- The Integral value is smaller than Zero:
Integral &lt; 0
</t>
  </si>
  <si>
    <t>K_McpDiag.TrqAchvdLv1.LimPassSec</t>
  </si>
  <si>
    <t>0C1900</t>
  </si>
  <si>
    <t>P0C19-00</t>
  </si>
  <si>
    <t>Drive Motor "A" Torque Delivered Performance - no sub type information</t>
  </si>
  <si>
    <t>37 - TrqSecurGrp
/</t>
  </si>
  <si>
    <t>Lack of power
Downgrading of driving performance
Difficult to reach maximum speed</t>
  </si>
  <si>
    <t xml:space="preserve">PIM Assembly SW or HW faulty
</t>
  </si>
  <si>
    <t>1. Check phase connection between PIM Assembly and Motor
2. Checking for winding resistance
3. If fault is still present, replace PIM Assembly.</t>
  </si>
  <si>
    <t>802 - TrqSecurGrp.CanLocReactn
This is the combination of Primary and  and Backup fault set in parallel.
LoCReactnFlt fault will be used for MCP LoC reation
NOT need A P-code because primary and backup have already a P-code 
also EVCU will set additional DTC for LOC with MCP
(confirmed by Bharath)
CanLoCReactnFltFlg (SW interface In.SigStsGroupForVSMCrash) includes the Mode command that is the representative signal   from the message Inverter_traget propulsion1 (GEN2)
for ERAD it contains the most important CAN siagnls for Inverter controll</t>
  </si>
  <si>
    <t>Torque Secure Enable Common Faults must be true:
TrqSecur.In.InRTE.EnblCommFaults = 1</t>
  </si>
  <si>
    <t>Fault Flag from Low-level Driver
One of these bits of Mode Command MCP Signal Status must be active:
RTE bit read (BIT 1 ,2 ,3, 4) from
TrqSecur.In.InRTE.ModeCommand_MCP_SigSts = 1
AND
All of these bits of Mode Command MCP Signal Status must be active:
RTE bit read (BIT 7, 8, 9, 10, 11, 12, 13, 14) from
TrqSecur.In.InRTE.ModeCommand_MCP_SigSts = 1
OR
One of these bits of Mode Command MCP Signal Status must be active:
RTE bit read (BIT 7 , 8, 9, 10, 11) from
TrqSecur.In.InRTE.ModeCommand_MCP_SigSts = 1
AND
Mode Command MCP Signal Status Bit 4 must be active:
RTE bit read (BIT 4) from
TrqSecur.In.InRTE.ModeCommand_MCP_SigSts = 1
This fault is set if there is a issue on BOTH CAN bus, if, PRiM AND Backup CAN have any issue (LOC / CRC/ MC ect) the fault is set</t>
  </si>
  <si>
    <t>K_TrqSecur.Diag.CanLocReactn.LimFailSec</t>
  </si>
  <si>
    <t>K_TrqSecur.Diag.CanLocReactn.EnblTyp</t>
  </si>
  <si>
    <t>Lv2TskTm_Sec - 4 ms</t>
  </si>
  <si>
    <t>Fault Flag from Low-level Driver
All of these bits of Mode Command MCP Signal Status must be false:
RTE bit read (BIT 1 ,2 ,3, 4) from
TrqSecur.In.InRTE.ModeCommand_MCP_SigSts = 0
OR
One of these bits of Mode Command MCP Signal Status must be false:
RTE bit read (BIT 7, 8, 9, 10, 11, 12, 13, 14) from
TrqSecur.In.InRTE.ModeCommand_MCP_SigSts = 0
AND
All of these bits of Mode Command MCP Signal Status must be false:
RTE bit read (BIT 7 , 8, 9, 10, 11) from
TrqSecur.In.InRTE.ModeCommand_MCP_SigSts = 0
AND
Mode Command MCP Signal Status Bit 4 must be false:
RTE bit read (BIT 4) from
TrqSecur.In.InRTE.ModeCommand_MCP_SigSts = 0</t>
  </si>
  <si>
    <t>K_TrqSecur.Diag.CanLocReactn.LimPassSec</t>
  </si>
  <si>
    <t xml:space="preserve">501 - TrqSecurGrp.CurrSnsrSumGrp_OvrThrshMtrn
The magnitude of the sum of current sensors for pahse A,B, and C is out of range. </t>
  </si>
  <si>
    <t>Absolute Value of this Sum (Level 2 Phase U Current + Level 2 Phase V Current + Level 2 Phase W Current)  must be greater than Fail Threshold Calibration:
Absolute Value (LV2_Proxy.Proxy_Out.ToRTE.PhsUCurrLv2 + LV2_Proxy.Proxy_Out.ToRTE.PhsVCurrLv2 + LV2_Proxy.Proxy_Out.ToRTE.PhsWCurrLv2) &gt; K_TrqSecur.Diag.CurrSnsrSumGrp_OvrThrshMtrn.FltSetThrsh</t>
  </si>
  <si>
    <t>K_TrqSecur.Diag.CurrSnsrSumGrp_OvrThrshMtrn.LimFailSec</t>
  </si>
  <si>
    <t>K_TrqSecur.Diag.CurrSnsrSumGrp_OvrThrshMtrn.EnblTyp</t>
  </si>
  <si>
    <t>Absolute Value of this Sum (Level 2 Phase U Current + Level 2 Phase V Current + Level 2 Phase W Current) must be below or equal to the Pass Threshold: 
Absolute Value (LV2_Proxy.Proxy_Out.ToRTE.PhsUCurrLv2 + LV2_Proxy.Proxy_Out.ToRTE.PhsVCurrLv2 + LV2_Proxy.Proxy_Out.ToRTE.PhsWCurrLv2) &lt;= K_TrqSecur.Diag.CurrSnsrSumGrp_OvrThrshMtrn.FltHyst</t>
  </si>
  <si>
    <t>K_TrqSecur.Diag.CurrSnsrSumGrp_OvrThrshMtrn.LimPassSec</t>
  </si>
  <si>
    <t>780 - TrqSecurGrp.DcCurrGrp_OvrThrshMtrn
Current_DCB OvrThrsh</t>
  </si>
  <si>
    <t>Torque Secure Supply 5V GDIC Top Signal is between Upper and Lower Threshold:
K_TrqSecur.K_LV2_5V_GDIC_TOP_OvrThrsh &gt; TrqSecur.Hw.InRaw.Sply5vGDICTopSgnl &gt; K_TrqSecur.K_LV2_5V_GDIC_TOP_UndrThrsh</t>
  </si>
  <si>
    <t>Level 2 Current DCB must be greater than Fail Threshold Calibration:
LV2_Proxy.Proxy_Out.ToRTE.Current_DCB_RTE &gt; K_TrqSecur.Diag.DcCurrRngHi.FltSetThrsh</t>
  </si>
  <si>
    <t>K_TrqSecurGrp.DcCurrGrp_OvrThrshMtrn.LimFailSec</t>
  </si>
  <si>
    <t>K_TrqSecurGrp.DcCurrGrp_OvrThrshMtrn.EnblTyp</t>
  </si>
  <si>
    <t>Level 2 Current DCB must be below or equal to the Pass Threshold: 
LV2_Proxy.Proxy_Out.ToRTE.Current_DCB_RTE &lt;= K_TrqSecur.Diag.DcCurrRngHi.FltHyst</t>
  </si>
  <si>
    <t>K_TrqSecur.Diag..CurrSnsrSumGrp_OvrThrshMtrn.LimPassSec</t>
  </si>
  <si>
    <t>821 - TrqSecurGrp.DcCurrGrp_Rtnly
DC High Voltage Rationality check
deviation caluculated Vs sensor current to high</t>
  </si>
  <si>
    <t>Absolute Value of DIfference between Level 2 Current DCB RTE and Level 2 Dc Current must be greater than Fail Threshold Calibration:
Absolute Value of (TrqSecurDiag.FromSnsrAct.Lv2HwGtDrvFlts.CURRENT_DCB -
TrqSecurDiag.FromSnsrAct.Lv2Data.DcCurr) &gt; K_TrqSecur.Diag.DcCurrGrp_Rtnly.FltSetThrsh [A]</t>
  </si>
  <si>
    <t>K_TrqSecur.Diag.DcCurrGrp_Rtnly.LimFailSec</t>
  </si>
  <si>
    <t>K_TrqSecur.Diag.DcCurrGrp_Rtnly.EnblTyp</t>
  </si>
  <si>
    <t>Absolute Value of DIfference between Level 2 Current DCB RTE and Level 2 Dc Current must be be below or equal to the Pass Threshold:
Absolute Value of  (TrqSecurDiag.FromSnsrAct.Lv2HwGtDrvFlts.CURRENT_DCB -
TrqSecurDiag.FromSnsrAct.Lv2Data.DcCurr) &lt;= K_TrqSecur.Diag.DcCurrGrp_Rtnly.FltHyst</t>
  </si>
  <si>
    <t>K_TrqSecur.Diag.DcCurrGrp_Rtnly.LimPassSec</t>
  </si>
  <si>
    <t>943 - TrqSecurGrp.DcCurrGrp_UndrThrshMtrn
Current_DCB OvrThrsh</t>
  </si>
  <si>
    <t>Level 2 Current DCB must be smaller than Fail Threshold Calibration:
LV2_Proxy.Proxy_Out.ToRTE.Current_DCB_RTE &lt; K_TrqSecur.Diag.DcCurrRngLo.FltSetThrsh</t>
  </si>
  <si>
    <t>K_TrqSecur.Diag.DcCurrGrp.UndrThrshMtrn.LimFailSec</t>
  </si>
  <si>
    <t>K_TrqSecur.Diag.DcCurrGrp.UndrThrshMtrn.EnblTyp</t>
  </si>
  <si>
    <t>Level 2 Current DCB must be greater or equal to the Pass Threshold: 
LV2_Proxy.Proxy_Out.ToRTE.Current_DCB_RTE &gt;= K_TrqSecur.Diag.DcCurrRngLo.FltHyst</t>
  </si>
  <si>
    <t xml:space="preserve">781 - TrqSecurGrp.DcCurrRngHi
DC current electrical short High </t>
  </si>
  <si>
    <t>Level 2 Current DCB must be greater than Fail Threshold Calibration:
TrqSecurDiag.FromSnsrAct.Lv2HwGtDrvFlts.CURRENT_DCB &gt; K_TrqSecur.Diag.DcCurrRngHi.FltSetThrsh [A]</t>
  </si>
  <si>
    <t>K_TrqSecur.Diag.DcCurrRngHi.LimFailSec</t>
  </si>
  <si>
    <t>K_TrqSecur.Diag.DcCurrRngHi.EnblTyp</t>
  </si>
  <si>
    <t>Level 2 Current DCB must be below or equal to the Pass Threshold:
TrqSecurDiag.FromSnsrAct.Lv2HwGtDrvFlts.CURRENT_DCB &lt;= K_TrqSecur.Diag.DcCurrRngHi.FltHyst</t>
  </si>
  <si>
    <t>K_TrqSecur.Diag.DcCurrRngHi.LimPassSec</t>
  </si>
  <si>
    <t>782 - TrqSecurGrp.DcCurrRngLo
DC current electrical short Low</t>
  </si>
  <si>
    <t>Level 2 Current DCB must be smaller than Fail Threshold Calibration:
TrqSecurDiag.FromSnsrAct.Lv2HwGtDrvFlts.CURRENT_DCB &lt; K_TrqSecur.Diag.DcCurrRngLo.FltSetThrsh [A]</t>
  </si>
  <si>
    <t>K_TrqSecur.Diag.DcCurrRngLo.LimFailSec</t>
  </si>
  <si>
    <t>K_TrqSecur.Diag.DcCurrRngLo.EnblTyp</t>
  </si>
  <si>
    <t>Level 2 Current DCB must be greater or equal to the Pass Threshold:
TrqSecurDiag.FromSnsrAct.Lv2HwGtDrvFlts.CURRENT_DCB &gt;= K_TrqSecur.Diag.DcCurrRngLo.FltHyst</t>
  </si>
  <si>
    <t>K_TrqSecur.Diag.DcCurrRngLo.LimPassSec</t>
  </si>
  <si>
    <t>664 - TrqSecurGrp.DeltaMtrSpdLv1
compare of Motor speed LV1 vs LV2 signal sourse</t>
  </si>
  <si>
    <t xml:space="preserve">Torque Secure Supply 5vA Signal is between Upper and Lower Threshold:
K_TrqSecur.K_LV2_5VA_OvrThrsh &gt; TrqSecur.Hw.InRaw.Sply5vASgnl &gt; K_TrqSecur.K_LV2_5VA_UndrThrsh
AND
LV2 Motor Residual Speed must be equal to 1:
Ok_Lv2_MtrResSpd = 1
</t>
  </si>
  <si>
    <t>Absolute Value of Difference between Level 2 Motor Speed in RPM and MCPA RPM V must be greater than Fail Threshold Calibration:
Absolute Value of (SpeedLV2_Proxy.Proxy_Out.ToRTE.Spd_RPM - Intrfc.Out.MCPA_RPM) &gt; K_TrqSecur.Diag.DeltaMtrSpdLv1.FltSetThrsh</t>
  </si>
  <si>
    <t>K_TrqSecur.Diag.DeltaMtrSpdLv1.LimFailSec</t>
  </si>
  <si>
    <t>K_TrqSecur.Diag.DeltaMtrSpdLv1.EnblTyp</t>
  </si>
  <si>
    <t>Absolute Value of Difference between Level 2 Motor Speed in RPM and MCPA RPM V must be below or equal to the Pass Threshold:
Absolute Value of (SpeedLV2_Proxy.Proxy_Out.ToRTE.Spd_RPM - Intrfc.Out.MCPA_RPM) &lt;= K_TrqSecur.Diag.DeltaMtrSpdLv1.FltHyst</t>
  </si>
  <si>
    <t>K_TrqSecur.Diag.DeltaMtrSpdLv1.LimPassSec</t>
  </si>
  <si>
    <t>789 - TrqSecurGrp.HwGtDrvGrp_ConfigTmOut
Gate Driver Dead Time Violation</t>
  </si>
  <si>
    <t xml:space="preserve">Torque Secure Supply 5V GDIC Bottom Signal is between Upper and Lower Threshold:
K_TrqSecur.K_LV2_5V_GDIC_BOT_OvrThrsh &gt; TrqSecur.Hw.InRaw.Sply5vGDICBotSgnl &gt; K_TrqSecur.K_LV2_5V_GDIC_BOT_UndrThrsh
AND
Torque Secure Supply 24V Fly Back Gate Drive Board Signal is between Upper and Lower Threshold:
K_TrqSecur.K_LV2_24V_OvrThrsh &gt; TrqSecur.Hw.InRaw.Sply24vFlyBckGtDrvBrdSgnl &gt; K_TrqSecur.K_LV2_24V_UndrThrsh
AND
Download Parm Completed must be true:
SlowCDD.Prvt.DownloadParmCompleted = 1
</t>
  </si>
  <si>
    <t>Fault Set for:
SlowCDD.FaultStatus = 1
At power up, Gate Drive Circuit (GDIC) configuration needs to be downloaded to the GDIC chip. MCP application layer after power up waits download to be completed to carry on with other tasks. This diagnostic fails if the flag from low level driver (LLD) indicates that download was not succeful.</t>
  </si>
  <si>
    <t>K_TrqSecur.Diag.HwGtDrvGrp_ConfigTmOut.LimFailSec</t>
  </si>
  <si>
    <t>K_TrqSecur.Diag.HwGtDrvGrp_ConfigTmOut.EnblTyp</t>
  </si>
  <si>
    <t>No Fault Set for:
SlowCDD.FaultStatus = 0</t>
  </si>
  <si>
    <t>K_TrqSecur.Diag.HwGtDrvGrp_ConfigTmOut.LimPassSec</t>
  </si>
  <si>
    <t>774 - TrqSecurGrp.HwGtDrvGrp_DSAT_BOT_FLT_FB_HW
GDIC VCE overvoltage is detected</t>
  </si>
  <si>
    <t>Torque Secure Supply 5V GDIC Top Signal is between Upper and Lower Threshold:
K_TrqSecur.K_LV2_5V_GDIC_TOP_OvrThrsh &gt; TrqSecur.Hw.InRaw.Sply5vGDICTopSgnl &gt; K_TrqSecur.K_LV2_5V_GDIC_TOP_UndrThrsh
AND
Torque Secure Supply 24V Fly Back Gate Drive Board Signal is between Upper and Lower Threshold:
K_TrqSecur.K_LV2_24V_OvrThrsh &gt; TrqSecur.Hw.InRaw.Sply24vFlyBckGtDrvBrdSgnl &gt; K_TrqSecur.K_LV2_24V_UndrThrsh</t>
  </si>
  <si>
    <t>Fault Flag from Low-level Driver
RTE bit read (BIT 10)  from
LV2_Proxy.Proxy_Out.ToRTE.Inv_Status_1 = 1
Moreover,
Checks if desaturation occurs in bottom switches.
Inv_Status_1_DSAT_BOT_DIG_IN_LV2 = 1
This diagnostic will fail if Gate Drive Circuit (GDIC) detects a DSAT Fault. DSAT fault is communicated to Main Micro through a discrete I/O pin to LLD. LLD then informs the application layer through Inv_Status_1_DSAT_BOT_DIG_IN_LV2 bit 10
DSAT Bot refers to lower leg power switches</t>
  </si>
  <si>
    <t>K_TrqSecur.Diag.HwGtDrvGrp_DSAT_BOT_FLT_FB_HW.LimFailSec</t>
  </si>
  <si>
    <t>K_TrqSecur.Diag.HwGtDrvGrp_DSAT_BOT_FLT_FB_HW.EnblTyp</t>
  </si>
  <si>
    <t>Fault Flag from Low-level Driver
RTE bit read (BIT 10)  from
LV2_Proxy.Proxy_Out.ToRTE.Inv_Status_1 = 0</t>
  </si>
  <si>
    <t>K_TrqSecur.Diag.HwGtDrvGrp_DSAT_BOT_FLT_FB_HW.LimPassSec</t>
  </si>
  <si>
    <t>772 - TrqSecurGrp.HwGtDrvGrp_DSAT_TOP_FLT_FB_HW
GDIC VCE overvoltage is detected</t>
  </si>
  <si>
    <t>Fault Flag from Low-level Driver
RTE bit read (BIT 8)  from
LV2_Proxy.Proxy_Out.ToRTE.Inv_Status_1 = 1
Moreover,
Checks if desaturation occurs in top switches.
Inv_Status_1_DSAT_TOP_DIG_IN_LV2 = 1
This diagnostic will fail if Gate Drive Circuit (GDIC) detects a DSAT Fault. DSAT fault is communicated to Main Micro through a discrete I/O pin to LLD. LLD then informs the application layer through Inv_Status_1_DSAT_BOT_DIG_IN_LV2 bit 8
DSAT Top refers to upper leg power switches</t>
  </si>
  <si>
    <t>K_TrqSecur.Diag.HwGtDrvGrp_DSAT_TOP_FLT_FB_HW.LimFailSec</t>
  </si>
  <si>
    <t>K_TrqSecur.Diag.HwGtDrvGrp_DSAT_TOP_FLT_FB_HW.EnblTyp</t>
  </si>
  <si>
    <t>Fault Flag from Low-level Driver
RTE bit read (BIT 8)  from
LV2_Proxy.Proxy_Out.ToRTE.Inv_Status_1 = 0</t>
  </si>
  <si>
    <t>K_TrqSecur.Diag.HwGtDrvGrp_DSAT_TOP_FLT_FB_HW.LimPassSec</t>
  </si>
  <si>
    <t>771 - TrqSecurGrp.HwGtDrvGrp_EmrgcyStp
E-stop Button Pushed / circuit failed</t>
  </si>
  <si>
    <t>Fault Flag from Low-level Driver
RTE bit read (BIT 7)  from
LV2_Proxy.Proxy_Out.ToRTE.Inv_Status_1 = 1
Emergency PIN Voltage is below a threshold
Inv_Status_1_ESTOP_DIG_IN_LV2 = 1</t>
  </si>
  <si>
    <t>K_TrqSecur.Diag.HwGtDrvGrp_EmrgcyStp.EnblTyp</t>
  </si>
  <si>
    <t>Fault Flag from Low-level Driver
RTE bit read (BIT 7)  from
LV2_Proxy.Proxy_Out.ToRTE.Inv_Status_1 = 0</t>
  </si>
  <si>
    <t>775 - TrqSecurGrp.HwGtDrvGrp_UVLO_BOT_FLT_FB_HW
Gate Driver Voltage is Out Of Range</t>
  </si>
  <si>
    <t>Fault Flag from Low-level Driver
RTE bit read (BIT 11)  from
LV2_Proxy.Proxy_Out.ToRTE.Inv_Status_1 = 1
Moreover,
Checks if power supply under voltage condition occurs in bottom switches.
Inv_Status_1_UVLO_BOT_DIG_IN_LV2 = 1
This diagnostic will fail if Gate Drive Circuit (GDIC) detects a power supply under voltage Fault. UVLO fault is communicated to Main Micro through a discrete I/O pin to LLD. LLD then informs the application layer through Inv_Status_1_UVLO_BOT_DIG_IN_LV2 bit 11
UVLO Bot refers to lower leg power switches</t>
  </si>
  <si>
    <t>K_TrqSecur.Diag.HwGtDrvGrp_UVLO_BOT_FLT_FB_HW.LimFailSec</t>
  </si>
  <si>
    <t>K_TrqSecur.Diag.HwGtDrvGrp_UVLO_BOT_FLT_FB_HW.EnblTyp</t>
  </si>
  <si>
    <t>Fault Flag from Low-level Driver
RTE bit read (BIT 11)  from
LV2_Proxy.Proxy_Out.ToRTE.Inv_Status_1 = 0</t>
  </si>
  <si>
    <t>K_TrqSecur.Diag.HwGtDrvGrp_UVLO_BOT_FLT_FB_HW.LimPassSec</t>
  </si>
  <si>
    <t>773 - TrqSecurGrp.HwGtDrvGrp_UVLO_TOP_FLT_FB_HW
Gate Driver Voltage is Out Of Range</t>
  </si>
  <si>
    <t>Fault Flag from Low-level Driver
RTE bit read (BIT 9)  from
LV2_Proxy.Proxy_Out.ToRTE.Inv_Status_1 = 1
Moreover,
Checks if power supply under voltage condition occurs in top switches.
Inv_Status_1_UVLO_TOP_DIG_IN_LV2 = 1
This diagnostic will fail if Gate Drive Circuit (GDIC) detects a power supply under voltage Fault. UVLO fault is communicated to Main Micro through a discrete I/O pin to LLD. LLD then informs the application layer through Inv_Status_1_UVLO_TOP_DIG_IN_LV2 bit 9
UVLO TOP refers to upper leg power switches</t>
  </si>
  <si>
    <t>K_TrqSecur.Diag.HwGtDrvGrp_UVLO_TOP_FLT_FB_HW.LimFailSec</t>
  </si>
  <si>
    <t>K_TrqSecur.Diag.HwGtDrvGrp_UVLO_TOP_FLT_FB_HW.EnblTyp</t>
  </si>
  <si>
    <t>Fault Flag from Low-level Driver
RTE bit read (BIT 9)  from
LV2_Proxy.Proxy_Out.ToRTE.Inv_Status_1 = 0</t>
  </si>
  <si>
    <t>K_TrqSecur.Diag.HwGtDrvGrp_UVLO_TOP_FLT_FB_HW.LimPassSec</t>
  </si>
  <si>
    <t>503 - TrqSecurGrp.IdcDir
Current is aplied to the wrong direction</t>
  </si>
  <si>
    <t>Torque Secure Supply 5V Current Sense Signal is between Upper and Lower Threshold:
K_TrqSecur.K_LV2_5V_CURRENT_SENSE_OvrThrsh &gt; TrqSecur.Hw.InRaw.Sply5vCrntSnsSgnl &gt; K_TrqSecur.K_LV2_5V_CURRENT_SENSE_UndrThrsh
AND
Level 2 Power Stage Command Feedback is equal to a type:
LV2_Proxy.Proxy_Out.ToRTE.PwrStageCommand_Feedback == PWR_STAGE_ACTIVE</t>
  </si>
  <si>
    <t xml:space="preserve">The Fail Condition is fulfilled (TrqSecurDiag.Diag.IdcDir.FltFlgFrmLLD = 1) if one of these two OR conditions are satisfied: 
1) Level 2 Command Power is greater or equal to 0:
TrqSecur.LV2Data.Prvt.CmnddPwr &gt;= 0
AND
Level 2 DC Current is smaller than the the negative value of Signal Chk Amps:
LV2_Proxy.Proxy_Out.ToRTE.DcCurr &lt; - TrqSecur.LV2Data.Prvt.SgnChk_Amps
OR
2) Level 2 Command Power is smaller or equal to 0:
TrqSecur.LV2Data.Prvt.CmnddPwr &lt;= 0
AND
Level 2 DC Current is greater than the the positive value of Signal Chk Amps:
LV2_Proxy.Proxy_Out.ToRTE.DcCurr &gt; TrqSecur.LV2Data.Prvt.SgnChk_Amps
</t>
  </si>
  <si>
    <t>K_TrqSecur.Diag.IdcDir.LimFailSec</t>
  </si>
  <si>
    <t>K_TrqSecur.Diag.IdcDir.EnblTyp</t>
  </si>
  <si>
    <t xml:space="preserve">The Pass Condition is fulfilled (TrqSecurDiag.Diag.IdcDir.FltFlgFrmLLD = 0) if these two AND conditions are satisfied: 
1) Level 2 Command Power is smaller than 0:
TrqSecur.LV2Data.Prvt.CmnddPwr &lt; 0
OR
Level 2 DC Current is equal or greater than the the negative value of Signal Chk Amps:
LV2_Proxy.Proxy_Out.ToRTE.DcCurr &gt;= - TrqSecur.LV2Data.Prvt.SgnChk_Amps
AND
2) Level 2 Command Power is greater than 0:
TrqSecur.LV2Data.Prvt.CmnddPwr &gt; 0
OR
Level 2 DC Current is smaller or equal than the the positive value of Signal Chk Amps:
LV2_Proxy.Proxy_Out.ToRTE.DcCurr &lt;= TrqSecur.LV2Data.Prvt.SgnChk_Amps
</t>
  </si>
  <si>
    <t>K_TrqSecur.Diag.IdcDir.LimPassSec</t>
  </si>
  <si>
    <t>662 - TrqSecurGrp.IrmsvsLv1
Differnce between LV1 and LV2 IRMS is bigger than a threshold
IRMS = square rout of AC current</t>
  </si>
  <si>
    <t>Torque Secure Supply 5V Current Sense Signal is between Upper and Lower Threshold:
K_TrqSecur.K_LV2_5V_CURRENT_SENSE_OvrThrsh &gt; TrqSecur.Hw.InRaw.Sply5vCrntSnsSgnl &gt; K_TrqSecur.K_LV2_5V_CURRENT_SENSE_UndrThrsh</t>
  </si>
  <si>
    <t>Aboslute Value of DIfference between (Level 1 Irms) and (Level 2 Irms) must be greater than Fail Threshold Calibration:
Absolute Value of (TrqSecur.SnsrActIn.FromRTE.LV1_Irms TrqSecur.LV2Data.Prvt.Irms) &gt; K_TrqSecur.Diag.IrmsvsLv1.FltSetThrsh</t>
  </si>
  <si>
    <t>K_TrqSecur.Diag.IrmsvsLv1.LimFailSec</t>
  </si>
  <si>
    <t>K_TrqSecur.Diag.IrmsvsLv1.EnblTyp</t>
  </si>
  <si>
    <t>Aboslute Value of DIfference between (Level 1 Irms) and (Level 2 Irms) must be below or equal to the Pass Threshold:
Absolute Value of (TrqSecur.SnsrActIn.FromRTE.LV1_Irms TrqSecur.LV2Data.Prvt.Irms) &lt;= K_TrqSecur.Diag.IrmsvsLv1.FltHys</t>
  </si>
  <si>
    <t>K_TrqSecur.Diag.IrmsvsLv1.LimPassSec</t>
  </si>
  <si>
    <t xml:space="preserve">663 - TrqSecurGrp.MtrOvrSpdOrDerateGrp_OvrThrshMtrn
Overspeed detected </t>
  </si>
  <si>
    <t xml:space="preserve">Torque Secure Supply 5vA Signal is between Upper and Lower Threshold:
K_TrqSecur.K_LV2_5VA_OvrThrsh &gt; TrqSecur.Hw.InRaw.Sply5vASgnl &gt; K_TrqSecur.K_LV2_5VA_UndrThrsh
AND
LV2 Motor Residual Speed must be equal to 1:
Ok_Lv2_MtrResSpd = 1
</t>
  </si>
  <si>
    <t>Absolute Value of Level 2 Motor Speed in RPM must be greater than Fail Threshold Calibration:
Absolute Value of (SpeedLV2_Proxy.Proxy_Out.ToRTE.Spd_RPM - Intrfc.Out.MCPA_RPM_V) &gt; K_TrqSecur.Diag.DeltaMtrSpdLv1.FltSetThrsh</t>
  </si>
  <si>
    <t>K_TrqSecur.Diag.MtrOvrSpdorDerateGrp_OvrThrshMtrn.LimFailSec</t>
  </si>
  <si>
    <t>K_TrqSecur.Diag.MtrOvrSpdorDerateGrp_OvrThrshMtrn.EnblTyp</t>
  </si>
  <si>
    <t>Absolute Value of Level 2 Motor Speed in RPM must be below or equal to the Pass Threshold:
Absolute Value of (SpeedLV2_Proxy.Proxy_Out.ToRTE.Spd_RPM - Intrfc.Out.MCPA_RPM_V) &lt;= K_TrqSecur.Diag.DeltaMtrSpdLv1.FltHyst</t>
  </si>
  <si>
    <t>K_TrqSecur.Diag.MtrOvrSpdorDerateGrp_OvrThrshMtrn.LimPassSec</t>
  </si>
  <si>
    <t>755 - TrqSecurGrp.MtrOvrTempGrp_ThermalRunaway
Motor temperature above a threshold</t>
  </si>
  <si>
    <t>Torque Secure Supply 5v Signal is between Upper and Lower Threshold:
K_TrqSecur.K_LV2_5V_OvrThrsh &gt; TrqSecur.Hw.InRaw.Sply5vSgnl &gt; K_TrqSecur.K_LV2_5V_UndrThrsh</t>
  </si>
  <si>
    <t>Motor Temperature Engine Signal must be greater than Fail Threshold Calibration:
TrqSecur.Hw.InRaw.MtrTempEngSgnl_DegC &gt; K_TrqSecur.Diag.MtrOvrTempGrp_ThermalRunaway.FltSetThrsh</t>
  </si>
  <si>
    <t>K_TrqSecur.Diag.MtrOvrTempGrp_ThermalRunaway.LimFailSec</t>
  </si>
  <si>
    <t>K_TrqSecur.Diag.MtrOvrTempGrp_ThermalRunaway.EnblTyp</t>
  </si>
  <si>
    <t>Motor Temperature Engine Signal must be below or equal to the Pass Threshold:
TrqSecur.Hw.InRaw.MtrTempEngSgnl_DegC &lt;= K_TrqSecur.Diag.MtrOvrTempGrp_ThermalRunaway.FltHyst</t>
  </si>
  <si>
    <t>K_TrqSecur.Diag.MtrOvrTempGrp_ThermalRunaway.LimPassSec</t>
  </si>
  <si>
    <t>709 - TrqSecurGrp.MtrTempSnsrRngHiGrp_MtrTempRngHi
Motor temperature sensor range high</t>
  </si>
  <si>
    <t xml:space="preserve">Torque Secure Supply 5vA Signal is between Upper and Lower Threshold:
K_TrqSecur.K_LV2_5VA_OvrThrsh &gt; TrqSecur.Hw.InRaw.Sply5vASgnl &gt; K_TrqSecur.K_LV2_5VA_UndrThrsh
</t>
  </si>
  <si>
    <t>Motor Temperature Engine Signal must be greater than Fail Threshold Calibration:
TrqSecur.Hw.InRaw.MtrTempEngSgnl_DegC &gt; K_TrqSecur.Diag.MtrTempSnsrRngHiGrp_MtrTempRngHi.FltSetThrsh</t>
  </si>
  <si>
    <t>K_TrqSecur.Diag.MtrTempSnsrRngHiGrp_MtrTempRngHi.LimFailSec</t>
  </si>
  <si>
    <t>K_TrqSecur.Diag.MtrTempSnsrRngHiGrp_MtrTempRngHi.EnblTyp</t>
  </si>
  <si>
    <t>Motor Temperature Engine Signal must be below or equal to the Pass Threshold:
TrqSecur.Hw.InRaw.MtrTempEngSgnl_DegC &lt;= K_TrqSecur.Diag.MtrTempSnsrRngHiGrp_MtrTempRngHi.FltHyst</t>
  </si>
  <si>
    <t>K_TrqSecur.Diag.MtrTempSnsrRngLoGrp_MtrTempRngHi.LimPassSec</t>
  </si>
  <si>
    <t>710 - TrqSecurGrp.MtrTempSnsrRngLoGrp_MtrTempRngLo
Motor temperature sensor range LOW</t>
  </si>
  <si>
    <t>Motor Temperature Engine Signal must be smaller than Fail Threshold Calibration:
TrqSecur.Hw.InRaw.MtrTempEngSgnl_DegC &lt; K_TrqSecur.Diag.MtrTempSnsrRngHiGrp_MtrTempRngLo.FltSetThrsh</t>
  </si>
  <si>
    <t>K_TrqSecur.Diag.MtrTempSnsrRngHiGrp_MtrTempRngLo.LimFailSec</t>
  </si>
  <si>
    <t>K_TrqSecur.Diag.MtrTempSnsrRngHiGrp_MtrTempRngLo.EnblTyp</t>
  </si>
  <si>
    <t>Motor Temperature Engine Signal must be greater or equal to the Pass Threshold:
TrqSecur.Hw.InRaw.MtrTempEngSgnl_DegC &gt;= K_TrqSecur.Diag.MtrTempSnsrRngHiGrp_MtrTempRngLo.FltHyst</t>
  </si>
  <si>
    <t>K_TrqSecur.Diag.MtrTempSnsrRngLoGrp_MtrTempRngLo.LimPassSec</t>
  </si>
  <si>
    <t>708 - TrqSecurGrp.OvrThrshMtrTempFlt
Motor temperature above thrshold</t>
  </si>
  <si>
    <t>Motor Temperature Engine Signal must be greater than Fail Threshold Calibration:
TrqSecur.Hw.InRaw.MtrTempEngSgnl_DegC &gt; K_TrqSecur.Diag.OvrThrshMtrTempFlt.FltSetThrsh</t>
  </si>
  <si>
    <t>K_TrqSecur.Diag.OvrThrshMtrTempFlt.LimFailSec</t>
  </si>
  <si>
    <t>K_TrqSecur.Diag.OvrThrshMtrTempFlt.EnblTyp</t>
  </si>
  <si>
    <t>Motor Temperature Engine Signal must be below or equal to the Pass Threshold:
TrqSecur.Hw.InRaw.MtrTempEngSgnl_DegC &lt;= K_TrqSecur.Diag.OvrThrshMtrTempFlt.FltHyst</t>
  </si>
  <si>
    <t>K_TrqSecur.Diag.OvrThrshMtrTempFlt.LimPassSec</t>
  </si>
  <si>
    <t>675 - TrqSecurGrp.PhsACurrSnsrRngHiGrp_OvrThrshMtrn
Phase curent sensor out of range</t>
  </si>
  <si>
    <t xml:space="preserve">Level 2 Phase U Current must be greater than Fail Threshold Calibration:
LV2_Proxy.Proxy_Out.ToRTE.PhsUCurrLv2 &gt; K_TrqSecur.Diag.PhsACurrSnsrRngHiGrp_OvrThrshMtrn.FltSetThrsh 	
</t>
  </si>
  <si>
    <t>K_TrqSecur.Diag.PhsACurrSnsrRngHiGrp_OvrThrshMtrn.LimFailSec</t>
  </si>
  <si>
    <t>K_TrqSecur.Diag.PhsACurrSnsrRngHiGrp_OvrThrshMtrn.EnblTyp</t>
  </si>
  <si>
    <t xml:space="preserve">Level 2 Phase U Current must be below or equal to the Pass Threshold:
LV2_Proxy.Proxy_Out.ToRTE.PhsUCurrLv2 &lt;= K_TrqSecur.Diag.PhsACurrSnsrRngHiGrp_OvrThrshMtrn.FltHyst	
</t>
  </si>
  <si>
    <t>K_TrqSecur.Diag.PhsACurrSnsrRngHiGrp_OvrThrshMtrn.LimPassSec</t>
  </si>
  <si>
    <t>678 - TrqSecurGrp.PhsACurrSnsrRngLoGrp_UndrThrshMtrn
Phase curent sensor out of range</t>
  </si>
  <si>
    <t xml:space="preserve">Level 2 Phase U Current must be smaller than Fail Threshold Calibration:
LV2_Proxy.Proxy_Out.ToRTE.PhsUCurrLv2 &lt; K_TrqSecur.Diag.PhsACurrSnsrRngLoGrp_UndrThrshMtrn.FltSetThrsh </t>
  </si>
  <si>
    <t>K_TrqSecur.Diag.PhsACurrSnsrRngLoGrp_UndrThrshMtrn.LimFailSec</t>
  </si>
  <si>
    <t>K_TrqSecur.Diag.PhsACurrSnsrRngLoGrp_UndrThrshMtrn.EnblTyp</t>
  </si>
  <si>
    <t xml:space="preserve">Level 2 Phase U Current must be greater or equal to the Pass Threshold:
LV2_Proxy.Proxy_Out.ToRTE.PhsUCurrLv2 &gt;= K_TrqSecur.Diag.PhsACurrSnsrRngLoGrp_UndrThrshMtrn.FltHyst </t>
  </si>
  <si>
    <t>K_TrqSecur.Diag.PhsACurrSnsrRngLoGrp_UndrThrshMtrn.LimPassSec</t>
  </si>
  <si>
    <t>676 - TrqSecurGrp.PhsBCurrSnsrRngHiGrp_OvrThrshMtrn
Phase curent sensor out of range</t>
  </si>
  <si>
    <t xml:space="preserve">Level 2 Phase V Current must be greater than Fail Threshold Calibration:
LV2_Proxy.Proxy_Out.ToRTE.PhsVCurrLv2 &gt; K_TrqSecur.Diag.PhsBCurrSnsrRngHiGrp_OvrThrshMtrn.FltSetThrsh </t>
  </si>
  <si>
    <t>K_TrqSecur.Diag.PhsBCurrSnsrRngHiGrp_OvrThrshMtrn.LimFailSec</t>
  </si>
  <si>
    <t>K_TrqSecur.Diag.PhsBCurrSnsrRngHiGrp_OvrThrshMtrn.EnblTyp</t>
  </si>
  <si>
    <t xml:space="preserve">Level 2 Phase V Current must be below or equal to the Pass Threshold:
LV2_Proxy.Proxy_Out.ToRTE.PhsVCurrLv2 &lt;= K_TrqSecur.Diag.PhsBCurrSnsrRngHiGrp_OvrThrshMtrn.FltHyst </t>
  </si>
  <si>
    <t>K_TrqSecur.Diag.PhsBCurrSnsrRngHiGrp_OvrThrshMtrn.LimPassSec</t>
  </si>
  <si>
    <t>679 - TrqSecurGrp.PhsBCurrSnsrRngLoGrp_UndrThrshMtrn
Phase curent sensor out of range</t>
  </si>
  <si>
    <t xml:space="preserve">Level 2 Phase V Current must be smaller than Fail Threshold Calibration:
LV2_Proxy.Proxy_Out.ToRTE.PhsVCurrLv2 &lt; K_TrqSecur.Diag.PhsBCurrSnsrRngLoGrp_UndrThrshMtrn.FltSetThrsh </t>
  </si>
  <si>
    <t>K_TrqSecur.Diag.PhsBCurrSnsrRngLoGrp_UndrThrshMtrn.LimFailSec</t>
  </si>
  <si>
    <t>K_TrqSecur.Diag.PhsBCurrSnsrRngLoGrp_UndrThrshMtrn.EnblTyp</t>
  </si>
  <si>
    <t>Level 2 Phase V Current must be greater or equal to the Pass Threshold:
LV2_Proxy.Proxy_Out.ToRTE.PhsVCurrLv2 &gt;= K_TrqSecur.Diag.PhsBCurrSnsrRngLoGrp_UndrThrshMtrn.FltHyst</t>
  </si>
  <si>
    <t>K_TrqSecur.Diag.PhsBCurrSnsrRngLoGrp_UndrThrshMtrn.LimPassSec</t>
  </si>
  <si>
    <t>677 - TrqSecurGrp.PhsCCurrSnsrRngHiGrp_OvrThrshMtrn
Phase curent sensor out of range</t>
  </si>
  <si>
    <t xml:space="preserve">Level 2 Phase W Current must be greater than Fail Threshold Calibration:
LV2_Proxy.Proxy_Out.ToRTE.PhsWCurrLv2 &gt; K_TrqSecur.Diag.PhsCCurrSnsrRngHiGrp_OvrThrshMtrn.FltSetThrsh </t>
  </si>
  <si>
    <t>K_TrqSecur.Diag.PhsCCurrSnsrRngHiGrp_OvrThrshMtrn.LimFailSec</t>
  </si>
  <si>
    <t>K_TrqSecur.Diag.PhsCCurrSnsrRngHiGrp_OvrThrshMtrn.EnblTyp</t>
  </si>
  <si>
    <t>Level 2 Phase W Current must be below or equal to the Pass Threshold:
LV2_Proxy.Proxy_Out.ToRTE.PhsWCurrLv2 &lt;= K_TrqSecur.Diag.PhsCCurrSnsrRngHiGrp_OvrThrshMtrn.FltHyst</t>
  </si>
  <si>
    <t>K_TrqSecur.Diag.PhsCCurrSnsrRngHiGrp_OvrThrshMtrn.LimPassSec</t>
  </si>
  <si>
    <t>680 - TrqSecurGrp.PhsCCurrSnsrRngLoGrp_UndrThrshMtrn
Phase curent sensor out of range</t>
  </si>
  <si>
    <t xml:space="preserve">Level 2 Phase W Current must be smaller than Fail Threshold Calibration:
LV2_Proxy.Proxy_Out.ToRTE.PhsWCurrLv2 &lt; K_TrqSecur.Diag.PhsCCurrSnsrRngLoGrp_UndrThrshMtrn.FltSetThrsh </t>
  </si>
  <si>
    <t>K_TrqSecur.Diag.PhsCCurrSnsrRngLoGrp_UndrThrshMtrn.LimFailSec</t>
  </si>
  <si>
    <t>K_TrqSecur.Diag.PhsCCurrSnsrRngLoGrp_UndrThrshMtrn.EnblTyp</t>
  </si>
  <si>
    <t xml:space="preserve">Level 2 Phase W Current must be be greater or equal to the Pass Threshold:
LV2_Proxy.Proxy_Out.ToRTE.PhsWCurrLv2 &gt;= K_TrqSecur.Diag.PhsCCurrSnsrRngLoGrp_UndrThrshMtrn.FltHyst </t>
  </si>
  <si>
    <t>K_TrqSecur.Diag.PhsCCurrSnsrRngLoGrp_UndrThrshMtrn.LimPassSec</t>
  </si>
  <si>
    <t>665 - TrqSecurGrp.PhsOvrCurrGrp_Hw
Phase over current detected by Hard Ware</t>
  </si>
  <si>
    <t>Torque Secure Supply 5V Current Sense Signal is between Upper and Lower Threshold:
K_TrqSecur.K_LV2_5V_CURRENT_SENSE_OvrThrsh &gt; TrqSecur.Hw.InRaw.Sply5vCrntSnsSgnl &gt; K_TrqSecur.K_LV2_5V_CURRENT_SENSE_UndrThrsh
AND
Sply Init Delay must be equal to 1:
In.Proc.Diag_EntryCrit_Ok_SplyInitDly = 1</t>
  </si>
  <si>
    <t>Fault Flag from Low-level Driver
RTE bit read (BIT 2)  from
LV2_Proxy.Proxy_Out.ToRTE.Inv_Status_1 = 1
this flag gets set if:
Phase overcurrent is detected by HW
LLD driver interface:
Inv_Status_1_OC_DIG_IN = 1</t>
  </si>
  <si>
    <t>K_TrqSecur.Diag.PhsOvrCurrGrp_Hw.LimFailSec</t>
  </si>
  <si>
    <t>K_TrqSecur.Diag.PhsOvrCurrGrp_Hw.EnblTyp</t>
  </si>
  <si>
    <t>Fault Flag from Low-level Driver
RTE bit read (BIT 2)  from
LV2_Proxy.Proxy_Out.ToRTE.Inv_Status_1 = 0</t>
  </si>
  <si>
    <t>K_TrqSecur.Diag.PhsOvrCurrGrp_Hw.LimPassSec</t>
  </si>
  <si>
    <t>767 - TrqSecurGrp.PhsOvrCurrGrp_PhsANoThrshMtrnHW
Phase over current detected by Hard Ware</t>
  </si>
  <si>
    <t>Fault Flag from Low-level Driver
RTE bit read (BIT 3)  from
LV2_Proxy.Proxy_Out.ToRTE.Inv_Status_1 = 1
Phase overcurrent is detected by HW  (Phase A)
TrqSecur_CrcData_Diag_PhsOvrCurrGrp_PhsANoThrshMtrnHW_FltStatus = 1</t>
  </si>
  <si>
    <t>K_TrqSecur.Diag.PhsOvrCurrGrp_PhsANoThrshMtrnHW.LimFailSec</t>
  </si>
  <si>
    <t>K_TrqSecur.Diag.PhsOvrCurrGrp_PhsANoThrshMtrnHW.EnblTyp</t>
  </si>
  <si>
    <t>Fault Flag from Low-level Driver
RTE bit read (BIT 3)  from
LV2_Proxy.Proxy_Out.ToRTE.Inv_Status_1 = 0</t>
  </si>
  <si>
    <t>K_TrqSecur.Diag.PhsOvrCurrGrp_PhsANoThrshMtrnHW.LimPassSec</t>
  </si>
  <si>
    <t>PIM Shutdown</t>
  </si>
  <si>
    <t>768 - TrqSecurGrp.PhsOvrCurrGrp_PhsBNoThrshMtrnHW
Phase over current detected by Hard Ware</t>
  </si>
  <si>
    <t>Fault Flag from Low-level Driver
RTE bit read (BIT 4)  from
LV2_Proxy.Proxy_Out.ToRTE.Inv_Status_1 = 1
Phase overcurrent is detected by HW  (Phase B)
TrqSecur_CrcData_Diag_PhsOvrCurrGrp_PhsBNoThrshMtrnHW_FltStatus = 1</t>
  </si>
  <si>
    <t>K_TrqSecur.Diag.PhsOvrCurrGrp_PhsBNoThrshMtrnHW.LimFailSec</t>
  </si>
  <si>
    <t>K_TrqSecur.Diag.PhsOvrCurrGrp_PhsBNoThrshMtrnHW.EnblTyp</t>
  </si>
  <si>
    <t>Fault Flag from Low-level Driver
RTE bit read (BIT 4)  from
LV2_Proxy.Proxy_Out.ToRTE.Inv_Status_1 = 0</t>
  </si>
  <si>
    <t>K_TrqSecur.Diag.PhsOvrCurrGrp_PhsBNoThrshMtrnHW.LimPassSec</t>
  </si>
  <si>
    <t>769 - TrqSecurGrp.PhsOvrCurrGrp_PhsCNoThrshMtrnHW
Phase over current detected by Hard Ware</t>
  </si>
  <si>
    <t>Fault Flag from Low-level Driver
RTE bit read (BIT 5)  from
LV2_Proxy.Proxy_Out.ToRTE.Inv_Status_1 = 1
Phase overcurrent is detected by HW (Phase C)
TrqSecur_CrcData_Diag_PhsOvrCurrGrp_PhsCNoThrshMtrnHW_FltStatus = 1</t>
  </si>
  <si>
    <t>K_TrqSecur.Diag.PhsOvrCurrGrp_PhsCNoThrshMtrnHW.LimFailSec</t>
  </si>
  <si>
    <t>K_TrqSecur.Diag.PhsOvrCurrGrp_PhsCNoThrshMtrnHW.EnblTyp</t>
  </si>
  <si>
    <t>Fault Flag from Low-level Driver
RTE bit read (BIT 5)  from
LV2_Proxy.Proxy_Out.ToRTE.Inv_Status_1 = 0</t>
  </si>
  <si>
    <t>K_TrqSecur.Diag.PhsOvrCurrGrp_PhsCNoThrshMtrnHW.LimPassSec</t>
  </si>
  <si>
    <t>674 - TrqSecurGrp.PhsOvrCurrGrp_Sw
Phase over current detected by SW, phase current above a limit</t>
  </si>
  <si>
    <t>Gate driver parameter download complete of Level 2 must be active :
SlowCDD.Prvt.DownloadParmCompleted = 1
AND
Torque Secure Supply 5V Current Sense Signal is between Upper and Lower Threshold:
K_TrqSecur.K_LV2_5V_CURRENT_SENSE_OvrThrsh &gt; TrqSecur.Hw.InRaw.Sply5vCrntSnsSgnl &gt; K_TrqSecur.K_LV2_5V_CURRENT_SENSE_UndrThrsh</t>
  </si>
  <si>
    <t>The Max value among these three Level 2 Current signals:
- LV2_Proxy.Proxy_Out.ToRTE.PhsUCurrLv2
- LV2_Proxy.Proxy_Out.ToRTE.PhsVCurrLv2
- LV2_Proxy.Proxy_Out.ToRTE.PhsWCurrLv2
must be must be greater than Fail Threshold Calibration:
Max &gt; K_TrqSecur.Diag.PhsOvrCurrGrp_Sw.FltSetThrsh</t>
  </si>
  <si>
    <t>K_TrqSecur.Diag.PhsOvrCurrGrp_Sw.LimFailSec</t>
  </si>
  <si>
    <t>K_TrqSecur.Diag.PhsOvrCurrGrp_Sw.EnblTyp</t>
  </si>
  <si>
    <t>NA - Latched</t>
  </si>
  <si>
    <t>711 - TrqSecurGrp.PimOvrTemp
PIM temperature above Over temp threshold (GDIC's)</t>
  </si>
  <si>
    <t>Gate driver parameter download complete of Level 2 must be active :
SlowCDD.Prvt.DownloadParmCompleted = 1</t>
  </si>
  <si>
    <t>The Pim Max temperature sensor value greater than Fail Threshold calibration:
Proc_Temp.PimMax_DegC  &gt; K_TrqSecur.Diag.PimOvrTemp.FltSetThrsh</t>
  </si>
  <si>
    <t>K_TrqSecur.Diag.PimOvrTemp.LimFailSec</t>
  </si>
  <si>
    <t>K_TrqSecur.Diag.PimOvrTemp.EnblTyp</t>
  </si>
  <si>
    <t>The Pim Max temperature sensor value smaller or equal than Pass Threshold calibration:
Proc_Temp.PimMax_DegC  &lt;= K_TrqSecur.Diag.PimOvrTemp.FltHyst</t>
  </si>
  <si>
    <t>K_TrqSecur.Diag.PimOvrTemp.LimPassSec</t>
  </si>
  <si>
    <t>756 - TrqSecurGrp.PimOvrTempGrp_GDIC_ThermalRunaway
PIM temperature above runaway temp threshold (GDIC's)</t>
  </si>
  <si>
    <t xml:space="preserve">Torque Secure Supply 5V GDIC Top Signal is between Upper and Lower Threshold:
K_TrqSecur.K_LV2_5V_GDIC_TOP_OvrThrsh &gt; TrqSecur.Hw.InRaw.Sply5vGDICTopSgnl &gt; K_TrqSecur.K_LV2_5V_GDIC_TOP_UndrThrsh
AND
Torque Secure Supply 5V GDIC Bottom Signal is between Upper and Lower Threshold:
K_TrqSecur.K_LV2_5V_GDIC_BOT_OvrThrsh &gt; TrqSecur.Hw.InRaw.Sply5vGDICBotSgnl &gt; K_TrqSecur.K_LV2_5V_GDIC_BOT_UndrThrsh
AND
Download Parm Completed must be true:
SlowCDD.Prvt.DownloadParmCompleted = 1
</t>
  </si>
  <si>
    <t>The Pim Max temperature sensor value greater than Fail Threshold calibration:
Proc_Temp.PimMax_DegC  &gt; K_TrqSecur.Diag.PimOvrTempGrp_GDIC_ThermalRunaway.FltSetThrsh</t>
  </si>
  <si>
    <t>K_TrqSecur.Diag.PimOvrTempGrp_GDIC_ThermalRunaway.LimFailSec</t>
  </si>
  <si>
    <t>K_TrqSecur.Diag.PimOvrTempGrp_GDIC_ThermalRunaway.EnblTyp</t>
  </si>
  <si>
    <t>The Pim Max temperature sensor value smaller or equal than Pass Threshold calibration:
Proc_Temp.PimMax_DegC  &lt;= K_TrqSecur.Diag.PimOvrTempGrp_GDIC_ThermalRunaway.FltHyst</t>
  </si>
  <si>
    <t>K_TrqSecur.Diag.PimOvrTempGrp_GDIC_ThermalRunaway.LimPassSec</t>
  </si>
  <si>
    <t>712 - TrqSecurGrp.PimTempSnsrRngHi
PIM temperature sensors (GDIC) range check failed</t>
  </si>
  <si>
    <t>Pim Max value greater than Fail Threshold calibration:
TrqSecur.In.Proc.PimMax &gt; K_TrqSecur.Diag.PimTenpSnsrRngHi.FltSetThrsh</t>
  </si>
  <si>
    <t>K_TrqSecur.Diag.PimTenpSnsrRngHi.LimFailSec</t>
  </si>
  <si>
    <t>K_TrqSecur.Diag.PimTenpSnsrRngHi.EnblTyp</t>
  </si>
  <si>
    <t>Pim Max value smaller or equal than Pass Threshold calibration:
TrqSecur.In.Proc.PimMax &lt;= K_TrqSecur.Diag.PimTenpSnsrRngHi.FltHyst</t>
  </si>
  <si>
    <t>K_TrqSecur.Diag.PimTenpSnsrRngHi.LimPassSec</t>
  </si>
  <si>
    <t>713 - TrqSecurGrp.PimTempSnsrRngLo
PIM temperature sensors (GDIC) range check failed</t>
  </si>
  <si>
    <t>Pim Max value smaller than Fail Threshold calibration:
TrqSecur.In.Proc.PimMax &lt; K_TrqSecur.Diag.PimTenpSnsrRngLo.FltSetThrsh</t>
  </si>
  <si>
    <t>K_TrqSecur.Diag.PimTenpSnsrRngLo.LimFailSec</t>
  </si>
  <si>
    <t>K_TrqSecur.Diag.PimTenpSnsrRngLo.EnblTyp</t>
  </si>
  <si>
    <t>Pim Max value greater or equal than Pass Threshold calibration:
TrqSecur.In.Proc.PimMax &gt;= K_TrqSecur.Diag.PimTenpSnsrRngLo.FltHyst</t>
  </si>
  <si>
    <t>K_TrqSecur.Diag.PimTenpSnsrRngLo.LimPassSec</t>
  </si>
  <si>
    <t>691 - TrqSecurGrp.PosnSgnlDgrdtnGrp_CosAmplHi
Resolver absolute cosine demodulated signal amplitude to high</t>
  </si>
  <si>
    <t>Torque Secure Supply 5vA Signal is between Upper and Lower Threshold:
K_TrqSecur.K_LV2_5VA_OvrThrsh &gt; TrqSecur.Hw.InRaw.Sply5vASgnl &gt; K_TrqSecur.K_LV2_5VA_UndrThrsh
AND
Level 2 Initial Speed Sense Configuration must be true:
LV2_Proxy.Proxy_Out.ToRTE.InitSpdSenseConfig = 1
AND
Lv2 Initial Delay Time value greater than calibration value:
PosnSgnlInitDlyTmr_Sec &gt;=  K_TrqSecur.CalAddnl.SplyInitDlyMax_Sec</t>
  </si>
  <si>
    <t>The condition (LV2_COS_AMPL_HI) that increments the Fail counter is:
Bit read (BIT 7) from:
Lv2_Res_Data.ResFaultStatus  is one
and
Bit read (BIT 10,9) from:
Lv2_Res_Data.ResFaultStatus are either 01 or 10
This diagnostics will be triggered if Resolver Cos signla amplitude is higher than a threshold. The threshold is an internal BW calibration KFS_SpeedSense_COS_Hi_Thr [V]</t>
  </si>
  <si>
    <t>Level 2 Counter is above Calibration Fail Value: 
LV2_Proxy.Proxy_Out.ToRTE.CosAmplHiFailCnt &gt; K_TrqSecur.Diag.PosnSgnlDgrdtnGrp_CosAmplHi.LimFailSec</t>
  </si>
  <si>
    <t>K_TrqSecur.Diag.PosnSgnlDgrdtnGrp_CosAmplHi.EnblTyp</t>
  </si>
  <si>
    <t>The condition (LV2_COS_AMPL_HI) that increments the Pass counter is:
Bit read (BIT 7) from:
Lv2_Res_Data.ResFaultStatus = 0</t>
  </si>
  <si>
    <t>Level 2 Counter is above Calibration Pass Value:
LV2_Proxy.Proxy_Out.ToRTE.CosAmplHiPassCnt &gt; K_TrqSecur.Diag.PosnSgnlDgrdtnGrp_CosAmplHi.LimPassSec</t>
  </si>
  <si>
    <t>694 - TrqSecurGrp.PosnSgnlDgrdtnGrp_CosMean
Resolver absolute cosine mean demodulated signal amplitude to low</t>
  </si>
  <si>
    <t>Torque Secure Supply 5vA Signal is between Upper and Lower Threshold:
K_TrqSecur.K_LV2_5VA_OvrThrsh &gt; TrqSecur.Hw.InRaw.Sply5vASgnl &gt; K_TrqSecur.K_LV2_5VA_UndrThrsh
AND
Level 2 Initial Speed Sense Configuration must be true:
LV2_Proxy.Proxy_Out.ToRTE.InitSpdSenseConfig = 1
AND
Lv2 Initial Delay Time value greater than calibration value:
PosnSgnlInitDlyTmr_Sec &gt;=  K_TrqSecur.CalAddnl.SplyInitDlyMax_Sec</t>
  </si>
  <si>
    <t>The condition (LV2_COS_MEAN) that increments the Fail counter is:
Bit read (BIT 12) from:
Lv2_Res_Data.ResFaultStatus  is one
and
Bit read (BIT 10,9) from:
Lv2_Res_Data.ResFaultStatus are either 01 or 10
This diagnostics will be triggered if Resolver Cos signla mean value is higher than a threshold. The threshold is an internal BW calibration KFS_SpeedSense_Cos_Mean_Thr [V]</t>
  </si>
  <si>
    <t>Level 2 Counter is above Calibration Fail Value: 
LV2_Proxy.Proxy_Out.ToRTE.CosMeanFailCnt &gt;
K_TrqSecur.Diag.PosnSgnlDgrdtnGrp_CosMean.LimFailSec</t>
  </si>
  <si>
    <t>K_TrqSecur.Diag.PosnSgnlDgrdtnGrp_CosMean.EnblTyp</t>
  </si>
  <si>
    <t>The condition (LV2_COS_MEAN) that increments the Pass counter is:
Bit read (BIT 12) from:
Lv2_Res_Data.ResFaultStatus = 0</t>
  </si>
  <si>
    <t>Level 2 Counter is above Calibration Pass Value:
LV2_Proxy.Proxy_Out.ToRTE.CosMeanPassCnt &gt; K_TrqSecur.Diag.PosnSgnlDgrdtnGrp_CosMean.LimPassSec</t>
  </si>
  <si>
    <t>698 - TrqSecurGrp.PosnSgnlDgrdtnGrp_ResCosRnghi
Resolver absolute cosine modulated signal amplitude to high</t>
  </si>
  <si>
    <t>Torque Secure Supply 5vA Signal is between Upper and Lower Threshold:
K_TrqSecur.K_LV2_5VA_OvrThrsh &gt; TrqSecur.Hw.InRaw.Sply5vASgnl &gt; K_TrqSecur.K_LV2_5VA_UndrThrsh
AND
Level 2 Initial Speed Sense Configuration must be true:
LV2_Proxy.Proxy_Out.ToRTE.InitSpdSenseConfig = 1</t>
  </si>
  <si>
    <t>Level 2 Resolver Slow Fault (RES_COS_RNG_HI) must be true:
LV2_Proxy.Proxy_Out.ToRTE.ResCosRngHi  is one
This diagnostics will be triggered if Resolver Cos signal amplitude is higher than a threshold. The threshold is an internal BW calibration KFS_SpeedSense_COS_STB_Thr [V]</t>
  </si>
  <si>
    <t>K_TrqSecur.Diag.PosnSgnlDgrdtnGrp_ResCosRnghi.LimFailSec</t>
  </si>
  <si>
    <t>K_TrqSecur.Diag.PosnSgnlDgrdtnGrp_ResCosRnghi.EnblTyp</t>
  </si>
  <si>
    <t>Level 2 Resolver Slow Fault (RES_COS_RNG_HI) must be false:
LV2_Proxy.Proxy_Out.ToRTE.ResCosRngHi = 0</t>
  </si>
  <si>
    <t>K_TrqSecur.Diag.PosnSgnlDgrdtnGrp_ResCosRnghi.LimPassSec</t>
  </si>
  <si>
    <t>695 - TrqSecurGrp.PosnSgnlDgrdtnGrp_ResSinRnghi
Resolver absolute sine modulated signal amplitude to high</t>
  </si>
  <si>
    <t>Level 2 Resolver Slow Fault (RES_SIN_RNG_HI) must be true:
LV2_Proxy.Proxy_Out.ToRTE.ResSinRngHi  is one
his diagnostics will be triggered if Resolver Sin signal amplitude is out of range high. The threshold is an internal BW calibration KFS_SpeedSense_SIN_STB_Thr [V]</t>
  </si>
  <si>
    <t>K_TrqSecur.Diag.PosnSgnlDgrdtnGrp_ResSinRnghi.LimFailSec</t>
  </si>
  <si>
    <t>K_TrqSecur.Diag.PosnSgnlDgrdtnGrp_ResSinRnghi.EnblTyp</t>
  </si>
  <si>
    <t>Level 2 Resolver Slow Fault (RES_SIN_RNG_HI) must be false:
LV2_Proxy.Proxy_Out.ToRTE.ResSinRngHi = 0</t>
  </si>
  <si>
    <t>K_TrqSecur.Diag.PosnSgnlDgrdtnGrp_ResSinRnghi.LimPassSec</t>
  </si>
  <si>
    <t>689 - TrqSecurGrp.PosnSgnlDgrdtnGrp_SinAmplHi
 Resolver absolute sine demodulated signal amplitude to high</t>
  </si>
  <si>
    <t>The condition (LV2_SIN_AMPL_HI) that increments the Fail counter is:
Bit read (BIT 3) from:
Lv2_Res_Data.ResFaultStatus is one
and
Bit read (BIT 6,5) from:
Lv2_Res_Data.ResFaultStatus are either 01 or 10
This diagnostics will be triggered if Resolver Sin signal amplitude is higher than a threshold. The threshold is an internal BW calibration KFS_SpeedSense_SIN_Hi_Thr [V]</t>
  </si>
  <si>
    <t>Level 2 Counter is above Calibration Fail Value: 
LV2_Proxy.Proxy_Out.ToRTE.SinAmplHiFailCnt &gt; K_TrqSecur.Diag.PosnSgnlDgrdtnGrp_SinAmplHi.LimFailSec</t>
  </si>
  <si>
    <t>K_TrqSecur.Diag.PosnSgnlDgrdtnGrp_SinAmplHi.EnblTyp</t>
  </si>
  <si>
    <t>The condition (LV2_SIN_AMPL_HI) that increments the Pass counter is:
Bit read (BIT 3) from:
Lv2_Res_Data.ResFaultStatus = 0</t>
  </si>
  <si>
    <t>Level 2 Counter is above Calibration Pass Value:
LV2_Proxy.Proxy_Out.ToRTE.SinAmplHiPassCnt &gt; K_TrqSecur.Diag.PosnSgnlDgrdtnGrp_SinAmplHi.LimPassSec</t>
  </si>
  <si>
    <t>693 - TrqSecurGrp.PosnSgnlDgrdtnGrp_SinMean
Resolver absolute sine mean demodulated signal amplitude to high</t>
  </si>
  <si>
    <t>The condition (LV2_SIN_MEAN) that increments the Fail counter is:
Bit read (BIT 11) from:
Lv2_Res_Data.ResFaultStatus is one
and
Bit read (BIT 6,5) from:
Lv2_Res_Data.ResFaultStatus are either 01 or 10
This diagnostics will be triggered if Resolver Sin signal mean value is higher than a threshold. The threshold is an internal BW calibration KFS_SpeedSense_Sin_Mean_Thr [V]</t>
  </si>
  <si>
    <t>Level 2 Counter is above Calibration Fail Value: 
LV2_Proxy.Proxy_Out.ToRTE.SinMeanFailCnt &gt; K_TrqSecur.Diag.PosnSgnlDgrdtnGrp_SinMean.LimFailSec</t>
  </si>
  <si>
    <t>K_TrqSecur.Diag.PosnSgnlDgrdtnGrp_SinMean.EnblTyp</t>
  </si>
  <si>
    <t>The condition (LV2_SIN_MEAN) that increments the Pass counter is:
Bit read (BIT 11) from:
Lv2_Res_Data.ResFaultStatus = 0</t>
  </si>
  <si>
    <t>Level 2 Counter is above Calibration Pass Value:
LV2_Proxy.Proxy_Out.ToRTE.SinMeanPassCnt &gt; K_TrqSecur.Diag.PosnSgnlDgrdtnGrp_SinMean.LimPassSec</t>
  </si>
  <si>
    <t>687 - TrqSecurGrp.PosnSgnlDgrdtnGrp_VecMax
The squared sin/cos vector is higher than a calibrate-able threshold</t>
  </si>
  <si>
    <t xml:space="preserve">Torque Secure Supply 5vA Signal is between Upper and Lower Threshold:
K_TrqSecur.K_LV2_5VA_OvrThrsh &gt; TrqSecur.Hw.InRaw.Sply5vASgnl &gt; K_TrqSecur.K_LV2_5VA_UndrThrsh
AND
Level 2 Initial Speed Sense Configuration must be true:
LV2_Proxy.Proxy_Out.ToRTE.InitSpdSenseConfig = 1
AND
Lv2 Initial Delay Time value greater than calibration value:
PosnSgnlInitDlyTmr_Sec &gt;=  K_TrqSecur.CalAddnl.SplyInitDlyMax_Sec
</t>
  </si>
  <si>
    <t>The condition (LV2_VEC_MAX) that increments the Fail counter is:
Bit read (BIT 1) from:
Lv2_Res_Data.ResFaultStatus is one
This diagnostic will fail if resolver (Sin^2+Cos^2) is larger than a threshold.
The threshold is a BW internal calibration KFS_Diag_RdRslv_Sqr_Ampl_max [V^2]</t>
  </si>
  <si>
    <t>Level 2 Counter is above Calibration Fail Value: 
LV2_Proxy.Proxy_Out.ToRTE.VecMaxFailCnt &gt; K_TrqSecur.Diag.PosnSgnlDgrdtnGrp_VecMax.LimFailSec</t>
  </si>
  <si>
    <t>K_TrqSecur.Diag.PosnSgnlDgrdtnGrp_VecMax.EnblTyp</t>
  </si>
  <si>
    <t>The condition (LV2_VEC_MAX) that increments the Pass counter is:
Bit read (BIT 1) from:
Lv2_Res_Data.ResFaultStatus = 0</t>
  </si>
  <si>
    <t>Level 2 Counter is above Calibration Pass Value:
LV2_Proxy.Proxy_Out.ToRTEVecMaxPassCnt &gt; K_TrqSecur.Diag.PosnSgnlDgrdtnGrp_VecMax.LimPassSec</t>
  </si>
  <si>
    <t>692 - TrqSecurGrp.PosnSgnlLssGrp_CosAmplLo
Resolver absolute cosine demodulated signal amplitude to low</t>
  </si>
  <si>
    <t>The condition (LV2_COS_AMPL_LO) that increments the Fail counter is:
Bit read (BIT 8) from:
Lv2_Res_Data.ResFaultStatus is oone
and
Bit read (BIT 10,9) from:
Lv2_Res_Data.ResFaultStatus are either 01 or 10
This diagnostics will be triggered if Resolver Cos signla amplitude is lower than a threshold. The threshold is an internal BW calibration KFS_SpeedSense_COS_Lo_Thr [V]</t>
  </si>
  <si>
    <t>Level 2 Counter is above Calibration Fail Value: 
LV2_Proxy.Proxy_Out.ToRTE.CosAmplLoFailCnt &gt; K_TrqSecur.Diag.PosnSgnlLssGrp_CosAmplLo.LimFailSec</t>
  </si>
  <si>
    <t>K_TrqSecur.Diag.PosnSgnlLssGrp_CosAmplLo.EnblTyp</t>
  </si>
  <si>
    <t>The condition (LV2_COS_AMPL_LO) that increments the Pass counter is:
Bit read (BIT 8) from:
Lv2_Res_Data.ResFaultStatus = 0</t>
  </si>
  <si>
    <t>Level 2 Counter is above Calibration Pass Value:
LV2_Proxy.Proxy_Out.ToRTE.CosAmplLoPassCnt &gt; K_TrqSecur.Diag.PosnSgnlLssGrp_CosAmplLo.LimPassSec</t>
  </si>
  <si>
    <t xml:space="preserve">788 - TrqSecurGrp.PosnSgnlLssGrp_PosnConfigTmOut
LOS status have been reported in a given amount of samples. </t>
  </si>
  <si>
    <t>Level 2 Initial Speed Sense Configuration must be true:
LV2_Proxy.Proxy_Out.ToRTE.InitSpdSenseConfig = 1
After power up, position signal Angle  tracking filter (ATO) takes some time to get initialized. MCP software waits for  K_TrqSecur.Init.ATOConfigTmr_Sec seconds for the flag (LV2_Proxy.Proxy_In.PrvtData.InitSpdSenseConfig) from low level driver becomes one. If within K_TrqSecur.Init.ATOConfigTmr_Sec  seconds the flag does not become one, diagnostic will fail</t>
  </si>
  <si>
    <t>K_TrqSecur.Diag.PosnSgnlLssGrp_PosnConfigTmOut.EnblTyp</t>
  </si>
  <si>
    <t>Level 2 Initial Speed Sense Configuration must be false:
LV2_Proxy.Proxy_Out.ToRTE.InitSpdSenseConfig = 0</t>
  </si>
  <si>
    <t>700 - TrqSecurGrp.PosnSgnlLssGrp_ResCosDiscnct
Resolver Modulated sine HI or Cosine Lo both disconnected</t>
  </si>
  <si>
    <t>Level 2 Resolver Slow Fault BIT5 ResolverFaults (RES_COS_DISCNCT) must be true:
LV2_Proxy.Proxy_Out.ToRTE.ResCosDISCNCT is one
If resolver Cos signal is disconnectd this diagnostic fails. BW internal calibration for this fault is  KFS_SpeedSense_COS_OC_Thr [V]</t>
  </si>
  <si>
    <t>K_TrqSecur.Diag.PosnSgnlLssGrp_ResCosDiscnct.LimFailSec</t>
  </si>
  <si>
    <t>K_TrqSecur.Diag.PosnSgnlLssGrp_ResCosDiscnct.EnblTyp</t>
  </si>
  <si>
    <t>Level 2 Resolver Slow Fault (RES_COS_DISCNCT) must be false:
LV2_Proxy.Proxy_Out.ToRTE.ResCosDISCNCT = 0</t>
  </si>
  <si>
    <t>K_TrqSecur.Diag.PosnSgnlLssGrp_ResCosDiscnct.LimPassSec</t>
  </si>
  <si>
    <t>699 - TrqSecurGrp.PosnSgnlLssGrp_ResCosRnglo
Resolver Modulated sine HI or Cosine Lo is Lower than threshold</t>
  </si>
  <si>
    <t>Level 2 Resolver Slow Fault BIT4 ResolverFaults(RES_COS_RNG_LO) must be true:
LV2_Proxy.Proxy_Out.ToRTE.ResCosRngLo  is one
This diagnostics will be triggered if Resolver Cos signla amplitude range is lower than a threshold. The threshold is an internal BW calibration KFS_SpeedSense_COS_STG_Thr [V]</t>
  </si>
  <si>
    <t>K_TrqSecur.Diag.PosnSgnlLssGrp_ResCosRnglo.LimFailSec</t>
  </si>
  <si>
    <t>K_TrqSecur.Diag.PosnSgnlLssGrp_ResCosRnglo.EnblTyp</t>
  </si>
  <si>
    <t>Level 2 Resolver Slow Fault (RES_COS_RNG_LO) must be false:
LV2_Proxy.Proxy_Out.ToRTE.ResCosRngLo = 0</t>
  </si>
  <si>
    <t xml:space="preserve">
K_TrqSecur.Diag.PosnSgnlLssGrp_ResCosRnglo.LimPassSec</t>
  </si>
  <si>
    <t>697 - TrqSecurGrp.PosnSgnlLssGrp_ResSinDiscnct
Resolver Modulated sine HI or Sine Lo both disconnected</t>
  </si>
  <si>
    <t>Level 2 Resolver Slow Fault BIT 2 (RES_SIN_DISCNCT) must be true:
LV2_Proxy.Proxy_Out.ToRTE.ResSinDISCNCT  is one
This diagnostics fails if resolver SIN signal is disconnected. THe threshold which is a Low Level Driver (LLD) calibration is KFS_SpeedSense_SIN_OC_Thr [Hz]</t>
  </si>
  <si>
    <t>K_TrqSecur.Diag.PosnSgnlLssGrp_ResSinDiscnct.LimFailSec</t>
  </si>
  <si>
    <t>K_TrqSecur.Diag.PosnSgnlLssGrp_ResSinDiscnct.EnblTyp</t>
  </si>
  <si>
    <t>Level 2 Resolver Slow Fault (RES_SIN_DISCNCT) must be false:
LV2_Proxy.Proxy_Out.ToRTE.ResSinDISCNCT = 0</t>
  </si>
  <si>
    <t xml:space="preserve">
K_TrqSecur.Diag.PosnSgnlLssGrp_ResSinDiscnct.LimPassSec</t>
  </si>
  <si>
    <t>696 - TrqSecurGrp.PosnSgnlLssGrp_ResSinRnglo
Resolver Modulated sine HI or Sine Lo is Lower than threshold</t>
  </si>
  <si>
    <t>Level 2 Resolver Slow Fault BIT1  (RES_SIN_RNG_LO) must be true:
LV2_Proxy.Proxy_Out.ToRTE.ResSinRngLoT  is one
This diagnostics will be triggered if Resolver Sin Signal amplitude range is lower than a threshold. The threshold is an internal BW calibration KFS_SpeedSense_SIN_STG_Thr [V]</t>
  </si>
  <si>
    <t>K_TrqSecur.Diag.PosnSgnlLssGrp_ResSinRnglo.LimFailSec</t>
  </si>
  <si>
    <t>K_TrqSecur.Diag.PosnSgnlLssGrp_ResSinRnglo.EnblTyp</t>
  </si>
  <si>
    <t>Level 2 Resolver Slow Fault (RES_SIN_RNG_LO) must be false:
LV2_Proxy.Proxy_Out.ToRTE.ResSinRngLoT = 0</t>
  </si>
  <si>
    <t xml:space="preserve">
K_TrqSecur.Diag.PosnSgnlLssGrp_ResSinRnglo.LimPassSec</t>
  </si>
  <si>
    <t>690 - TrqSecurGrp.PosnSgnlLssGrp_SinAmplLo
The abs Demodulated sine angle is lower than cal threshold</t>
  </si>
  <si>
    <t>The condition (LV2_SIN_AMPL_LO) that increments the Fail counter is:
Bit read (BIT 4) from:
Lv2_Res_Data.ResFaultStatus  is one
and
Bit read (BIT 6,5) from:
Lv2_Res_Data.ResFaultStatus are either 01 or 10
This diagnostics will be triggered if Resolver Sin signal amplitude is lowerthan a threshold. The threshold is an internal BW calibration KFS_SpeedSense_SIN_Lo_Thr [V]</t>
  </si>
  <si>
    <t>Level 2 Counter is above Calibration Fail Value: 
LV2_Proxy.Proxy_Out.ToRTE.SinAmplLoFailCnt &gt; K_TrqSecur.Diag.PosnSgnlLssGrp_SinAmplLo.LimFailSec</t>
  </si>
  <si>
    <t>K_TrqSecur.Diag.PosnSgnlLssGrp_SinAmplLo.EnblTyp</t>
  </si>
  <si>
    <t>The condition (LV2_SIN_AMPL_LO) that increments the Pass counter is:
Bit read (BIT 4) from:
Lv2_Res_Data.ResFaultStatus = 0</t>
  </si>
  <si>
    <t>Level 2 Counter is above Calibration Pass Value:
LV2_Proxy.Proxy_Out.ToRTE.SinAmplHiPassCnt &gt; K_TrqSecur.Diag.PosnSgnlLssGrp_SinAmplLo.LimPassSec</t>
  </si>
  <si>
    <t>686 - TrqSecurGrp.PosnSgnlLssGrp_VecMin
The squared sin/cos vector is below a calibrate-able threshold</t>
  </si>
  <si>
    <t>The condition (LV2_VEC_MIN) that increments the Fail counter is:
Bit read (BIT 0) from:
Lv2_Res_Data.ResFaultStatus  is one
This diagnostic will fail if resolver (Sin^2+Cos^2) is smaller than a threshold.
The threshold is a BW internal calibration KFS_Diag_RdRslv_Sqr_Ampl_min [V^2]</t>
  </si>
  <si>
    <t>Level 2 Counter is above Calibration Fail Value: 
LV2_Proxy.Proxy_Out.ToRTE.VecMinFailCnt &gt; K_TrqSecur.Diag.PosnSgnlLssGrp_VecMin.LimFailSec</t>
  </si>
  <si>
    <t>K_TrqSecur.Diag.PosnSgnlLssGrp_VecMin.EnblTyp</t>
  </si>
  <si>
    <t>The condition (LV2_VEC_MIN) that increments the Pass counter is:
Bit read (BIT 0) from:
Lv2_Res_Data.ResFaultStatus = 0</t>
  </si>
  <si>
    <t>Level 2 Counter is above Calibration Pass Value:
LV2_Proxy.Proxy_Out.ToRTE.VecMinPassCnt &gt; K_TrqSecur.Diag.PosnSgnlLssGrp_VecMin.LimPassSec</t>
  </si>
  <si>
    <t xml:space="preserve">707 - TrqSecurGrp.PosnSpdMiscGrp_ExcAmpFlt
Excitation amplifier fault </t>
  </si>
  <si>
    <t>Torque Secure Supply 23 V Signal is between Upper and Lower Threshold:
K_TrqSecur.K_LV2_23V_Safety1_OvrThrsh &gt; TrqSecur.Hw.InRaw.Sply23vSgnl &gt; K_TrqSecur.K_LV2_23V_Safety1_UndrThrsh
AND
Level 2 Initial Speed Sense Configuration must be true:
LV2_Proxy.Proxy_Out.ToRTE.InitSpdSenseConfig = 1</t>
  </si>
  <si>
    <t>Level 2 Resolver Slow Fault (EXC_AMP_FLT) must be true:
LV2_Proxy.Proxy_Out.ToRTE.ExcAmpFlt  is one
This diagnostic fails if the resolver excitation amplifier chip over temperature pin is asserted which means SpeedSense_Lv2_ResAmplifierFlt signal is one</t>
  </si>
  <si>
    <t>K_TrqSecur.Diag.PosnSpdMiscGrp_ExcAmpFlt.LimFailSec</t>
  </si>
  <si>
    <t>K_TrqSecur.Diag.PosnSpdMiscGrp_ExcAmpFlt.EnblTyp</t>
  </si>
  <si>
    <t>Level 2 Resolver Slow Fault (EXC_AMP_FLT) must be false:
LV2_Proxy.Proxy_Out.ToRTE.ExcAmpFlt = 0</t>
  </si>
  <si>
    <t xml:space="preserve">
K_TrqSecur.Diag.PosnSpdMiscGrp_ExcAmpFlt.LimPassSec</t>
  </si>
  <si>
    <t>705 - TrqSecurGrp.PosnSpdMiscGrp_ExcHiFreqOor
Excitation hi frequency out of range</t>
  </si>
  <si>
    <t>Level 2 Resolver Slow Fault (EXC_HI_FREQ_OOR) must be true:
LV2_Proxy.Proxy_Out.ToRTE.ExcHiFreqOOR  is one
This diagnostic fails if the resolver excitation HI or Low signal  frequency is out of range high. Calibration threshold is KFS_SpeedSense_EXC_Freq_OorHi_Thr [Hz] which is an internal BW LLD calibration</t>
  </si>
  <si>
    <t>K_TrqSecur.Diag.PosnSpdMiscGrp_ExcHiFreqOor.LimFailSec</t>
  </si>
  <si>
    <t>K_TrqSecur.Diag.PosnSpdMiscGrp_ExcHiFreqOor.EnblTyp</t>
  </si>
  <si>
    <t>Level 2 Resolver Slow Fault (EXC_HI_FREQ_OOR) must be false:
LV2_Proxy.Proxy_Out.ToRTE.ExcHiFreqOOR = 0</t>
  </si>
  <si>
    <t xml:space="preserve">
K_TrqSecur.Diag.PosnSpdMiscGrp_ExcHiFreqOor.LimPassSec</t>
  </si>
  <si>
    <t>701 - TrqSecurGrp.PosnSpdMiscGrp_ExcHiRnghi
Excitation HI Larger than threshold</t>
  </si>
  <si>
    <t>Level 2 Resolver Slow Fault (EXC_HI_RNG_HI) must be true:
LV2_Proxy.Proxy_Out.ToRTE.ExcHiRngHi  is one
his diagnostic fails if excitation Hi signal is larger than a threshold. Calibration threshold is KFS_SpeedSense_EXC_STB_Thrr [Hz] which is an internal BW LLD calibration</t>
  </si>
  <si>
    <t>K_TrqSecur.Diag.PosnSpdMiscGrp_ExcHiRnghi.LimFailSec</t>
  </si>
  <si>
    <t>K_TrqSecur.Diag.PosnSpdMiscGrp_ExcHiRnghi.EnblTyp</t>
  </si>
  <si>
    <t>Level 2 Resolver Slow Fault (EXC_HI_RNG_HI) must be false:
LV2_Proxy.Proxy_Out.ToRTE.ExcHiRngHi = 0</t>
  </si>
  <si>
    <t xml:space="preserve">
K_TrqSecur.Diag.PosnSpdMiscGrp_ExcHiRnghi.LimPassSec</t>
  </si>
  <si>
    <t>702 - TrqSecurGrp.PosnSpdMiscGrp_ExcHiRnglo
Excitation HI Lower than threshold</t>
  </si>
  <si>
    <t>Level 2 Resolver Slow Fault ResSlowFaultStatus bit 7 (EXC_HI_RNG_LO) must be true:
LV2_Proxy.Proxy_Out.ToRTE.ExcHiRngLo  is one
his diagnostic fails if excitation Hi signal is lower than a threshold. Calibration threshold is KFS_SpeedSense_EXC_STG_Thrr [Hz] which is an internal BW LLD calibration</t>
  </si>
  <si>
    <t>K_TrqSecur.Diag.PosnSpdMiscGrp_ExcHiRnglo.LimFailSec</t>
  </si>
  <si>
    <t>K_TrqSecur.Diag.PosnSpdMiscGrp_ExcHiRnglo.EnblTyp</t>
  </si>
  <si>
    <t>Level 2 Resolver Slow Fault (EXC_HI_RNG_LO) must be false:
LV2_Proxy.Proxy_Out.ToRTE.ExcHiRngLo = 0</t>
  </si>
  <si>
    <t xml:space="preserve">
K_TrqSecur.Diag.PosnSpdMiscGrp_ExcHiRnglo.LimPassSec</t>
  </si>
  <si>
    <t>706 - TrqSecurGrp.PosnSpdMiscGrp_ExcLoFreqOor
Excitation Lo frequency out of range</t>
  </si>
  <si>
    <t>Level 2 Resolver Slow Fault (EXC_LO_FREQ_OOR) must be true:
LV2_Proxy.Proxy_Out.ToRTE.ExcLoFreqOOR  is one
This diagnostic fails if the resolver excitation Low  signal  frequency is out of range Low. Calibration threshold is KFS_SpeedSense_EXC_Freq_OorLo_Thr [Hz] which is an internal BW LLD calibration</t>
  </si>
  <si>
    <t>K_TrqSecur.Diag.PosnSpdMiscGrp_ExcLoFreqOor.LimFailSec</t>
  </si>
  <si>
    <t>K_TrqSecur.Diag.PosnSpdMiscGrp_ExcLoFreqOor.EnblTyp</t>
  </si>
  <si>
    <t>Level 2 Resolver Slow Fault (EXC_LO_FREQ_OOR) must be false:
LV2_Proxy.Proxy_Out.ToRTE.ExcLoFreqOOR = 0</t>
  </si>
  <si>
    <t xml:space="preserve">
K_TrqSecur.Diag.PosnSpdMiscGrp_ExcLoFreqOor.LimPassSec</t>
  </si>
  <si>
    <t>703 - TrqSecurGrp.PosnSpdMiscGrp_ExcLoRnghi
Excitation LO Larger than threshold</t>
  </si>
  <si>
    <t>Level 2 Resolver Slow Fault (EXC_LO_RNG_HI) must be true:
LV2_Proxy.Proxy_Out.ToRTE.ExcLoRngHi  is one
This diagnostic fails if excitation Lo  signal is larger than a threshold. Calibration threshold is KFS_SpeedSense_EXC_STB_Thr [Hz] which is an internal BW LLD calibration</t>
  </si>
  <si>
    <t>K_TrqSecur.Diag.PosnSpdMiscGrp_ExcLoRnghi.LimFailSec</t>
  </si>
  <si>
    <t>K_TrqSecur.Diag.PosnSpdMiscGrp_ExcLoRnghi.EnblTyp</t>
  </si>
  <si>
    <t>Level 2 Resolver Slow Fault (EXC_LO_RNG_HI) must be false:
LV2_Proxy.Proxy_Out.ToRTE.ExcLoRngHi = 0</t>
  </si>
  <si>
    <t xml:space="preserve">
K_TrqSecur.Diag.PosnSpdMiscGrp_ExcLoRnghi.LimPassSec</t>
  </si>
  <si>
    <t>704 - TrqSecurGrp.PosnSpdMiscGrp_ExcLoRnglo
Excitation Lo Lower than threshold</t>
  </si>
  <si>
    <t>Level 2 Resolver Slow Fault (EXC_LO_RNG_LO) must be true:
LV2_Proxy.Proxy_Out.ToRTE.ExcLoRngLo  is one
This diagnostic fails if excitation Lo signal is lower than a threshold. Calibration threshold is KFS_SpeedSense_EXC_STG_Thr [Hz] which is an internal BW LLD calibration</t>
  </si>
  <si>
    <t>K_TrqSecur.Diag.PosnSpdMiscGrp_ExcLoRnglo.LimFailSec</t>
  </si>
  <si>
    <t>K_TrqSecur.Diag.PosnSpdMiscGrp_ExcLoRnglo.EnblTyp</t>
  </si>
  <si>
    <t>Level 2 Resolver Slow Fault (EXC_LO_RNG_LO) must be false:
LV2_Proxy.Proxy_Out.ToRTE.ExcLoRngLo = 0</t>
  </si>
  <si>
    <t xml:space="preserve">
K_TrqSecur.Diag.PosnSpdMiscGrp_ExcLoRnglo.LimPassSec</t>
  </si>
  <si>
    <t>688 - TrqSecurGrp.PosnTrckngLssGrp_AtoAngleErr
angle Jump diagnostics
The ATO absolute angle Error is higher than cal threshold</t>
  </si>
  <si>
    <t>Torque Secure Supply 23 V Signal is between Upper and Lower Threshold:
K_TrqSecur.K_LV2_23V_Safety1_OvrThrsh &gt; TrqSecur.Hw.InRaw.Sply23vSgnl &gt; K_TrqSecur.K_LV2_23V_Safety1_UndrThrsh
AND
Level 2 Initial Speed Sense Configuration must be true:
LV2_Proxy.Proxy_Out.ToRTE.InitSpdSenseConfig = 1
AND
Lv2 Initial Delay Time value greater than calibration value:
PosnSgnlInitDlyTmr_Sec &gt;=  K_TrqSecur.CalAddnl.SplyInitDlyMax_Sec</t>
  </si>
  <si>
    <t>The condition (LV2_ATO_ANGLE_ERR) that increments the Fail counter is:
Bit read (BIT 2) from:
Lv2_Res_Data.ResFaultStatus  is one
This diagnostics indicate an error is BW LLD position sensor Angle Tracking Observer (ATO). If the error in resolver angle and ATO angle more than a threshold, this fault is set. The BW calibration threshold  is KFS_Diag_RdRslv_Angle_err_thresh [DEG]</t>
  </si>
  <si>
    <t>Level 2 Counter is above Calibration Fail Value: 
LV2_Proxy.Proxy_Out.ToRTE.AtoAngleErrFailCnt &gt; K_TrqSecur.Diag.PosnTrckngLssGrp_AtoAngleErr.LimFailSec</t>
  </si>
  <si>
    <t>K_TrqSecur.Diag.PosnTrckngLssGrp_AtoAngleErr.EnblTyp</t>
  </si>
  <si>
    <t>The condition (LV2_ATO_ANGLE_ERR) that increments the Pass counter is:
Bit read (BIT 2) from:
Lv2_Res_Data.ResFaultStatus = 0</t>
  </si>
  <si>
    <t>Level 2 Counter is above Calibration Pass Value:
LV2_Proxy.Proxy_Out.ToRTE.AtoAngleErrPassCnt &gt; K_TrqSecur.Diag.PosnTrckngLssGrp_AtoAngleErr.LimPassSec</t>
  </si>
  <si>
    <t>666 - TrqSecurGrp.Sply12vRngHiGrp_Vbatt1_RngHi
12V battery voltage 1 short High</t>
  </si>
  <si>
    <t>Torque Secure Supply 12 V Rng Hi Validity must be true:
TrqSecur.Hw.InRaw.eSply12vRngHiVldty = 1
this flag gets Invalid once
TrqSecur.Hw.InRaw.Sply12vBatSgnl &gt; K_TrqSecur.HwCal.Sply12vBatSgnlOvrCal.FltSetThrsh [V]</t>
  </si>
  <si>
    <t>K_TrqSecur.HwCal.Sply12vBatSgnlOvrCal.LimFailSec</t>
  </si>
  <si>
    <t>K_TrqSecur.Diag.Sply12vRngHiGrp_Vbatt1_RngHi.EnblTyp</t>
  </si>
  <si>
    <t>Torque Secure Supply 12 V Rng Hi Validity must be false:
TrqSecur.Hw.InRaw.eSply12vRngHiVldty = 0</t>
  </si>
  <si>
    <t>K_TrqSecur.HwCal.Sply12vBatSgnlOvrCal.LimPassSec</t>
  </si>
  <si>
    <t>667 - TrqSecurGrp.Sply12vRngHiGrp_Vbatt2_RngHi
12V battery voltage 2 short High</t>
  </si>
  <si>
    <t>Torque Secure Supply Battery 2 Rng Hi Validity must be true:
TrqSecur.Hw.InRaw.eSplyBat2RngHiVldty = 1
this flag gets Invalid once
TrqSecur.Hw.InRaw.SplyBat2Sgnl &gt; K_TrqSecur.HwCal.SplyBat2SgnlOvrCal.FltSetThrsh [V]</t>
  </si>
  <si>
    <t>K_TrqSecur.HwCal.SplyBat2SgnlOvrCal.LimFailSec</t>
  </si>
  <si>
    <t>K_TrqSecur.Diag.Sply12vRngHiGrp_Vbatt2_RngHi.EnblTyp</t>
  </si>
  <si>
    <t>Torque Secure Supply Battery 2 Rng Hi Validity must be false:
TrqSecur.Hw.InRaw.eSplyBat2RngHiVldty = 0</t>
  </si>
  <si>
    <t>K_TrqSecur.HwCal.SplyBat2SgnlOvrCal.LimPassSec</t>
  </si>
  <si>
    <t>670 - TrqSecurGrp.Sply12vRngLoGrp_Vbatt1_RngLo
12V battery voltage 1 short low</t>
  </si>
  <si>
    <t>Torque Secure Supply 12 V Rng Lo Validity must be true:
TrqSecur.Hw.InRaw.eSply12vRngLoVldty = 1
this flag gets Invalid once
TrqSecur.Hw.InRaw.Sply12vBatSgnl &lt; K_TrqSecur.HwCal.Sply12vBatSgnlUndrCal.FltSetThrsh [V]</t>
  </si>
  <si>
    <t>K_TrqSecur.HwCal.Sply12vBatSgnlUndrCal.LimFailSec</t>
  </si>
  <si>
    <t>K_TrqSecur.Diag.Sply12vRngLoGrp_Vbatt1_RngLo.EnblTyp</t>
  </si>
  <si>
    <t>Torque Secure Supply 12 V Rng Lo Validity must be false:
TrqSecur.Hw.InRaw.eSply12vRngLoVldty = 0</t>
  </si>
  <si>
    <t>K_TrqSecur.HwCal.Sply12vBatSgnlUndrCal.LimPassSec</t>
  </si>
  <si>
    <t>671 - TrqSecurGrp.Sply12vRngLoGrp_Vbatt2_RngLo
12V battery voltage 2 short low</t>
  </si>
  <si>
    <t>Torque Secure Supply Battery 2 Rng Lo Validity must be true:
TrqSecur.Hw.InRaw.eSplyBat2RngLoVldty = 1
this flag gets Invalid once
TrqSecur.Hw.InRaw.SplyBat2Sgnl &lt;K_TrqSecur.HwCal.SplyBat2SgnlUndrCal.FltSetThrsh [V]</t>
  </si>
  <si>
    <t>K_TrqSecur.HwCal.SplyBat2SgnlUndrCal.LimFailSec</t>
  </si>
  <si>
    <t>K_TrqSecur.Diag.Sply12vRngLoGrp_Vbatt2_RngLo.EnblTyp</t>
  </si>
  <si>
    <t>Torque Secure Supply Battery 2 Rng Lo Validity must be false:
TrqSecur.Hw.InRaw.eSplyBat2RngLoVldty = 0</t>
  </si>
  <si>
    <t>K_TrqSecur.HwCal.SplyBat2SgnlUndrCal.LimPassSec</t>
  </si>
  <si>
    <t>776 - TrqSecurGrp.SplyGrp_Sply23VSfty1UV_HW
23V_SAFETY_1 Supply monitoring by MCU voltage lower than threshold detected by HW</t>
  </si>
  <si>
    <t xml:space="preserve">Torque Secure Supply 5v Signal is between Upper and Lower Threshold:
K_TrqSecur.K_LV2_5V_OvrThrsh &gt; TrqSecur.Hw.InRaw.Sply5vSgnl &gt; K_TrqSecur.K_LV2_5V_UndrThrsh
</t>
  </si>
  <si>
    <t>Fault Flag from Low-level Driver LV2_Inv_Stat
RTE bit read (BIT 18)  from
LV2_Proxy.Proxy_Out.ToRTE.Inv_Status_1 = 1
this gets true if
23V_SAFETY_1 Supply monitoring Voltage by MCU  lower than threshold detected (by HW)
Inv_Status_1_23VS1_UV_DIG_IN = 1</t>
  </si>
  <si>
    <t>K_TrqSecur.Diag.SplyGrp_Sply23VSfty1UV_HW.LimFailSec</t>
  </si>
  <si>
    <t>K_TrqSecur.Diag.SplyGrp_Sply23VSfty1UV_HW.EnblTyp</t>
  </si>
  <si>
    <t>Fault Flag from Low-level Driver
RTE bit read (BIT 18)  from
LV2_Proxy.Proxy_Out.ToRTE.Inv_Status_1 = 0</t>
  </si>
  <si>
    <t xml:space="preserve">
K_TrqSecur.Diag.SplyGrp_Sply23VSfty1UV_HW.LimPassSec</t>
  </si>
  <si>
    <t>777 - TrqSecurGrp.SplyGrp_Sply23VSfty2UV_HW
23V_SAFETY_2 Supply monitoring by MCU voltage lower than threshold detected by HW</t>
  </si>
  <si>
    <t>Fault Flag from Low-level Driver LV2_Inv_Stat
RTE bit read (BIT 19)  from
LV2_Proxy.Proxy_Out.ToRTE.Inv_Status_1 = 1
this gets true if
23V_SAFETY_2 Supply monitoring Voltage by MCU  lower than threshold detected (by HW)
Inv_Status_1_23VS2UV_DIG_IN = 1</t>
  </si>
  <si>
    <t>K_TrqSecur.Diag.SplyGrp_Sply23VSfty2UV_HW.LimFailSec</t>
  </si>
  <si>
    <t>K_TrqSecur.Diag.SplyGrp_Sply23VSfty2UV_HW.EnblTyp</t>
  </si>
  <si>
    <t>Fault Flag from Low-level Driver
RTE bit read (BIT 19)  from
LV2_Proxy.Proxy_Out.ToRTE.Inv_Status_1 = 0</t>
  </si>
  <si>
    <t xml:space="preserve">
K_TrqSecur.Diag.SplyGrp_Sply23VSfty2UV_HW.LimPassSec</t>
  </si>
  <si>
    <t>668 - TrqSecurGrp.SplyGrp_Sply24V_RngHi
 resistor on the voltage divider that is providing the supply rail
short high</t>
  </si>
  <si>
    <t>Torque Secure Supply 12V Battery Signal is between Upper and Lower Threshold:
K_TrqSecur.K_LV2_Vbatt1_OvrThrsh &gt; TrqSecur.Hw.InRaw.Sply12vBatSgnl &gt; K_TrqSecur.K_LV2_Vbatt1_UndrThrsh
OR
Torque Secure Supply Battery 2 Signal is between Upper and Lower Threshold:
K_TrqSecur.K_LV2_Vbatt2_OvrThrsh &gt; TrqSecur.Hw.InRaw.SplyBat2Sgnl &gt; K_TrqSecur.K_LV2_Vbatt2_UndrThrsh
OR
(
Torque Secure Supply 23 V Signal is between Upper and Lower Threshold:
K_TrqSecur.K_LV2_30V_Flyback_EPS_OvrThrsh &gt; TrqSecur.Hw.InRaw.Sply24vFlyBckGtDrvBrdSgnl &gt; K_TrqSecur.K_LV2_30V_Flyback_EPS_UndrThrsh
AND
Torque Secure Supply 5V GDIC Bottom Signal is between Upper and Lower Threshold:
K_TrqSecur.K_LV2_5V_GDIC_BOT_OvrThrsh &gt; TrqSecur.Hw.InRaw.Sply5vGDICBotSgnl &gt; K_TrqSecur.K_LV2_5V_GDIC_BOT_UndrThrsh
)</t>
  </si>
  <si>
    <t>Torque Secure Supply 23 V Signal must be greater than Fail Threshold Calibration: TrqSecur.Hw.InRaw.Sply23vSgnl &gt; K_TrqSecur.Diag.SplyGrp_Sply24v_RngHi.FltSetThrsh</t>
  </si>
  <si>
    <t>K_TrqSecur.Diag.SplyGrp_Sply24v_RngHi.LimFailSec</t>
  </si>
  <si>
    <t>K_TrqSecur.Diag.SplyGrp_Sply24v_RngHi.EnblTyp</t>
  </si>
  <si>
    <t>Torque Secure Supply 23 V Signal must be below or equal to the Pass Threshold:
TrqSecur.Hw.InRaw.Sply23vSgnl &lt;=   K_TrqSecur.Diag.SplyGrp_Sply24v_RngHi.FltHyst</t>
  </si>
  <si>
    <t>K_TrqSecur.Diag.SplyGrp_Sply24v_RngHi.LimPassSec</t>
  </si>
  <si>
    <t>672 - TrqSecurGrp.SplyGrp_Sply24V_RngLo
 resistor on the voltage divider that is providing the supply rail
short low</t>
  </si>
  <si>
    <t>Torque Secure Supply 23 V Signal must be smaller than Fail Threshold Calibration: TrqSecur.Hw.InRaw.Sply23vSgnl &lt; K_TrqSecur.Diag.SplyGrp_Sply24v_RngLo.FltSetThrsh</t>
  </si>
  <si>
    <t>K_TrqSecur.Diag.SplyGrp_Sply24v_RngLo.LimFailSec</t>
  </si>
  <si>
    <t>K_TrqSecur.Diag.SplyGrp_Sply24v_RngLo.EnblTyp</t>
  </si>
  <si>
    <t>Torque Secure Supply 23 V Signal must be greater or equal to the Pass Threshold:
TrqSecur.Hw.InRaw.Sply23vSgnl &gt;=  K_TrqSecur.Diag.SplyGrp_Sply24v_RngLo.FltHyst</t>
  </si>
  <si>
    <t xml:space="preserve">
K_TrqSecur.Diag.SplyGrp_Sply24v_RngLo.LimPassSec</t>
  </si>
  <si>
    <t>778 - TrqSecurGrp.SplyGrp_Sply5vGDICBOTUV_HW
5V_GDIC_BOT Supply voltage undervoltage HW detection</t>
  </si>
  <si>
    <t>TrqSecurDiag.Diag.EntryCrit.Ok_Lv2_23V = 1</t>
  </si>
  <si>
    <t>Fault Flag from Low-level Driver
RTE bit read (BIT 20)  from
LV2_Proxy.Proxy_Out.ToRTE.Inv_Status_1 = 1
this flag gets active if
5V_GDIC_BOT Supply  lower than a threshold  (HW detection)
Inv_Status_1_5V_GDIC_BOT_UV = 1</t>
  </si>
  <si>
    <t>K_TrqSecur.Diag.SplyGrp_Sply5vGDICBOTUV_HW.LimFailSec</t>
  </si>
  <si>
    <t>K_TrqSecur.Diag.SplyGrp_Sply5vGDICBOTUV_HW.EnblTyp</t>
  </si>
  <si>
    <t>Fault Flag from Low-level Driver
RTE bit read (BIT 20)  from
LV2_Proxy.Proxy_Out.ToRTE.Inv_Status_1 = 0</t>
  </si>
  <si>
    <t xml:space="preserve">
K_TrqSecur.Diag.SplyGrp_Sply5vGDICBOTUV_HW.LimPassSec</t>
  </si>
  <si>
    <t>779 - TrqSecurGrp.SplyGrp_Sply5vGDICTOPUV_HW
5V_GDIC_TOP Supply voltage undervoltage HW detection</t>
  </si>
  <si>
    <t xml:space="preserve">
TrqSecurDiag.Diag.EntryCrit.Ok_Lv2_23V = 1
this flag gets true if:
K_TrqSecur.K_LV2_23V_Safety1_OvrThrsh &gt; Hw.InRaw.Sply23vSgnl
AND
Hw.InRaw.Sply23vSgnl &gt; K_TrqSecur.K_LV2_23V_Safety1_UndrThrsh</t>
  </si>
  <si>
    <t>Fault Flag from Low-level Driver
RTE bit read (BIT 21)  from
LV2_Proxy.Proxy_Out.ToRTE.Inv_Status_1 = 1
this flag gets active if
5V_GDIC_TOP Supply  lower than a threshold  (HW detection)
Inv_Status_1_5V_GDIC_TOP_UV = 1</t>
  </si>
  <si>
    <t>K_TrqSecur.Diag.SplyGrp_Sply5vGDICTOPUV_HW.LimFailSec</t>
  </si>
  <si>
    <t>K_TrqSecur.Diag.SplyGrp_Sply5vGDICTOPUV_HW.EnblTyp</t>
  </si>
  <si>
    <t>Fault Flag from Low-level Driver
RTE bit read (BIT 21)  from
LV2_Proxy.Proxy_Out.ToRTE.Inv_Status_1 = 0</t>
  </si>
  <si>
    <t xml:space="preserve">
K_TrqSecur.Diag.SplyGrp_Sply5vGDICTOPUV_HW.LimFailSec</t>
  </si>
  <si>
    <t>504 - TrqSecurGrp.TrqAchvdLV2
LV2 2 TQ arechieved doesn't match the TQ comanded</t>
  </si>
  <si>
    <t xml:space="preserve">Lv2 5V GDIC Bottom Signal is between Upper and Lower Threshold:
K_LV2_5V_GDIC_BOT_OvrThrsh &gt;Hw.InRaw.Sply5vGDICBotSgnl&gt; K_LV2_5V_GDIC_BOT_UndrThrsh
AND
Electric Motor Mode Command must be equal to 1:
FromSnsrAct.Lv2Data.eMtrModeCmd= TORQUE_CONTROL
</t>
  </si>
  <si>
    <t>absolute difference between the achieved torque and the torque command from AEMD ,
subtracts the achieved tracking limit,
and then multiplies the result by the torque difference gain factor and the time interval
The Integral (TrqSecur.LV2Data.Prvt.TrqAchvdFltsDiagSgnl) is the Result of the Multiplication of a physical signal (A) and fixed calibration multiplied with sample time (B):
A) Difference between (1) and (2):
-1) Absolute Value of Difference between (TrqSecur.LV2Data.Prvt.TrqAchvdLib.FnlTrqAchvd and TrqSecur.LV2Data.Prvt.TrqCmdSlew_woAemd)
-2) TrqSecur.LV2Data.Prvt.TrqAchvdTrckLimLib.FnlLim
B) Fixed calibration (3) multiplied with sample time (4):
-3) K_McpProcAemd.TrqAchvdDiffAemdMultLib.TrqDiffGn
-4) McpProcStMchn.In.AppTsk1Ts (0.002)
The Integral (TrqSecur.LV2Data.Prvt.TrqAchvdFltsDiagSgnl) value must be greater than Fail Threshold calibration:
TrqSecur.LV2Data.Prvt.TrqAchvdFltsDiagSgnl &gt; K_TrqSecur.Diag.TrqAchvdLV2.FltSetThrsh</t>
  </si>
  <si>
    <t>K_TrqSecur.Diag.TrqAchvdLV2.LimFailSec</t>
  </si>
  <si>
    <t>K_TrqSecur.Diag.TrqAchvdLV2.EnblTyp</t>
  </si>
  <si>
    <t xml:space="preserve">The Integral (TrqSecur.LV2Data.Prvt.TrqAchvdFltsDiagSgnl) is the Result of the Multiplication of a physical signal (1) and fixed calibration multiplied with sample time (2):
A) Difference between (1) and (2): 
-1) Absolute Value of Difference between (TrqSecur.LV2Data.Prvt.TrqAchvdLib.FnlTrqAchvd and TrqSecur.LV2Data.Prvt.TrqCmdSlew_woAemd)
-2) TrqSecur.LV2Data.Prvt.TrqAchvdTrckLimLib.FnlLim
B) Fixed calibration (3) multiplied with sample time (4):
-3) K_McpProcAemd.TrqAchvdDiffAemdMultLib.TrqDiffGn
-4) McpProcStMchn.In.AppTsk1Ts (0.002)
The Pass Condition is the following OR condition:
- The Integral (TrqSecur.LV2Data.Prvt.TrqAchvdFltsDiagSgnl) value must be smaller or equal than Fail Threshold calibration:
TrqSecur.LV2Data.Prvt.TrqAchvdFltsDiagSgnl &lt;= K_TrqSecur.Diag.TrqAchvdLV2.FltSetThrsh
OR
- The Integral (TrqSecur.LV2Data.Prvt.TrqAchvdFltsDiagSgnl) value is smaller than Zero:
TrqSecur.LV2Data.Prvt.TrqAchvdFltsDiagSgnl &lt; 0
</t>
  </si>
  <si>
    <t xml:space="preserve">
K_TrqSecur.Diag.TrqAchvdLV2.LimPassSec</t>
  </si>
  <si>
    <t>770 - TrqSecurGrp.VdcOvrVltgGrp_Hw
DC high voltage too high detected by HW</t>
  </si>
  <si>
    <t>Torque Secure Supply 5vA Signal is between Upper and Lower Threshold:
K_TrqSecur.K_LV2_5VA_OvrThrsh &gt; TrqSecur.Hw.InRaw.Sply5vASgnl &gt; K_TrqSecur.K_LV2_5VA_UndrThrsh
AND
{
[
IF (
Speed Sensor Status is equal to a status:
Intrfc.SpdPosnLld.Prvt.bAtoCnfgd = Rte_Swc_SlowCDDProxy_VeMcp_Cmp_Intrfc_SpdPosnLld_InitSpdSnsStatus_VeMcp_Cmp_Intrfc_SpdPosnLld_InitSpdSnsStatus
AND
Not disabled for :
IntrfcT1.In.bMntrUntDsbl
IntrfcT1.In.bCore0Dsbl
)
IF
(
Supply Initial Delay Time value greater or equal than calibration value:
McpDiag.DiagAddnl.SplyInitDlyTm_Sec &gt;=  K_McpDiag.CalAddnl.SplyInitDlyMax_Sec
)
]
Supply Initial Delay must be true:
McpDiag.EntryCrit.Ok_SplyInitDly = 1</t>
  </si>
  <si>
    <t>Fault Flag from Low-level Driver
RTE bit read (BIT 6)  from
LV2_Proxy.Proxy_Out.ToRTE.Inv_Status_1 = 1
This flag gets active if :
DC high voltage Hardware Overvoltage detection (detected by HW)
LLD interface: Inv_Status_1_OV_DIG_IN_LV2 = 1</t>
  </si>
  <si>
    <t>K_TrqSecur.Diag.VdcOvrVltgGrp_Hw.LimFailSec</t>
  </si>
  <si>
    <t>K_TrqSecur.Diag.VdcOvrVltgGrp_Hw.EnblTyp</t>
  </si>
  <si>
    <t xml:space="preserve">Fault Flag from Low-level Driver
RTE bit read (BIT 6)  from
LV2_Proxy.Proxy_Out.ToRTE.Inv_Status_1 = 0
</t>
  </si>
  <si>
    <t xml:space="preserve">
K_TrqSecur.Diag.VdcOvrVltgGrp_Hw.LimPassSec</t>
  </si>
  <si>
    <t>683 - TrqSecurGrp.VdcOvrVltgGrp_SwVdcOvrVltg
DC high voltage too high detected by Software</t>
  </si>
  <si>
    <t>Level 2 Voltage Lockout must be equal to one:
Lv2_Voltage_Lockout = 1
AND
Torque Secure Supply 5vA Signal is between Upper and Lower Threshold:
K_TrqSecur.K_LV2_5VA_OvrThrsh &gt; TrqSecur.Hw.InRaw.Sply5vASgnl &gt; K_TrqSecur.K_LV2_5VA_UndrThrsh</t>
  </si>
  <si>
    <t>Level 2 In Vdc must be bigger than Fail Threshold Calibration:
TrqSecurDiag.FromSnsrAct.Lv2HwGtDrvFlts.VOLTAGE_DCB &gt; K_TrqSecur.Diag.VdcOvrVltgGrp_SwVdcOvrVltg.FltSetThrsh [V]</t>
  </si>
  <si>
    <t>K_TrqSecur.Diag.VdcOvrVltgGrp_SwVdcOvrVltg.LimFailSec</t>
  </si>
  <si>
    <t>K_TrqSecur.Diag.VdcOvrVltgGrp_SwVdcOvrVltg.EnblTyp</t>
  </si>
  <si>
    <t>Level 2 In Vdc must be below or equal to the Pass Threshold:
LV2_Proxy.Proxy_Out.ToRTE.InVdc &lt;= K_TrqSecur.Diag.VdcOvrVltgGrp_SwVdcOvrVltg.FltHyst</t>
  </si>
  <si>
    <t>K_TrqSecur.Diag.VdcOvrVltgGrp_SwVdcOvrVltg.LimPassSec</t>
  </si>
  <si>
    <t>681 - TrqSecurGrp.VdcRngHi
DC high voltage range high</t>
  </si>
  <si>
    <t>Level 2 In Vdc must be greater than Fail Threshold Calibration:
TrqSecurDiag.FromSnsrAct.Lv2HwGtDrvFlts.VOLTAGE_DCB &gt; K_McpDiag.VdcRngHi.FltSetThrsh [V]</t>
  </si>
  <si>
    <t>K_TrqSecur.Diag.VdcRngHi.LimFailSec</t>
  </si>
  <si>
    <t>K_TrqSecur.Diag.VdcRngHi.EnblTyp</t>
  </si>
  <si>
    <t>Level 2 In Vdc must be less or equal to the Pass Threshold:
LV2_Proxy.Proxy_Out.ToRTE.InVdc &lt;=  K_TrqSecur.Diag.VdcRngHi.FltHyst</t>
  </si>
  <si>
    <t>K_TrqSecur.Diag.VdcRngHi.LimPassSec</t>
  </si>
  <si>
    <t>682 - TrqSecurGrp.VdcRngLo
DC high voltage range low</t>
  </si>
  <si>
    <t>Level 2 In Vdc must be lower than Fail Threshold Calibration:
TrqSecurDiag.FromSnsrAct.Lv2HwGtDrvFlts.VOLTAGE_DCB &lt; K_TrqSecur.Diag.VdcRngLo.FltSetThrsh [V]</t>
  </si>
  <si>
    <t>K_TrqSecur.Diag.VdcRngLo.LimFailSec</t>
  </si>
  <si>
    <t>K_TrqSecur.Diag.VdcRngLo.EnblTyp</t>
  </si>
  <si>
    <t>Level 2 In Vdc must be above or equal to the Pass Threshold:
LV2_Proxy.Proxy_Out.ToRTE.InVdc &gt;= K_TrqSecur.Diag.VdcRngLo.FltHyst</t>
  </si>
  <si>
    <t>K_TrqSecur.Diag.VdcRngLo.LimPassSec</t>
  </si>
  <si>
    <t>684 - TrqSecurGrp.VdcUndrVltgGrp_VdcUndrVltgDtctn
DC high voltage too LOW detected by Software</t>
  </si>
  <si>
    <t xml:space="preserve">Torque Secure Supply 5vA Signal is between Upper and Lower Threshold:
K_TrqSecur.K_LV2_5VA_OvrThrsh &gt; TrqSecur.Hw.InRaw.Sply5vASgnl &gt; K_TrqSecur.K_LV2_5VA_UndrThrsh
AND
Level 2 Voltage Lockout must be equal to one:
Lv2_Voltage_Lockout = 1
</t>
  </si>
  <si>
    <t>Level 2 In Vdc must be Lower than Fail Threshold Calibration:
TrqSecurDiag.FromSnsrAct.Lv2HwGtDrvFlts.VOLTAGE_DCB &lt; K_TrqSecur.Diag.VdcUndrVltgGrp_VdcUndrVltgDtctn.FltSetThrsh [V]</t>
  </si>
  <si>
    <t>K_TrqSecur.Diag.VdcUndrVltgGrp_VdcUndrVltgDtctn.LimFailSec</t>
  </si>
  <si>
    <t>K_TrqSecur.Diag.VdcUndrVltgGrp_VdcUndrVltgDtctn.EnblTyp</t>
  </si>
  <si>
    <t>Level 2 In Vdc must be above or equal to the Pass Threshold:
LV2_Proxy.Proxy_Out.ToRTE.InVdc &gt;=K_TrqSecur.Diag.VdcUndrVltgGrp_VdcUndrVltgDtctn.FltHyst</t>
  </si>
  <si>
    <t>K_TrqSecur.Diag.VdcUndrVltgGrp_VdcUndrVltgDtctn.LimPassSec</t>
  </si>
  <si>
    <t>685 - TrqSecurGrp.Voltage_DCB_Rationality
Compare of dc hiogh voltage vs  battery module voltage from CAN signal</t>
  </si>
  <si>
    <t xml:space="preserve">Level 2 Voltage Lockout must be equal to one:
Lv2_Voltage_Lockout = 1
AND
Torque Secure Supply 5vA Signal is between Upper and Lower Threshold:
K_TrqSecur.K_LV2_5VA_OvrThrsh &gt; TrqSecur.Hw.InRaw.Sply5vASgnl &gt; K_TrqSecur.K_LV2_5VA_UndrThrsh
AND
The signal High Voltage Battery Validity "bHiVltgBatVltgVldty"must be Active, when:
RTE bit read (BIT 0,1,2,3,4,5,6,7)  from
McpDiag.In.BPCM_HV_TractionBusVoltage_SigSts = 1
RTE bit read (BIT 8,9,10,11,12,13,14,15)  from
McpDiag.In.BPCM_HV_TractionBusVoltage_SigSts= 1
AND
(
High Voltage Cnctr must be equal to two (contactor_closed):
HiVltgCnctrStatus == CONTACTOR_CLOSED
OR
High Voltage Cnctr must be equal to CONTACTOR_STUCK_CLOSED:
HiVltgCnctrStatus == CONTACTOR_STUCK_CLOSED
)
</t>
  </si>
  <si>
    <t>Absolute Value of (Level 2 In Vdc and Torque Secure Group DC Volt) must be greater than Fail Threshold Calibration:
Absolute Value of (TrqSecurDiag.FromSnsrAct.Lv2HwGtDrvFlts.VOLTAGE_DCB  - TrqSecurDiag.FromSnsrAct.CAN.Vdct) &gt; K_TrqSecur.Diag.Voltage_DCB_Rationality.FltSetThrsh [V]</t>
  </si>
  <si>
    <t>K_TrqSecur.Diag.Voltage_DCB_Rationality.LimFailSec</t>
  </si>
  <si>
    <t>K_TrqSecur.Diag.Voltage_DCB_Rationality.EnblTyp</t>
  </si>
  <si>
    <t>Absolute Value of (Level 2 In Vdc and Torque Secure Group DC Volt) must be below or equal to the Pass Threshold:
Absolute Value of (SpeedLV2_Proxy.Proxy_Out.ToRTE.InVdc - TrqSecur.In.InRTE.DC_Volt)  &lt;= K_TrqSecur.Diag.Voltage_DCB_Rationality.FltHyst</t>
  </si>
  <si>
    <t>K_TrqSecur.Diag.Voltage_DCB_Rationality.LimPassSec</t>
  </si>
  <si>
    <t>0C0BA3</t>
  </si>
  <si>
    <t>P0C0B-A3</t>
  </si>
  <si>
    <t>Drive Motor "A" Inverter Power Supply - System Voltage High</t>
  </si>
  <si>
    <t>43 - VdcOvrVltgGrp
DC highVoltage overvoltage group</t>
  </si>
  <si>
    <t>IDCM Internal failure
PIM Assembly  faulty</t>
  </si>
  <si>
    <t xml:space="preserve">Check EDM for damaged connectors or not proper connection and repair/replace if needed
Check IDCM for damages connectors or not proper connection and repair/replace if needed. If fault is still present replace IDCM
If fault is still present, replace PIM Assembly </t>
  </si>
  <si>
    <t>140 - VdcOvrVltgGrp.Derate
Derating,  caused by DC HighVoltage Overvoltage, is stronger than thrshold</t>
  </si>
  <si>
    <t>MCP state machine must be = MCP_Drive
NextStateID = 1
AND
5V Supply Voltage A is between Upper and Lower Threshold:
K_McpDiag.CalAddnl.Ok_5VA_OvrThrsh  &gt; Intrfc.Hw.InRaw.Sply5vASgnl &gt; K_McpDiag.CalAddnl.Ok_5VA_UndrThrsh 
AND
Hv Min Side Derate Activation must be false
HvMinSideDerateActv = 0</t>
  </si>
  <si>
    <t>The Derate Prvt HV Slewd Capability value smaller than Fail Threshold calibration:
Proc_Derate.Prvt.HV.SlewdCpblty &lt; K_McpDiag.VdcOvrVltgGrp.Derate..FltSetThrsh</t>
  </si>
  <si>
    <t>K_McpDiag.VdcOvrVltgGrp.Derate.LimFailSec</t>
  </si>
  <si>
    <t>K_McpDiag.VdcOvrVltgGrp.Derate.EnblTyp</t>
  </si>
  <si>
    <t>The Derate Prvt HV Slewd Capability value must be above or equal to the Pass Threshold:
Proc_Derate.Prvt.HV.SlewdCpblty &gt;= K_McpDiag.VdcOvrVltgGrp.Derate.FltHyst</t>
  </si>
  <si>
    <t>K_McpDiag.VdcOvrVltgGrp.Derate.LimPassSec</t>
  </si>
  <si>
    <t>157 - VdcOvrVltgGrp.Hw
DC HighVoltage overvoltage HW detection</t>
  </si>
  <si>
    <t xml:space="preserve">The enable criteria McpDiag.EntryCrit.Ok_SplyInitDly  is fulfilled
if these AND conditions are satisfied:
1) 5V Supply Current Sense Signal is between Upper and Lower Threshold:
K_McpDiag.CalAddnl.Ok_5V_CURRENT_SENSE_OvrThrsh&gt; Intrfc.Hw.InRaw.In.Sply5vCrntSnsSgnl&gt; K_McpDiag.CalAddnl.Ok_5V_CURRENT_SENSE_UndrThrsh
2) Initial Speed Sensor Configuration Status must be true
McpDiag.In.InitSpeedSenseConfig_status = 1
3)both variables are NOT disabled
- IntrfcT1.In.bMntrUntDsbl=0
- IntrfcT1.In.bCore0Dsbl=0
4) Supply Initial Delay Time value greater than calibration value
McpDiag.DiagAddnl.SplyInitDlyTm_Sec &gt;=  K_McpDiag.CalAddnl.SplyInitDlyMax_Sec
</t>
  </si>
  <si>
    <t>Fault Flag from Low-level Driver
RTE bit read (BIT 4)  from
IntrfcT1.In.Inv_Status_1  is one
This fault is triggered if control board hardware detects a Vdc overvoltage on the DC bus. When over voltage happens a discrete I/O on microcontroller gets asserted then this fault will set.</t>
  </si>
  <si>
    <t xml:space="preserve">K_McpDiag.VdcOvrVltgGrp.Hw.LimFailSec </t>
  </si>
  <si>
    <t>K_McpDiag.VdcOvrVltgGrp.Hw.EnblTyp</t>
  </si>
  <si>
    <t>K_McpDiag.VdcOvrVltgGrp.Hw.LimPassSec</t>
  </si>
  <si>
    <t>112 - VdcOvrVltgGrp.Sw
DC HighVoltage  above threshold</t>
  </si>
  <si>
    <t>Diag T0 Gate Driver Param Download Completed must be true:
DiagT0.In.Ok_GateDrvParamDwnldCmplt = 1</t>
  </si>
  <si>
    <t>IntrfcT0 Vdc must be greater than Fail Threshold Calibration:
IntrfcT0.VltgCurrLld.Prvt.Vdc &gt; K_Mcp_DiagT0.VdcOvrVltgGrp_Sw.FltSetThrsh
This fault is set when DC bus voltage Vdc received by aepplication layer is higher than a threshold.
For testing, to set this fault you could use this override
K_Mcp_IntrfcT0.Ovrrd.In.Vdc.SgnlEnbl = 1
K_Mcp_IntrfcT0.Ovrrd.In.Vdc.Sgnl = large value say 600 V</t>
  </si>
  <si>
    <t>K_Mcp_DiagT0.VdcOvrVltgGrp_Sw.EnblTyp</t>
  </si>
  <si>
    <t>No dematuration- latched!</t>
  </si>
  <si>
    <t>0D2D12</t>
  </si>
  <si>
    <t>P0D2D-12</t>
  </si>
  <si>
    <t>Drive Motor "A" Inverter Voltage Sensor "A" - Circuit Short to Battery</t>
  </si>
  <si>
    <t>41 - VdcRngHi
DC HighVoltage  above range high threshold</t>
  </si>
  <si>
    <t>PIM Assembly  faulty</t>
  </si>
  <si>
    <t xml:space="preserve">Replace PIM Assembly </t>
  </si>
  <si>
    <t>5V Supply GDIC Top Signal is between Upper and Lower Threshold:
K_McpDiag.CalAddnl.Ok_5V_GDIC_TOP_AI_OvrThrsh  &gt; Intrfc.Hw.InRaw.Sply5vGDICTopSgnl &gt; K_McpDiag.CalAddnl.Ok_5V_GDIC_TOP_AI_UndrThrsh
AND
High Voltage Cnctr must be equal to 2:
HiVltgCnctrStatus = CONTACTOR_CLOSED (2)
AND
The signal High Voltage Battery Validity must be Active, when:
RTE bit read (BIT 0,1,2,3,4,5,6,7)  from
McpDiag.In.BPCM_HV_TractionBusVoltage_SigSts = 1
RTE bit read (BIT 8,9,10,11,12,13,14,15)  from
McpDiag.In.BPCM_HV_TractionBusVoltage_SigSts= 1
AND
Supply Initial Delay Time value greater than calibration value:
McpDiag.DiagAddnl.SplyInitDlyTm_Sec &gt;=  K_McpDiag.CalAddnl.SplyInitDlyMax_Sec</t>
  </si>
  <si>
    <t>Filtered DC Volatage value greater than Fail Threshold calibration: 
Intrfc.Out.InvF_DC_Voltage &gt; K_McpDiag.VdcRngHi.FltSetThrsh</t>
  </si>
  <si>
    <t>K_McpDiag.VdcRngHi.LimFailSec</t>
  </si>
  <si>
    <t>K_McpDiag.VdcRngHi.EnblTyp</t>
  </si>
  <si>
    <t>Filtered DC Volatage value must be below or equal to the Pass Threshold: 
Intrfc.Out.InvF_DC_Voltage &lt;= K_McpDiag.VdcRngHi.FltHyst</t>
  </si>
  <si>
    <t xml:space="preserve">K_McpDiag.VdcRngHi.LimPassSec </t>
  </si>
  <si>
    <t>0D2D11</t>
  </si>
  <si>
    <t>P0D2D-11</t>
  </si>
  <si>
    <t>Drive Motor "A" Inverter Voltage Sensor "A" - Circuit Short to Ground</t>
  </si>
  <si>
    <t>40 - VdcRngLo
DC HighVoltage  below range low threshold</t>
  </si>
  <si>
    <t xml:space="preserve">5V Supply GDIC Top Signal is between Upper and Lower Threshold:
K_McpDiag.CalAddnl.Ok_5V_GDIC_TOP_AI_OvrThrsh  &gt; Intrfc.Hw.InRaw.Sply5vGDICTopSgnl &gt; K_McpDiag.CalAddnl.Ok_5V_GDIC_TOP_AI_UndrThrsh
AND
High Voltage Cnctr must be equal to 2:
HiVltgCnctrStatus = CONTACTOR_CLOSED (2)
AND
The signal High Voltage Battery Validity "bHiVltgBatVltgVldty"must be Active, when:
RTE bit read (BIT 0,1,2,3,4,5,6,7)  from
McpDiag.In.BPCM_HV_TractionBusVoltage_SigSts = 1
RTE bit read (BIT 8,9,10,11,12,13,14,15)  from
McpDiag.In.BPCM_HV_TractionBusVoltage_SigSts= 1
AND
Supply Initial Delay Time value greater than calibration value:
McpDiag.DiagAddnl.SplyInitDlyTm_Sec &gt;=  K_McpDiag.CalAddnl.SplyInitDlyMax_Sec
</t>
  </si>
  <si>
    <t>Filtered DC Volatage value smaller than Threshold calibration: 
Intrfc.Out.InvF_DC_Voltage &lt; K_McpDiag.VdcRngLo.FltSetThrsh</t>
  </si>
  <si>
    <t>K_McpDiag.VdcRngLo.LimFailSec</t>
  </si>
  <si>
    <t>K_McpDiag.VdcRngLo.EnblTyp</t>
  </si>
  <si>
    <t>Filtered DC Volatage value must be above or equal to the Pass Threshold: 
Intrfc.Out.InvF_DC_Voltage &gt;= K_McpDiag.VdcRngLo.FltHyst</t>
  </si>
  <si>
    <t>K_McpDiag.VdcRngLo.LimPassSec</t>
  </si>
  <si>
    <t>0C0BA2</t>
  </si>
  <si>
    <t>P0C0B-A2</t>
  </si>
  <si>
    <t>Drive Motor "A" Inverter Power Supply - System Voltage Low</t>
  </si>
  <si>
    <t>45 - VdcUndrVltgGrp
DC HighVoltage undervoltage 
group</t>
  </si>
  <si>
    <t>BPCM internal failure
HV connection problems
PIM Assembly  faulty</t>
  </si>
  <si>
    <t>Check if BPCM has DTC set.  If yes, follow the repair action procedure for that DTC. Else, continue with this repair procedure.
Check HV connection for not proper connection or damage and repair if needed.
If fault is still present, replace PIM Assembly.</t>
  </si>
  <si>
    <t>158 - VdcUndrVltgGrp.VdcUndrVltgDtctn
DC HighVoltage undervoltage 
voltage  below threshold</t>
  </si>
  <si>
    <t xml:space="preserve">
MCP state machine must be = MCP_Drive
NextStateID = 1
AND
5V Supply Voltage A is between Upper and Lower Threshold:
K_McpDiag.CalAddnl.Ok_5VA_OvrThrsh  &gt; Intrfc.Hw.InRaw.Sply5vASgnl &gt; K_McpDiag.CalAddnl.Ok_5VA_UndrThrsh </t>
  </si>
  <si>
    <t>Filtered DC Volatage value smaller than Fail Threshold calibration:
Proc_Temp.In.FiltVdc &lt; K_McpDiag.VdcUndrVltgGrp.VdcUndrVltgDtctn.FltSetThrsh</t>
  </si>
  <si>
    <t>K_McpDiag.VdcUndrVltgGrp.VdcUndrVltgDtctn.LimFailSec</t>
  </si>
  <si>
    <t>K_McpDiag.VdcUndrVltgGrp.VdcUndrVltgDtctn.EnblTyp</t>
  </si>
  <si>
    <t>Filtered DC Volatage value must be above or equal to the Pass Threshold: 
Proc_Temp.In.FiltVdc &gt;= K_McpDiag.VdcUndrVltgGrp.VdcUndrVltgDtctn.FltHyst</t>
  </si>
  <si>
    <t>K_McpDiag.VdcUndrVltgGrp.VdcUndrVltgDtctn.LimPassSec</t>
  </si>
  <si>
    <t xml:space="preserve">141 - VdcUndrVltgGrp.VdcVltgLoDerate
DC HighVoltage low causes a derating stronger than threshold
</t>
  </si>
  <si>
    <t xml:space="preserve">
5V Supply Voltage A is between Upper and Lower Threshold:
K_McpDiag.CalAddnl.Ok_5VA_OvrThrsh  &gt; Intrfc.Hw.InRaw.Sply5vASgnl &gt; K_McpDiag.CalAddnl.Ok_5VA_UndrThrsh 
AND
MCP state machine must be = MCP_Drive
NextStateID = 1
AND
Hv Min Side Derate Activation musty be false
HvMinSideDerateActv = 0</t>
  </si>
  <si>
    <t>Derate HV Slewed Capability value lower than Fail Threshold calibration:
Proc_Derate.Prvt.HV.SlewdCpblty &lt; K_McpDiag. VdcUndrVltgGrp.VdcVltgLoDerate.FltSetThrsh</t>
  </si>
  <si>
    <t xml:space="preserve">K_McpDiag.VdcUndrVltgGrp.VdcVltgLoDerate.LimFailSec </t>
  </si>
  <si>
    <t>K_McpDiag.VdcUndrVltgGrp.VdcVltgLoDerate.EnblTyp</t>
  </si>
  <si>
    <t>Derate HV Slewed Capability value must be above or equal to the Pass Threshold:
Proc_Derate.Prvt.HV.SlewdCpblty &gt;= K_McpDiag. VdcUndrVltgGrp.VdcVltgLoDerate.FltHyst</t>
  </si>
  <si>
    <t>K_McpDiag.VdcUndrVltgGrp.VdcVltgLoDerate.LimPassSec</t>
  </si>
  <si>
    <t>0D2D92</t>
  </si>
  <si>
    <t>P0D2D-92</t>
  </si>
  <si>
    <t>Drive Motor "A" Inverter Voltage Sensor "A" - Performance or Incorrect Operation</t>
  </si>
  <si>
    <t xml:space="preserve">42 - VdcVltgRtnltyGrp
DC HighVoltage ratinality group
</t>
  </si>
  <si>
    <t>Lack of power
Engine stalling</t>
  </si>
  <si>
    <t>1089 - VdcVltgRtnltyGrp.Delta_HVDCSns_HVDCIso_Batt
Active discharge primary (via windings) failed ID current</t>
  </si>
  <si>
    <t xml:space="preserve">The enable criteria VdcVltgRtnltyGrp.Delta_HVDCSns_HVDCIso_Batt.EntryCritMet is fulfilled
if these AND conditions are satisfied:
1) 5VA Supply Voltage Signal is between Upper and Lower Threshold:
K_McpDiag.CalAddnl.Ok_5VA_OvrThrsh &gt; Intrfc.Hw.InRaw.Sply5vASgnl &gt; K_McpDiag.CalAddnl.Ok_5VA_UndrThrsh
2) Initial Speed Sensor Configuration Status must be true
McpDiag.In.InitSpeedSenseConfig_status = 1
3)both variables are NOT disabled
- IntrfcT1.In.bMntrUntDsbl=0
- IntrfcT1.In.bCore0Dsbl=0
4) Supply Initial Delay Time value greater than calibration value
McpDiag.DiagAddnl.SplyInitDlyTm_Sec &gt;=  K_McpDiag.CalAddnl.SplyInitDlyMax_Sec
5) Trac Bus Sts is equal to CONTACTOR CLOSED:
IntrfcT1.In.BMS_HV_Trac_Bus_Sts  = CONTACTOR_CLOSED
6) Fault Active Can Loc must  be equal to False:  
McpDiag.FltActv.CanLoc = 0
</t>
  </si>
  <si>
    <t>The fault flag for the loss of HVDC (High Voltage Direct Current) sensing must be equal to one:
In.LossOfHVDCSense_FltFlg  = 1
OR
The fault flag for detecting the loss of HVDC isolation must be equal to one:
In.LossOfHVDCIso_FltFlg = 1</t>
  </si>
  <si>
    <t xml:space="preserve">K_McpDiag.VdcVltgRtnltyGrp.Delta_HVDCSns_HVDCIso_Batt.LimFailSec </t>
  </si>
  <si>
    <t>K_McpDiag.VdcVltgRtnltyGrp.Delta_HVDCSns_HVDCIso_Batt.EnblTyp</t>
  </si>
  <si>
    <t>The fault flag for the loss of HVDC (High Voltage Direct Current) sensing must be equal to zero:
In.LossOfHVDCSense_FltFlg = = 0
OR
The fault flag for detecting the loss of HVDC isolation must be equal to zero:
In.LossOfHVDCIso_FltFlg == 0</t>
  </si>
  <si>
    <t xml:space="preserve">K_McpDiag.McpDiag.McpDiag.VdcVltgRtnltyGrp.Delta_HVDCSns_HVDCIso_Batt.LimPassSec </t>
  </si>
  <si>
    <t xml:space="preserve">147 - VdcVltgRtnltyGrp.DeltaMcpBatt
DC HighVoltage ratinality - absolute differnce  internal High volltage vs Battary pack voltage  bigger than threshold
</t>
  </si>
  <si>
    <t xml:space="preserve">The enable criteria VdcVltgRtnltyGrp.DeltaMcpBatt.EntryCritMet is fulfilled
if these AND conditions are satisfied:
1) 5VA Supply Voltage Signal is between Upper and Lower Threshold:
K_McpDiag.CalAddnl.Ok_5VA_OvrThrsh &gt; Intrfc.Hw.InRaw.Sply5vASgnl &gt; K_McpDiag.CalAddnl.Ok_5VA_UndrThrsh
2) Initial Speed Sensor Configuration Status must be true
McpDiag.In.InitSpeedSenseConfig_status = 1
3)both variables are NOT disabled
- IntrfcT1.In.bMntrUntDsbl=0
- IntrfcT1.In.bCore0Dsbl=0
4) Supply Initial Delay Time value greater than calibration value
McpDiag.DiagAddnl.SplyInitDlyTm_Sec &gt;=  K_McpDiag.CalAddnl.SplyInitDlyMax_Sec
5) Trac Bus Sts is equal to CONTACTOR CLOSED:
IntrfcT1.In.BMS_HV_Trac_Bus_Sts  = CONTACTOR_CLOSED
</t>
  </si>
  <si>
    <t>Absolute Value of the Difference between Filtered Vdc and Battery Voltage value greater than Fail Threshold calibrastion:
Absolute Value (Proc_Temp.In.FiltVdc  - IntrfcT1.In.BatteryVoltage_Raw) &gt;  K_McpDiag.VdcVltgRtnltyGrp.DeltaMcpBatt.FltSetThrsh
In above line IntrfcT1.In.BatteryVoltage_Raw  is the BPCM coltage received from the CAN and Proc_Temp.In.FiltVdc is the filtered DC bus voltage received from the low level driver (LLD).
If there is a difference between the two a fault will be set</t>
  </si>
  <si>
    <t xml:space="preserve">K_McpDiag.VdcVltgRtnltyGrp.DeltaMcpBatt.LimFailSec </t>
  </si>
  <si>
    <t>K_McpDiag.VdcVltgRtnltyGrp.DeltaMcpBatt.EnblTyp</t>
  </si>
  <si>
    <t xml:space="preserve">
Absolute Value of the Difference between Filtered Vdc and Battery Voltage value must be below or equal to the Pass Threshold: 
Absolute Value(In.FiltVdc  - IntrfcT1.In.BatteryVoltage_Raw) &lt;= K_McpDiag. K_McpDiag.VdcVltgRtnltyGrp.DeltaMcpBatt.FltHyst</t>
  </si>
  <si>
    <t xml:space="preserve">K_McpDiag.VdcVltgRtnltyGrp.DeltaMcpBatt.LimPassSec </t>
  </si>
  <si>
    <t>0A1B45</t>
  </si>
  <si>
    <t>P0A1B-45</t>
  </si>
  <si>
    <t>Drive Motor "A" Control Module - Program Memory Failure</t>
  </si>
  <si>
    <t> </t>
  </si>
  <si>
    <t>/ - ApplNvAb_PwrDwnBlocks_DemSetEvnt_Flag
Verify if there is any Failure observed in NVM</t>
  </si>
  <si>
    <t>Does not power the vehicle
Malfunction at starting of the vehicle</t>
  </si>
  <si>
    <t>Issue observed in NVM</t>
  </si>
  <si>
    <t>Check for software updates
If issue is still present, replace PIM Assembly</t>
  </si>
  <si>
    <t>Always enabled. They Run on every Key ON.</t>
  </si>
  <si>
    <t>NVM error not observed after reset</t>
  </si>
  <si>
    <t>Perform Hard Reset to recover the PIM</t>
  </si>
  <si>
    <t>0A1B44</t>
  </si>
  <si>
    <t>P0A1B-44</t>
  </si>
  <si>
    <t>Drive Motor "A" Control Module - Data Memory Failure</t>
  </si>
  <si>
    <t>/ - Bist_FsL3_Mbist_TestFailed
Check the result of BIST self test of Microcontroller</t>
  </si>
  <si>
    <t>BIST failure</t>
  </si>
  <si>
    <t>Micro BIST Failure not observed after reset</t>
  </si>
  <si>
    <t>060C92</t>
  </si>
  <si>
    <t>P060C-92</t>
  </si>
  <si>
    <t>Internal Control Module Main Processor - Performance or Incorrect Operation</t>
  </si>
  <si>
    <t>/ - Hw_Rlblty_Result.B.Monitor_Micro_Hw_Error
Verify if the Monitor Micro(TLF) is working correctly</t>
  </si>
  <si>
    <t>Controlboard internal failure (TLF is not functioning correctly)
Software issue</t>
  </si>
  <si>
    <t>0A1B51</t>
  </si>
  <si>
    <t>P0A1B-51</t>
  </si>
  <si>
    <t>Drive Motor "A" Control Module - Not Programmed</t>
  </si>
  <si>
    <t>/ - It is detected in Boot Software when Application SW is not Programmed
Application SW not flashed</t>
  </si>
  <si>
    <t>Mission failure</t>
  </si>
  <si>
    <t>MCPA SW has not been flashed
MCPA Control Board memory faulty</t>
  </si>
  <si>
    <t xml:space="preserve">Always enabled. </t>
  </si>
  <si>
    <t>0A1B41</t>
  </si>
  <si>
    <t>P0A1B-41</t>
  </si>
  <si>
    <t>Drive Motor "A" Control Module - General Checksum Failure</t>
  </si>
  <si>
    <t>/ - Lockstep_FsL3_ErrCmpltCore0
Lockstep_FsL3_ErrCmpltCore1
LockStep Result from Microcontroller</t>
  </si>
  <si>
    <t>Controlboard internal failure (Software issueMicro Lockstep Failure)
Software issue</t>
  </si>
  <si>
    <t>A20500</t>
  </si>
  <si>
    <t>B2205-00</t>
  </si>
  <si>
    <t xml:space="preserve">Original VIN Missing / Mismatch - </t>
  </si>
  <si>
    <t>/ - NA
Compare Original VIN with Current VIN. if Mismatch is observed for 3 Consequtive Key cycle</t>
  </si>
  <si>
    <t>Controlboard swap from other vehicle
ECU tamperring</t>
  </si>
  <si>
    <t>1, VIN should be locked
2, Runs once every Key ON</t>
  </si>
  <si>
    <t>3 Consecutive Key clyles Were there is VIN mismatch found between Original &amp; current VIN</t>
  </si>
  <si>
    <t>F03300</t>
  </si>
  <si>
    <t>U3033-00</t>
  </si>
  <si>
    <t xml:space="preserve">Control Module Security Certificate Missing/Invalid - </t>
  </si>
  <si>
    <t xml:space="preserve">/ - NA
This DTC is set in the Boot if the Firmware or ADA Certicate are invalid or missing </t>
  </si>
  <si>
    <t>Corruption of the Certification if the User tries to tamper &amp; flash the Software manually</t>
  </si>
  <si>
    <t>Flash App EFD
If fault still present, replace Pim Assembly</t>
  </si>
  <si>
    <t>Always enabled when Boot SW runs</t>
  </si>
  <si>
    <t>ECU will be stuck in Boot &amp; hence Application will not get the noticiaction of this Failure</t>
  </si>
  <si>
    <t>0A1B47</t>
  </si>
  <si>
    <t>P0A1B-47</t>
  </si>
  <si>
    <t>Drive Motor "A" Control Module - Watchdog / Safety µC Failure</t>
  </si>
  <si>
    <t>/ - RlbltyMonImdtSts_Result
• On the every 10th question LLD  overrides the Answer provided by STLA SW to provide the wrong Answer
• After Sending the wrong answer check if the SBC increment the Error counter by 2. If the error counter is Incremented then the check is Passed
• If the error counter is not incremented after sending wrong Answer, then LLD will Increment the SBC_failure counter by 1
• When the SBC failure counter reaches 3 on consecutive 10 questions, LLD mature the SBC failure &amp; set P16F5</t>
  </si>
  <si>
    <t>70 msec * 10 * 3 = 2100 msec
Window to provide answer is 70 msec
Wrong answer sent after every 10 the Question
Failue counter threshold is 3</t>
  </si>
  <si>
    <t>70ms</t>
  </si>
  <si>
    <t>Monitor Micro functioning as expected &amp; increement error counter when Wrong answer is provided</t>
  </si>
  <si>
    <t>0A1B46</t>
  </si>
  <si>
    <t>P0A1B-46</t>
  </si>
  <si>
    <t>Drive Motor "A" Control Module - Calibration / Parameter Memory Failure</t>
  </si>
  <si>
    <t>/ - VeBSWR_b_flag_P0605_Failure
Calculate the CRC of the Code &amp; Calibration Block &amp; verify with the Values calculated  by Build Tool(EBT)</t>
  </si>
  <si>
    <t>Memory Corruption
Software issue</t>
  </si>
  <si>
    <t>CRC failure not observed after Reset</t>
  </si>
  <si>
    <t xml:space="preserve">Control Module Improper Shutdown Performance - </t>
  </si>
  <si>
    <t>/ - VeBSWR_e_ShutOffPathTestStatus
Check the Result of Shutoffpath test performed by Supplier LLD</t>
  </si>
  <si>
    <t>Shutoff Path test Failure</t>
  </si>
  <si>
    <t>Shutoff Path test passing on next key ON</t>
  </si>
  <si>
    <t>/
Inform ASW layer about the Failure to initaite Vehicle shutdown</t>
  </si>
  <si>
    <r>
      <t xml:space="preserve">1. Fill out the fault setting criteria for faults listed below. Refer Specs </t>
    </r>
    <r>
      <rPr>
        <sz val="9"/>
        <color rgb="FFFF0000"/>
        <rFont val="CorpoS"/>
      </rPr>
      <t>CS.00099</t>
    </r>
    <r>
      <rPr>
        <sz val="9"/>
        <rFont val="CorpoS"/>
      </rPr>
      <t xml:space="preserve">, section </t>
    </r>
    <r>
      <rPr>
        <sz val="9"/>
        <color rgb="FFFF0000"/>
        <rFont val="CorpoS"/>
      </rPr>
      <t xml:space="preserve">7 FAULT MANAGEMENT </t>
    </r>
    <r>
      <rPr>
        <sz val="9"/>
        <rFont val="CorpoS"/>
      </rPr>
      <t xml:space="preserve">
2. Additionally, list out all the other DTCs to be set by your ECU, along with the complete information requested in the columns below. 
3. Severity should be defined by supplier based on ISO 14229_2013 if applicable.</t>
    </r>
  </si>
  <si>
    <t>DTC Criteria Matrix - Table 1</t>
  </si>
  <si>
    <t xml:space="preserve">Note# if diagnosis is a functional diagnosis, vehicle function owner must indicate it in the vehicle function. If diagnosis is a component diagnosis, supplier has to define it. </t>
  </si>
  <si>
    <r>
      <t xml:space="preserve">DTC / </t>
    </r>
    <r>
      <rPr>
        <b/>
        <sz val="9"/>
        <color rgb="FFFF0000"/>
        <rFont val="Arial"/>
        <family val="2"/>
      </rPr>
      <t>UDS DTC Reference</t>
    </r>
  </si>
  <si>
    <r>
      <t xml:space="preserve">DTC Description  /  </t>
    </r>
    <r>
      <rPr>
        <b/>
        <u/>
        <sz val="9"/>
        <color rgb="FFFF0000"/>
        <rFont val="Arial"/>
        <family val="2"/>
      </rPr>
      <t>Error Text</t>
    </r>
  </si>
  <si>
    <r>
      <t xml:space="preserve">WARNING_INDICATOR / </t>
    </r>
    <r>
      <rPr>
        <b/>
        <u/>
        <sz val="9"/>
        <color rgb="FFFF0000"/>
        <rFont val="Arial"/>
        <family val="2"/>
      </rPr>
      <t>Set WarningIndicatorBit at fault</t>
    </r>
    <r>
      <rPr>
        <b/>
        <u/>
        <sz val="9"/>
        <color indexed="12"/>
        <rFont val="Arial"/>
        <family val="2"/>
      </rPr>
      <t xml:space="preserve">
</t>
    </r>
    <r>
      <rPr>
        <sz val="9"/>
        <color indexed="12"/>
        <rFont val="Arial"/>
        <family val="2"/>
      </rPr>
      <t>(bit 7)</t>
    </r>
  </si>
  <si>
    <r>
      <t xml:space="preserve">STORED_DTC_SELF_HEALING_CRITERIA / </t>
    </r>
    <r>
      <rPr>
        <b/>
        <u/>
        <sz val="9"/>
        <color rgb="FFFF0000"/>
        <rFont val="Arial"/>
        <family val="2"/>
      </rPr>
      <t>HEALING CYCLES COUNTER</t>
    </r>
  </si>
  <si>
    <t>DATA_RECORD_NUMBER_FIRST_CONFIRMED</t>
  </si>
  <si>
    <t>DATA_RECORD_SIZE_FIRST_CONFIRMED</t>
  </si>
  <si>
    <t>DATA_RECORD_NUMBER_MOST_RECENT</t>
  </si>
  <si>
    <t>DATA_RECORD_SIZE_MOST_RECENT</t>
  </si>
  <si>
    <t>DTC_READINESS_GROUP_VALUE</t>
  </si>
  <si>
    <t>OPERATION_CYCLE (ASR DEM)</t>
  </si>
  <si>
    <t>ENGINEERING_NOTES / SPECIAL_INSTRUCTIONS</t>
  </si>
  <si>
    <t>CUSTOMER PERCEPTION SYMPTOM</t>
  </si>
  <si>
    <t>ENABLE CONDITIONS</t>
  </si>
  <si>
    <t>CORRECTIVE_ACTION</t>
  </si>
  <si>
    <t>Monitor Intialization Function (ASR DEM)</t>
  </si>
  <si>
    <t>Self Healing (Aging) (ASR DEM)</t>
  </si>
  <si>
    <t>Special Instructions (ASR DEM)</t>
  </si>
  <si>
    <t>Vehicle System Groups (ASR DEM)</t>
  </si>
  <si>
    <t>Reset_Condition and Self_healing (ASR_DEM)</t>
  </si>
  <si>
    <t>FUNCTIONAL_UNIT (ASR_DEM)</t>
  </si>
  <si>
    <t xml:space="preserve"> Pre-Debounce Algorithm (ASR_DEM)</t>
  </si>
  <si>
    <t>DTC Debounce Passed Timeout Value</t>
  </si>
  <si>
    <t>DTC Debounce Failed Timeout Value</t>
  </si>
  <si>
    <t xml:space="preserve">
Use Jump-Up (Prefailed)
</t>
  </si>
  <si>
    <t>Use Jump-Down (Prepassed)</t>
  </si>
  <si>
    <t>Count-out step size</t>
  </si>
  <si>
    <t>Count-In step size</t>
  </si>
  <si>
    <t>Healing Cycle Ref (ASM Ref)</t>
  </si>
  <si>
    <t>DTC Severity</t>
  </si>
  <si>
    <t>Atlantis - High CS.00099</t>
  </si>
  <si>
    <t>$408E00</t>
  </si>
  <si>
    <t>C008E-00</t>
  </si>
  <si>
    <t>ECU Internal Performance</t>
  </si>
  <si>
    <t>40 consecutive key cycles</t>
  </si>
  <si>
    <t>ADCAM Internal Hardware or Software Failure</t>
  </si>
  <si>
    <t>Clear faults and recycle ignition
if softwware error reflash the ECU
If hardware error remains, replace ECU</t>
  </si>
  <si>
    <t xml:space="preserve">
EC 2 -6V&lt;Local Voltage at ADCAM_Input &lt; 16V
DTC setting has not been disabled</t>
  </si>
  <si>
    <t>SysLostComm_Flt == TRUE ||
SysImplausibleComm_Flt == TRUE ||
SysInvalidData_Flt == TRUE ||
SysPwr_Flt == TRUE ||
SysConfig_Flt == TRUE ||
SysMem_Flt == TRUE ||
SysHw_Flt == TRUE || 
SysInit_Flt == TRUE ||
EyeQ_In_Hard_Reset_Flt == TRUE ||
SysFeature_Flt == TRUE ||
SysTimeout_Flt == TRUE ||
EyeQ_Severe_SW_Flt == TRUE ||
EyeQ_Fatal_Error == TRUE ||
LRCF_Sw_Hw_Flt == TRUE</t>
  </si>
  <si>
    <t>ms</t>
  </si>
  <si>
    <t xml:space="preserve">SysLostComm_Flt == FALSE &amp;&amp;
SysImplausibleComm_Flt == FALSE &amp;&amp;
SysInvalidData_Flt == FALSE &amp;&amp;
SysPwr_Flt == FALSE &amp;&amp;
SysConfig_Flt == FALSE &amp;&amp;
SysMem_Flt == FALSE &amp;&amp;
SysHw_Flt == FALSE &amp;&amp; 
SysInit_Flt == FALSE &amp;&amp;
EyeQ_In_Hard_Reset_Flt == FALSE &amp;&amp;
SysFeature_Flt == FALSE &amp;&amp;
SysTimeout_Flt == FALSE &amp;&amp;
EyeQ_Severe_SW_Flt == FALSE &amp;&amp;
EyeQ_Fatal_Error == FALSE &amp;&amp;
LRCF_Sw_Hw_Flt == FALSE </t>
  </si>
  <si>
    <t>IMMEDIATELY</t>
  </si>
  <si>
    <t>Refer to "Limp-In Actions" Tab</t>
  </si>
  <si>
    <t>checkAtNextHalt</t>
  </si>
  <si>
    <t>$40C449</t>
  </si>
  <si>
    <t>C00C4-49</t>
  </si>
  <si>
    <t>Rear Radar Module "A" -  Internal Electronic Failure</t>
  </si>
  <si>
    <t>Left Rear Radar Internal Performance</t>
  </si>
  <si>
    <t>MRRRL Internal Hardware or Software Failure</t>
  </si>
  <si>
    <t>Check the connections
Clear faults and recycle ignition
if softwware error reflash the ECU
If hardware error remains, replace ECU</t>
  </si>
  <si>
    <t xml:space="preserve">
EC 2 -6V&lt;Local Voltage at ADCAM_Input &lt; 16V AND
Lost_Communication_With_MRRRL ==False AND
DTC setting has not been disabled
 </t>
  </si>
  <si>
    <t>If(MRR_RL_RADAR_Hw_Flt == TRUE  || MRR_RL_RADAR_Hw_Mem_Flt ==TRUE || MRR_RL_RADAR_Hw_SW_Flt == TRUE)
Host shall Restart the MRRRL 3 times before setting this DTC</t>
  </si>
  <si>
    <t>500 ms ( Fault setting time for this DTC is considered for the full signals propagation from RADAR to RADAR IF to ADCAM)</t>
  </si>
  <si>
    <t>If(MRR_RL_RADAR_Hw_Flt == FALSE &amp;&amp; MRR_RL_RADAR_Hw_Mem_Flt ==FALSE  &amp;&amp; MRR_RL_RADAR_Hw_SW_Flt ==FALSE )</t>
  </si>
  <si>
    <t xml:space="preserve">500 ms ( Fault clearing time for this DTC is considered for the full signals propagation from RADAR to RADAR IF to ADCAM)  </t>
  </si>
  <si>
    <t>$40C549</t>
  </si>
  <si>
    <t>C00C5-49</t>
  </si>
  <si>
    <t>Rear Radar Module "B" - Internal Electronic Failure</t>
  </si>
  <si>
    <t>Right Rear Radar Internal Performance</t>
  </si>
  <si>
    <t>MRRRR Internal Hardware or Software Failure</t>
  </si>
  <si>
    <t xml:space="preserve">
EC 2 -6V&lt;Local Voltage at ADCAM_Input &lt; 16V AND
Lost_Communication_With_MRRRR ==False AND
DTC setting has not been disabled
 </t>
  </si>
  <si>
    <t>If(MRR_RR_RADAR_Hw_Flt == TRUE  || MRR_RR_RADAR_Mem_Flt ==TRUE || MRR_RR_RADAR_SW_Flt == TRUE)
Host shall Restart the MRRRR 3 times before setting this DTC</t>
  </si>
  <si>
    <t>IIf(MRR_RR_RADAR_Hw_Flt == FALSE  &amp;&amp; MRR_RR_RADAR_Mem_Flt ==FALSE &amp;&amp; MRR_RR_RADAR_SW_Flt == FALSE )</t>
  </si>
  <si>
    <t>$40C049</t>
  </si>
  <si>
    <t>C00C0-49</t>
  </si>
  <si>
    <t>Front Radar Module "A" - Internal Electronic Failure</t>
  </si>
  <si>
    <t>Left Front Radar Internal Performance</t>
  </si>
  <si>
    <t>MRRFL Internal Hardware or Software Failure</t>
  </si>
  <si>
    <t xml:space="preserve">
EC 2 -6V&lt;Local Voltage at ADCAM_Input &lt; 16V AND
Lost_Communication_With_MRRFL ==False AND
DTC setting has not been disabled </t>
  </si>
  <si>
    <t>If(MRR_FL_RADAR_Hw_Flt == TRUE  || MRR_FL_RADAR_Mem_Flt ==TRUE || MRR_FL_RADAR_SW_Flt == TRUE)
Host shall Restart the MRRFL 3 times before setting this DTC</t>
  </si>
  <si>
    <t xml:space="preserve">IIf(MRR_FL_RADAR_Hw_Flt == FALSE  &amp;&amp; MRR_FL_RADARL_Mem_Flt ==FALSE &amp;&amp; MRR_FL_RADARL_SW_Flt == FALSE &amp;&amp; </t>
  </si>
  <si>
    <t>$40C249</t>
  </si>
  <si>
    <t>C00C2-49</t>
  </si>
  <si>
    <t>Front Radar Module "C" - Internal Electronic Failure</t>
  </si>
  <si>
    <t>Right Front Radar Internal Performance</t>
  </si>
  <si>
    <t>MRRFR Internal Hardware or Software Failure</t>
  </si>
  <si>
    <t xml:space="preserve">
EC 2 -6V&lt;Local Voltage at ADCAM_Input &lt; 16V AND
Lost_Communication_With_MRRFR ==False AND
DTC setting has not been disabled</t>
  </si>
  <si>
    <t>If(MRR_FR_RADAR_Hw_Flt == TRUE  ||MRR_FR_RADAR_Mem_Flt ==TRUE ||MRR_FR_RADAR_SW_Flt == TRUE )
Host shall Restart the MRRFR 3 times before setting this DTC</t>
  </si>
  <si>
    <t xml:space="preserve">If(MRR_FR_RADAR_Hw_Flt == FALSE  &amp;&amp; MRR_FR_RADAR_Mem_Flt ==FALSE &amp;&amp; MRR_FR_RADAR_SW_Flt == FALSE &amp;&amp; </t>
  </si>
  <si>
    <t>$631854</t>
  </si>
  <si>
    <t>C2318-54</t>
  </si>
  <si>
    <t>Front Camera-Missing Calibration</t>
  </si>
  <si>
    <t>Camera Calibration Not Learned</t>
  </si>
  <si>
    <t>ADCAM is not gone through the alignment process or not completed alignment process successfully.</t>
  </si>
  <si>
    <t xml:space="preserve">Clear faults and Ignition cycle
Adjust the mounting position as per the specification and run the alignment process
Review other faults relevant to Camera
</t>
  </si>
  <si>
    <t>EC 2 -6V&lt;Local Voltage at ADCAM_Input &lt; 16V
AND
DTC setting has not been disabled</t>
  </si>
  <si>
    <t xml:space="preserve">
Alignment process state = not completed in memory OR not_started</t>
  </si>
  <si>
    <t>Successful completion of the alignment process</t>
  </si>
  <si>
    <t>$631897</t>
  </si>
  <si>
    <t>C2318-97</t>
  </si>
  <si>
    <t>Front Camera - Component or System Operation Obstructed or Blocked</t>
  </si>
  <si>
    <t>Occurrence</t>
  </si>
  <si>
    <t>LRCF Sensor Blinded</t>
  </si>
  <si>
    <t>- Sensor Lens , Windshield covered with Ice, Snow, Mud or object
- sensor possibly vertically misaligned</t>
  </si>
  <si>
    <t xml:space="preserve">"
- Clean Windshield front of the Camera
- Free LRCF Module Field of View
- Clean Camera Lens
</t>
  </si>
  <si>
    <t>EC 2 -6V&lt;Local Voltage at ADCAM_Input &lt; 16V AND
 DTC setting has not been disabled AND
LRCF_POC_LDO_Enabled == True</t>
  </si>
  <si>
    <t>vision blindness detected</t>
  </si>
  <si>
    <t>No blindness detected at Vision sensor</t>
  </si>
  <si>
    <t>$40C497</t>
  </si>
  <si>
    <t>C00C4-97</t>
  </si>
  <si>
    <t>Rear Radar Module "A" - Component or System Operation Obstructed or Blocked</t>
  </si>
  <si>
    <t>Left Rear Radar Sensor Blinded</t>
  </si>
  <si>
    <t xml:space="preserve">Sensor covered with Ice, Snow, Mud or object </t>
  </si>
  <si>
    <t xml:space="preserve">"
- Clean Facia 
- Free Module Field of View
</t>
  </si>
  <si>
    <t xml:space="preserve">
EC 2 -6V&lt;Local Voltage at ADCAM_Input&lt; 16V AND
Lost_Communication_With_MRRRL ==False AND
DTC setting has not been disabled </t>
  </si>
  <si>
    <t>Sensor radar blindness detected</t>
  </si>
  <si>
    <t>No blindness detected at Radar sensor</t>
  </si>
  <si>
    <t>$40C597</t>
  </si>
  <si>
    <t>C00C5-97</t>
  </si>
  <si>
    <t>Rear Radar Module "B" - Component or System Operation Obstructed or Blocked</t>
  </si>
  <si>
    <t>Right Rear Radar Sensor Blinded</t>
  </si>
  <si>
    <t xml:space="preserve">
EC 2 -6V&lt;Local Voltage at ADCAM_Input&lt; 16V AND
Lost_Communication_With_MRRRR ==False AND
DTC setting has not been disabled
</t>
  </si>
  <si>
    <t>$40C097</t>
  </si>
  <si>
    <t>C00C0-97</t>
  </si>
  <si>
    <t>Front Radar Module "A" - Component or System Operation Obstructed or Blocked</t>
  </si>
  <si>
    <t>Left Front Radar Sensor Blinded</t>
  </si>
  <si>
    <t>Sensor covered with Ice, Snow, Mud or object</t>
  </si>
  <si>
    <t xml:space="preserve">
EC 2 -6V&lt;Local Voltage at ADCAM_Input&lt; 16V AND
Lost_Communication_With_MRRFL ==False AND
DTC setting has not been disabled</t>
  </si>
  <si>
    <t>$40C297</t>
  </si>
  <si>
    <t>C00C2-97</t>
  </si>
  <si>
    <t>Front Radar Module "C" - Component or System Operation Obstructed or Blocked</t>
  </si>
  <si>
    <t>Right Front Radar Sensor Blinded</t>
  </si>
  <si>
    <t xml:space="preserve">
EC 2 -6V&lt;Local Voltage at ADCAM_Input&lt; 16V AND
Lost_Communication_With_MRRFR ==False AND
MRRFR_HSD_Enabled == True AND
DTC setting has not been disabled</t>
  </si>
  <si>
    <t>$631876</t>
  </si>
  <si>
    <t>C2318-76</t>
  </si>
  <si>
    <t xml:space="preserve">
Front Camera - Wrong Mounting Position</t>
  </si>
  <si>
    <t>LRCF Adjustment Required</t>
  </si>
  <si>
    <t xml:space="preserve"> Camera Physically misaligned </t>
  </si>
  <si>
    <t>Re-Install Camera as per guidlines
Run Camera alignment routine</t>
  </si>
  <si>
    <t xml:space="preserve">
EC 2 -6V&lt;Local Voltage at ADCAM_Input&lt; 16V AND
DTC setting has not been disabled
AND
LRCF_POC_LDO_Enabled</t>
  </si>
  <si>
    <t>ADCAM detected Vision Alignment issue</t>
  </si>
  <si>
    <t>min</t>
  </si>
  <si>
    <t>ADCAM detected Vision Alignment was completed correctly</t>
  </si>
  <si>
    <t>$40C476</t>
  </si>
  <si>
    <t>C00C4-76</t>
  </si>
  <si>
    <t>Rear Radar Module "A" - Wrong Mounting Position</t>
  </si>
  <si>
    <t>Left Rear Radar Sensor Adjustment Required</t>
  </si>
  <si>
    <t xml:space="preserve">Radar sensor is misaligned
</t>
  </si>
  <si>
    <t>"- Adjust the mounting position as per the specification and run the alignment process
- replace the MRRRL"</t>
  </si>
  <si>
    <t xml:space="preserve">
EC 2 -6V&lt;Local Voltage at ADCAM_Input&lt; 16V AND
Lost_Communication_With_MRRRL ==False AND
DTC setting has not been disabled</t>
  </si>
  <si>
    <t>This fault indicates that Radar is misaligned while the runtime</t>
  </si>
  <si>
    <t>Sensor is aligned AND alignment routine succeed</t>
  </si>
  <si>
    <t>$40C576</t>
  </si>
  <si>
    <t>C00C5-76</t>
  </si>
  <si>
    <t>Rear Radar Module "B" - Wrong Mounting Position</t>
  </si>
  <si>
    <t>Right Rear Radar Sensor Adjustment Required</t>
  </si>
  <si>
    <t>"- Adjust the mounting position as per the specification and run the alignment process
- replace the MRRRR"</t>
  </si>
  <si>
    <t xml:space="preserve">
EC 2 -6V&lt;Local Voltage at ADCAM_Input&lt; 16V AND
Lost_Communication_With_MRRRR ==False AND
DTC setting has not been disabled</t>
  </si>
  <si>
    <t>$40C076</t>
  </si>
  <si>
    <t>C00C0-76</t>
  </si>
  <si>
    <t>Front Radar Module "A" - Wrong Mounting Position</t>
  </si>
  <si>
    <t>Left Front Radar SensorAdjustment Required</t>
  </si>
  <si>
    <t>"- Adjust the mounting position as per the specification and run the alignment process
- replace the MRRFL"</t>
  </si>
  <si>
    <t>$40C276</t>
  </si>
  <si>
    <t>C00C2-76</t>
  </si>
  <si>
    <t>Front Radar Module "C" - Wrong Mounting Position</t>
  </si>
  <si>
    <t>Right Front Radar Sensor Adjustment Required</t>
  </si>
  <si>
    <t>"- Adjust the mounting position as per the specification and run the alignment process
- replace the MRRFR"</t>
  </si>
  <si>
    <t xml:space="preserve">
EC 2 -6V&lt;Local Voltage at ADCAM_Input&lt; 16V AND
Lost_Communication_With_MRRFR ==False AND
DTC setting has not been disabled </t>
  </si>
  <si>
    <t>$621000</t>
  </si>
  <si>
    <t>C2210-00</t>
  </si>
  <si>
    <t>ECU Over Temperature</t>
  </si>
  <si>
    <t>Ambient Temperature too high
Internal Temperature too high</t>
  </si>
  <si>
    <t>- Bring  vehicle into cooler environment
- Drive vehicle up to 20 MPH and verify that DTC is not active
- If problem persists, replace ADCAM ECU</t>
  </si>
  <si>
    <t xml:space="preserve">
 DTC setting has not been disabled AND
EC2 - 6V &lt; Local Voltage  at ADCAM_Input&lt; 16.0V </t>
  </si>
  <si>
    <t xml:space="preserve">Internal ADCAM temperature is above operating threshold of individual component (host-1,EyeQ-2,)
When the ADCAM ECU internal temperature exceeds 85 C
</t>
  </si>
  <si>
    <t xml:space="preserve">Internal ADCAM temperature is below 95 C degrees
</t>
  </si>
  <si>
    <t>$40C44B</t>
  </si>
  <si>
    <t>C00C4-4B</t>
  </si>
  <si>
    <t>Rear Radar Module "A" - Over Temperature</t>
  </si>
  <si>
    <t>Left Rear Radar Over Temperature</t>
  </si>
  <si>
    <t>When the temperature of the ECU exceeds a high temperature threshold, the ECU is not able to operate within specification.</t>
  </si>
  <si>
    <t>Bring Sensor into cooler environment
Drive vehicle up to 20 MPH and verify that DTC is not active
 If problem persists, replace MRRRL</t>
  </si>
  <si>
    <t>When the temperature of the Radar ECU exceeds a high temperature threshold, the Radar ECU is not able to operate within specification.</t>
  </si>
  <si>
    <t>MRRRL temperature is below Event temprature - 10 degrees</t>
  </si>
  <si>
    <t>$40C54B</t>
  </si>
  <si>
    <t>C00C5-4B</t>
  </si>
  <si>
    <t>Rear Radar Module "B" - Over Temperature</t>
  </si>
  <si>
    <t>Right Rear Radar Over Temperature</t>
  </si>
  <si>
    <t xml:space="preserve"> Bring Sensor into cooler environment
Drive vehicle up to 20 MPH and verify that DTC is not active
 If problem persists, replace MRRRR</t>
  </si>
  <si>
    <t xml:space="preserve">
EC 2 -6V&lt;Local Voltage at ADCAM_Input&lt; 16V AND
Lost_Communication_With_MRRRR ==False AND
DTC setting has not been disabled
 </t>
  </si>
  <si>
    <t>MRRRR temperature is below Event temprature - 10 degrees</t>
  </si>
  <si>
    <t>$40C04B</t>
  </si>
  <si>
    <t>C00C0-4B</t>
  </si>
  <si>
    <t>Front Radar Module "A" - Over Temperature</t>
  </si>
  <si>
    <t>Left Front Radar Over Temperature</t>
  </si>
  <si>
    <t>Bring Sensor into cooler environment
Drive vehicle up to 20 MPH and verify that DTC is not active
 If problem persists, replace MRRFL</t>
  </si>
  <si>
    <r>
      <t xml:space="preserve">
EC 2 -6V&lt;Local Voltage at ADCAM_Input&lt; 16V AND
Lost_Communication_With_MRRFL ==False AND
DTC setting has not been disabled</t>
    </r>
    <r>
      <rPr>
        <sz val="12"/>
        <color rgb="FFFF0000"/>
        <rFont val="Tahoma"/>
        <family val="2"/>
      </rPr>
      <t xml:space="preserve"> </t>
    </r>
  </si>
  <si>
    <t>MRRFL temperature is below Event temprature - 10 degrees</t>
  </si>
  <si>
    <t>$40C24B</t>
  </si>
  <si>
    <t>C00C2-4B</t>
  </si>
  <si>
    <t>Front Radar Module "C" - Over Temperature</t>
  </si>
  <si>
    <t>Right Front Radar Over Temperature</t>
  </si>
  <si>
    <t>Bring Sensor into cooler environment
Drive vehicle up to 20 MPH and verify that DTC is not active
If problem persists, replace MRRFR</t>
  </si>
  <si>
    <t xml:space="preserve">
EC 2 -6V&lt;Local Voltage at ADCAM_Input&lt; 16V AND
Lost_Communication_With_MRRFR ==False AND
DTC setting has not been disabled</t>
  </si>
  <si>
    <t>MRRFR temperature is below Event temprature - 10 degrees</t>
  </si>
  <si>
    <t>$612916</t>
  </si>
  <si>
    <t>C2129-16</t>
  </si>
  <si>
    <t>Battery Voltage-Circuit Voltage Below Threshold</t>
  </si>
  <si>
    <t>Voltage at the input terminals of the ECU too low</t>
  </si>
  <si>
    <t>- Check Battery voltage.
- Check charging system.
- Check Ground circuit.
- Check Ignition run circuit.
- Check harness for obvious signs of damage</t>
  </si>
  <si>
    <t xml:space="preserve">EC 1- Ignition Status ==&gt; BCM_FD_10. CmdIgnSts == “RUN” AND
EC 7 - De-bounce Timer ( 5 seconds debouncing after above conditions are met) AND
ECU is not in Plant-Mode AND
DTC setting has not been disabled
</t>
  </si>
  <si>
    <t xml:space="preserve">Battery voltage measured by ADCAM module is below Threshold voltage
(&lt;6.5 V)
</t>
  </si>
  <si>
    <t>Battery voltage measured by ADCAM module is above 9.5V</t>
  </si>
  <si>
    <t>$612917</t>
  </si>
  <si>
    <t>C2129-17</t>
  </si>
  <si>
    <t>Battery Voltage-Circuit Voltage Above Threshold</t>
  </si>
  <si>
    <t>Voltage at the input terminals of the ECU too high</t>
  </si>
  <si>
    <t>Battery voltage measured by ADCAM module is above Threshold voltage (&gt;16.5)</t>
  </si>
  <si>
    <t>Battery voltage measured by ADCAM module is below 15.5V</t>
  </si>
  <si>
    <t>$40CA11</t>
  </si>
  <si>
    <t>C00CA-11</t>
  </si>
  <si>
    <t>Camera "A" Heater Control - Circuit Short to Ground</t>
  </si>
  <si>
    <t>Camera Heater Relay Circuit Short to Ground</t>
  </si>
  <si>
    <t>When the short to ground is detected on Heater supply generated by HSD.</t>
  </si>
  <si>
    <t>check the connection, there are a short between the heater output and the ground
Check the heater relay
if there is no short to ground and heater relay and  the DTC still active Replace ADCAM</t>
  </si>
  <si>
    <t xml:space="preserve">
EC 2 -6V&lt;Local Voltage at ADCAM_Input&lt; 16V AND
Heater_HSD_Enabled == True AND
DTC setting has not been disabled</t>
  </si>
  <si>
    <t>When the short to ground is detected on Heater supply generated by HSD.
This internal diagnostic signal is provided by the HSD integrated circuit</t>
  </si>
  <si>
    <t>When the short to ground is nolonger exist on Heater supply generated by HSD.
AND IGNITION CYCLE</t>
  </si>
  <si>
    <t>$40CA12</t>
  </si>
  <si>
    <t>C00CA-12</t>
  </si>
  <si>
    <t>Camera "A" Heater Control - Circuit Short to Battery</t>
  </si>
  <si>
    <t>Camera Heater Relay Circuit Short to Battery</t>
  </si>
  <si>
    <t>When the short to battery is detected on Heater supply generated by HSD.</t>
  </si>
  <si>
    <t>check the connection, there are a short between the heater output and the Battery
Check the heater relay
if there is no short to Battery and heater relay and  the DTC still active Replace ADCAM</t>
  </si>
  <si>
    <t xml:space="preserve">
EC 2 -6V&lt;Local Voltage at ADCAM_Input&lt; 16V AND
Heater_HSD_Enabled == FALSE AND
DTC setting has not been disabled</t>
  </si>
  <si>
    <t>When the short to battery is detected on Heater supply generated by HSD.
This internal diagnostic signal is provided by the HSD integrated circuit</t>
  </si>
  <si>
    <t>When the short to battery is nolonger exist on Heater supply generated by HSD
AND IGNITION CYCLE.
If the DTC was set due to the over current faillure, there is no need to perform IGNITION CYCLE, if the fault was cleared the DTC shall get cleared as well</t>
  </si>
  <si>
    <t>$40CA13</t>
  </si>
  <si>
    <t>C00CA-13</t>
  </si>
  <si>
    <t>Camera "A" Heater Control - Circuit Open</t>
  </si>
  <si>
    <t>Heater open circuit</t>
  </si>
  <si>
    <t>When an open load is detected on Heater supply generated by HSD</t>
  </si>
  <si>
    <t>Check the connection, as there is an open load detected
Check the heater relay
If there is no issue with the connections and the relay, replace the ADCAM</t>
  </si>
  <si>
    <t xml:space="preserve">
EC 2 -6V&lt;Local Voltage at ADCAM_Input&lt; 16V AND
Heater HSD_Enabled == True AND
DTC setting has not been disabled</t>
  </si>
  <si>
    <t>When an open load failure is detected on the Radar supply generated by the HSD</t>
  </si>
  <si>
    <t>When the open load failure does not exist anymore on the heater HSD</t>
  </si>
  <si>
    <t>$40C04A</t>
  </si>
  <si>
    <t>C00C0-4A</t>
  </si>
  <si>
    <t>Front Radar Module "A" - Incorrect Component Installed</t>
  </si>
  <si>
    <t>Radar VIN mismatch</t>
  </si>
  <si>
    <t>When a VIN mismatch is detected for the radar</t>
  </si>
  <si>
    <t>Replace the Radar</t>
  </si>
  <si>
    <t xml:space="preserve">
EC 2 -6V&lt;Local Voltage at ADCAM_Input&lt; 16V AND
DTC setting has not been disabled</t>
  </si>
  <si>
    <t>Radar_VINSignalCompare_Flt is active</t>
  </si>
  <si>
    <t>Radar_VINSignalCompare_Flt is not active anymore</t>
  </si>
  <si>
    <t>$40C24A</t>
  </si>
  <si>
    <t>C00C2-4A</t>
  </si>
  <si>
    <t>Front Radar Module "C" - Incorrect Component Installed</t>
  </si>
  <si>
    <t>$40C44A</t>
  </si>
  <si>
    <t>C00C4-4A</t>
  </si>
  <si>
    <t>Rear Radar Module "A" - Incorrect Component Installed</t>
  </si>
  <si>
    <t>$40C54A</t>
  </si>
  <si>
    <t>C00C5-4A</t>
  </si>
  <si>
    <t>Rear Radar Module "B" - Incorrect Component Installed</t>
  </si>
  <si>
    <t>$40C086</t>
  </si>
  <si>
    <t>C00C0-86</t>
  </si>
  <si>
    <t>Front Radar Module "A" - Signal Invalid</t>
  </si>
  <si>
    <t>Radar detects Implausible data received from ADCAM</t>
  </si>
  <si>
    <t>When implausibile data is detected from the ADCAM by the Radar</t>
  </si>
  <si>
    <t xml:space="preserve">Ensure that the connection cable is connected properly to both ADCAM and Radar
Change the cable if the issue is still present </t>
  </si>
  <si>
    <t>EC 1- Ignition Status ==&gt; BCM_FD_10. CmdIgnSts == “RUN” AND
EC3 - System Voltage==&gt; (10V&lt; BCM_FD_3. Battery_Volt_1&lt;16) AND
EC 5 - Bus Physical Status AND
EC 7 - De-bounce Timer ( 5 seconds debouncing after above conditions are met) AND
Not on Roller-Bench  ( BRAKE_FD_5.RollsModeAct != (0x1, Active) ) AND 
DTC setting has not been disabled AND
DTC setting has not been disabled
NotInPlantMode</t>
  </si>
  <si>
    <t>When the Radar receives the data from ADCAM with correct MC and CRC</t>
  </si>
  <si>
    <t>$40C286</t>
  </si>
  <si>
    <t>C00C2-86</t>
  </si>
  <si>
    <t>Front Radar Module "C" - Signal Invalid</t>
  </si>
  <si>
    <t>$40C486</t>
  </si>
  <si>
    <t>C00C4-86</t>
  </si>
  <si>
    <t>Rear Radar Module "A" - Signal Invalid</t>
  </si>
  <si>
    <t>$40C586</t>
  </si>
  <si>
    <t>C00C5-86</t>
  </si>
  <si>
    <t>Rear Radar Module "B" - Signal Invalid</t>
  </si>
  <si>
    <t>$40C087</t>
  </si>
  <si>
    <t>C00C0-87</t>
  </si>
  <si>
    <t>Front Radar Module "A" - Missing Message</t>
  </si>
  <si>
    <t xml:space="preserve">RADAR is detecting a Missing message from ADCAM </t>
  </si>
  <si>
    <t>When a lost communication between the ADCAM and the Radar is detected by the Radar</t>
  </si>
  <si>
    <t>When Radar recieves all the messages from the ADCAM</t>
  </si>
  <si>
    <t>$40C287</t>
  </si>
  <si>
    <t>C00C2-87</t>
  </si>
  <si>
    <t>Front Radar Module "C" - Missing Message</t>
  </si>
  <si>
    <t>$40C487</t>
  </si>
  <si>
    <t>C00C4-87</t>
  </si>
  <si>
    <t>Rear Radar Module "A" - Missing Message</t>
  </si>
  <si>
    <t>$40C587</t>
  </si>
  <si>
    <t>C00C5-87</t>
  </si>
  <si>
    <t>Rear Radar Module "B" - Missing Message</t>
  </si>
  <si>
    <t>$40C016</t>
  </si>
  <si>
    <t>C00C0-16</t>
  </si>
  <si>
    <t>Front Radar Module "A" - Circuit Voltage Below Threshold</t>
  </si>
  <si>
    <t>Low radar local voltage</t>
  </si>
  <si>
    <t>When the Radar reports low local voltage</t>
  </si>
  <si>
    <t>after above conditions are met) AND
EC 2 -6V&lt;Local Voltage at ADCAM_Input&lt; 16V AND
DTC setting has not been disabled</t>
  </si>
  <si>
    <t>If Radar_BatteryLow_Flt fault is active</t>
  </si>
  <si>
    <t>If Radar_BatteryLow_Flt fault is not active anymore</t>
  </si>
  <si>
    <t>$40C216</t>
  </si>
  <si>
    <t>C00C2-16</t>
  </si>
  <si>
    <t>Front Radar Module "C" - Circuit Voltage Below Threshold</t>
  </si>
  <si>
    <t xml:space="preserve">
EC 2 -6V&lt;Local Voltage at ADCAM_Input&lt; 16V AND
Radar HSD_Enabled == True AND
DTC setting has not been disabled</t>
  </si>
  <si>
    <t>$40C416</t>
  </si>
  <si>
    <t>C00C4-16</t>
  </si>
  <si>
    <t>Rear Radar Module "A" - Circuit Voltage Below Threshold</t>
  </si>
  <si>
    <t>$40C516</t>
  </si>
  <si>
    <t>C00C5-16</t>
  </si>
  <si>
    <t>Rear Radar Module "B" - Circuit Voltage Below Threshold</t>
  </si>
  <si>
    <t>$40C017</t>
  </si>
  <si>
    <t>C00C0-17</t>
  </si>
  <si>
    <t>Front Radar Module "A" - Circuit Voltage Above Threshold</t>
  </si>
  <si>
    <t>High radar local voltage</t>
  </si>
  <si>
    <t>When the Radar reports high local voltage</t>
  </si>
  <si>
    <t>If Radar_BatteryHigh_Flt fault is active</t>
  </si>
  <si>
    <t>If Radar_BatteryHigh_Flt fault is not active anymore</t>
  </si>
  <si>
    <t>$40C217</t>
  </si>
  <si>
    <t>C00C2-17</t>
  </si>
  <si>
    <t>Front Radar Module "C" - Circuit Voltage Above Threshold</t>
  </si>
  <si>
    <t>$40C417</t>
  </si>
  <si>
    <t>C00C4-17</t>
  </si>
  <si>
    <t>Rear Radar Module "A" - Circuit Voltage Above Threshold</t>
  </si>
  <si>
    <t>$40C517</t>
  </si>
  <si>
    <t>C00C5-17</t>
  </si>
  <si>
    <t>Rear Radar Module "B" - Circuit Voltage Above Threshold</t>
  </si>
  <si>
    <t>$620300</t>
  </si>
  <si>
    <t>C2203-00</t>
  </si>
  <si>
    <t>Current VIN Missing/Mismatch</t>
  </si>
  <si>
    <t>stored VIN doesn't match current VIN sent over CAN</t>
  </si>
  <si>
    <t>- Correct all faults in other ECU's.
- Check vehicle configuration for correctness
- Start In-Plant Mode Service Procedure to learn new Vehicle Configuration. Exit plant mode with correct configuration data being sent over CAN. Ignition cycle.
- Do not replace ADCAM ECU</t>
  </si>
  <si>
    <t>EC 1- Ignition Status ==&gt; BCM_FD_10. CmdIgnSts == “RUN” AND
EC3 - System Voltage==&gt; (10V&lt; BCM_FD_3. Battery_Volt_1&lt;16) AND
EC 5 - Bus Physical Status AND
EC 7 - De-bounce Timer ( 5 seconds debouncing after above conditions are met) AND
ECU is not in Plant-Mode AND
Not on Roller-Bench ( BRAKE_FD_5.RollsModeAct != (0x1, Active) ) AND 
NotDisabledBySer28 AND
DTC setting has not been disabled</t>
  </si>
  <si>
    <t>Current VIN does not match when plant mode was exited (To add odometer signal with value of 6KMs as a part of the maturation conditions)</t>
  </si>
  <si>
    <t>VIN received over CAN matches VIN learned in plant-mode</t>
  </si>
  <si>
    <t>$621200</t>
  </si>
  <si>
    <t>C2212-00</t>
  </si>
  <si>
    <t>ECU In-Plant Mode</t>
  </si>
  <si>
    <t>ECU Plant Mode active</t>
  </si>
  <si>
    <t xml:space="preserve"> - Check the sensor alignment related faults
- Exit In-Plant Mode using diagnostic tool</t>
  </si>
  <si>
    <t xml:space="preserve">
EC 2 -6V&lt;Local Voltage at ADCAM_Input&lt; 16V
DTC setting has not been disabled</t>
  </si>
  <si>
    <t>In-Plant mode is detected</t>
  </si>
  <si>
    <t>Sensor alignment successful (To add the name of the internal flag)</t>
  </si>
  <si>
    <t>$9EAD2A</t>
  </si>
  <si>
    <t>B1EAD-2A</t>
  </si>
  <si>
    <t xml:space="preserve">
Lane Departure Warning Switch - Stuck</t>
  </si>
  <si>
    <t>Active Lane Management Switch Stuck</t>
  </si>
  <si>
    <t>ECU reading Lane Management Switch inputs detected a fault in switch set</t>
  </si>
  <si>
    <t>- Check lane management switch ECU (Switches may need to be replaced). 
- Do not replace ADCAM ECU</t>
  </si>
  <si>
    <t>EC 1- Ignition Status ==&gt; BCM_FD_10. CmdIgnSts == “RUN” AND
EC3 - System Voltage==&gt; (10V&lt; BCM_FD_3. Battery_Volt_1&lt;16) AND
EC 5 - Bus Physical Status AND
EC 7 - De-bounce Timer ( 5 seconds debouncing after above conditions are met) AND
ECU is not in Plant-Mode AND
Not on Roller-Bench ( BRAKE_FD_5.RollsModeAct != (0x1, Active) ) AND 
NotDisabledBySer28 AND
DTC setting has not been disabled AND</t>
  </si>
  <si>
    <t xml:space="preserve"> IF (Relevent feature is enabled )
 switch held longer than 60 seconds
(BCM_FD_26.LKA_RequestSts == "PRESSED")</t>
  </si>
  <si>
    <t>s</t>
  </si>
  <si>
    <t xml:space="preserve">
(BCM_FD_26.LKA_RequestSts == "Not PRESSED")</t>
  </si>
  <si>
    <t>$15932A</t>
  </si>
  <si>
    <t>P1593-2A</t>
  </si>
  <si>
    <t>Speed Control Switch 1 / 2 Stuck</t>
  </si>
  <si>
    <t>Control switches (Speed up/down, set, distance/Mode) stuck error</t>
  </si>
  <si>
    <t>- Check for stuck "Cruise Switches"
- Do not replace ADCAM ECU</t>
  </si>
  <si>
    <t>EC 1- Ignition Status ==&gt; BCM_FD_10. CmdIgnSts == “RUN” AND
EC3 - System Voltage==&gt; (10V&lt; BCM_FD_3. Battery_Volt_1&lt;16) AND
EC 5 - Bus Physical Status AND
EC 7 - De-bounce Timer ( 5 seconds debouncing after above conditions are met) AND
ECU is not in Plant-Mode AND
Not on Roller-Bench  ( BRAKE_FD_5.RollsModeAct != (0x1, Active) ) AND 
NotDisabledBySer28 AND
DTC setting has not been disabled</t>
  </si>
  <si>
    <t>If (Relevant feature is enabled)
 switch held longer than 60 seconds
BCM_FD_26.HAS_OnOffSts == "PRESSED" OR
BCM_FD_13.ACC_On == "TRUE" OR
BCM_FD_13.CruiseControlOnOffSts =="TRUE" OR
BCM_FD_13.AcceleratorSts == "TRUE" OR
BCM_FD_13.DeceleratorSts == "TRUE" OR
BCM_FD_13.SpeedLimiterOnOffSts == "TRUE" OR
BCM_FD_13.ACC_DistSwDec == "TRUE" OR
BCM_FD_13.ACC_DistSwInc == "TRUE" OR
BCM_FD_13.ResumeSwitch == "TRUE" OR
BCM_FD_13.CrusCnclSwitch == "TRUE"</t>
  </si>
  <si>
    <t xml:space="preserve">
(BCM_FD_13.ACC_On =="FALSE" ) AND
(BCM_FD_13.CruiseControlOnOffSts =="FALSE") AND
BCM_FD_26.HAS_OnOffSts == "Not_Pressed" AND
(BCM_FD_13.AcceleratorSts == "FALSE") AND
(BCM_FD_13.DeceleratorSts == "FALSE") AND
(BCM_FD_13.SpeedLimiterOnOffSts == "FALSE") AND
(BCM_FD_13.ACC_DistSwDec == "FALSE") AND
(BCM_FD_13.ACC_DistSwInc == "FALSE") AND
(BCM_FD_13.ResumeSwitch == "FALSE") AND
(BCM_FD_13.CrusCnclSwitch == "FALSE") 
</t>
  </si>
  <si>
    <t>$D06F00</t>
  </si>
  <si>
    <t>U106F-00</t>
  </si>
  <si>
    <t>High Speed FD-CAN14 Communication Bus</t>
  </si>
  <si>
    <t>High Speed FD-CANR Communication Bus</t>
  </si>
  <si>
    <t>Error in FD-CAN FD14 bus communication. Too many error frames or CAN line short-circuit</t>
  </si>
  <si>
    <t>- Check other modules
- Check for timeout errors on receiving modules
- Check CAN line (Open or short circuit)
- Check that connector is plugged in properly
- Check pins on sensor for bent pins</t>
  </si>
  <si>
    <t>EC 2 -6V&lt;Local Voltage at ADCAM_Input&lt; 16V
DTC setting has not been disabled</t>
  </si>
  <si>
    <t>CAN FD14 bus off detected by Vector</t>
  </si>
  <si>
    <t>50 ms when ECU is outside planet mode 
1 sec when ECU in planet mode</t>
  </si>
  <si>
    <t>CAN works correctly</t>
  </si>
  <si>
    <t>$D05600</t>
  </si>
  <si>
    <t>U1056-00</t>
  </si>
  <si>
    <t>High Speed FD-CAN3 Communication Bus</t>
  </si>
  <si>
    <t>Error in FD-CAN FD3 bus communication. Too many error frames or CAN line short-circuit</t>
  </si>
  <si>
    <t>CAN FD3 bus off detected by Vector</t>
  </si>
  <si>
    <t>$D07200</t>
  </si>
  <si>
    <t>U1072-00</t>
  </si>
  <si>
    <t>Private CAN Communication Bus 1</t>
  </si>
  <si>
    <t>Bus OFF-CAN FDSB1</t>
  </si>
  <si>
    <t>Error in FD-CANSB1 bus communication. Too many error frames or CAN line short-circuit</t>
  </si>
  <si>
    <t>CAN SB1 bus off detected by Vector</t>
  </si>
  <si>
    <t>$D07300</t>
  </si>
  <si>
    <t>U1073-00</t>
  </si>
  <si>
    <t>Private CAN Communication Bus 2</t>
  </si>
  <si>
    <t>Bus OFF-CAN FDSB2</t>
  </si>
  <si>
    <t>Error in FD-CANSB2 bus communication. Too many error frames or CAN line short-circuit</t>
  </si>
  <si>
    <t>CAN SB2 bus off detected by Vector</t>
  </si>
  <si>
    <t>$D60000</t>
  </si>
  <si>
    <t>U1600-00</t>
  </si>
  <si>
    <t>ECU Application Software Mismatch</t>
  </si>
  <si>
    <t>Wrong Software programmed into ADCAM
EyeQ6, Aurix and radar software incompatible</t>
  </si>
  <si>
    <t xml:space="preserve">- Reflash Software
- If unsuccessful after first flash attempt, inspect harness, CAN-lines, and OBD-connection.
- Replace ADCAM sensor after 3 faulty flash attempts.
</t>
  </si>
  <si>
    <t xml:space="preserve">
Software application and calibration files do not compatible or complete.
</t>
  </si>
  <si>
    <t>Correct Software Version flashed to ECU</t>
  </si>
  <si>
    <t>$C2B500</t>
  </si>
  <si>
    <t>U02B5-00</t>
  </si>
  <si>
    <t>Lost Communication With Front Radar Module "B"</t>
  </si>
  <si>
    <t>ADCAM detects Lost Communication With Front Radar</t>
  </si>
  <si>
    <t>Radar is not connected probably to the ADCAM ECU
connection cable issue</t>
  </si>
  <si>
    <t>Ensure that the connection cable is connect probably to both ADCAM and Radar
Change the cable if the issue still excist
Change the radar</t>
  </si>
  <si>
    <t xml:space="preserve">EC 1- Ignition Status ==&gt; BCM_FD_10. CmdIgnSts == “RUN” AND
EC3 - System Voltage==&gt; (10V&lt; BCM_FD_3. Battery_Volt_1&lt;16) AND
EC +P63:T635 - Bus Physical Status AND
EC 7 - De-bounce Timer ( 5 seconds debouncing after above conditions are met) AND
Not on Roller-Bench  ( BRAKE_FD_5.RollsModeAct != (0x1, Active) ) AND 
DTC setting has not been disabled
AND
ECU is not in Plant-Mode
</t>
  </si>
  <si>
    <t>Message timeout from LRRF
PDU_LRRF_to_ADCAM_LRRF_Active_Faults_Status
ADCAM ETH - Flag for ARP lack of response</t>
  </si>
  <si>
    <t>ADCAM recives all messages from the LRRF</t>
  </si>
  <si>
    <t>$C2B600</t>
  </si>
  <si>
    <t>U02B6-00</t>
  </si>
  <si>
    <t>Lost Communication With Rear Radar Module "A"</t>
  </si>
  <si>
    <t xml:space="preserve">ADCAM detects Lost Communication With Left Rear Radar </t>
  </si>
  <si>
    <t>Radar is not connected properly to the ADCAM ECU
connection cable issue</t>
  </si>
  <si>
    <t xml:space="preserve">EC 1- Ignition Status ==&gt; BCM_FD_10. CmdIgnSts == “RUN” AND
EC3 - System Voltage==&gt; (10V&lt; BCM_FD_3. Battery_Volt_1&lt;16) AND
EC 5 - Bus Physical Status AND
EC 7 - De-bounce Timer ( 5 seconds debouncing after above conditions are met) AND
Not on Roller-Bench  ( BRAKE_FD_5.RollsModeAct != (0x1, Active) ) AND 
DTC setting has not been disabled AND
MRRRL_HSD_Enabled == True AND
DTC setting has not been disabled
AND
ECU is not in Plant-Mode
AND Open_Load_MRRRL_Failure==False
</t>
  </si>
  <si>
    <t>Message timeout from MRRRL
Missing_Msg_MRR_RL_Active_Fault_Status 
MRRRLInitTimeOut == True</t>
  </si>
  <si>
    <t>ADCAM receives all messages from the MRRRL</t>
  </si>
  <si>
    <t>$C2B700</t>
  </si>
  <si>
    <t>U02B7-00</t>
  </si>
  <si>
    <t xml:space="preserve">
Lost Communication With Rear Radar Module "B"</t>
  </si>
  <si>
    <t xml:space="preserve">ADCAM detects Lost Communication With Right Rear Radar </t>
  </si>
  <si>
    <t xml:space="preserve">EC 1- Ignition Status ==&gt; BCM_FD_10. CmdIgnSts == “RUN” AND
EC3 - System Voltage==&gt; (10V&lt; BCM_FD_3. Battery_Volt_1&lt;16) AND
EC 5 - Bus Physical Status AND
EC 7 - De-bounce Timer ( 5 seconds debouncing after above conditions are met) AND
Not on Roller-Bench  ( BRAKE_FD_5.RollsModeAct != (0x1, Active) ) AND 
DTC setting has not been disabled AND
MRRRR_HSD_Enabled == True AND
DTC setting has not been disabled
AND
ECU is not in Plant-Mode
AND Open_Load_MRRRR_Failure==False
 </t>
  </si>
  <si>
    <t>Message timeout from MRRRR
Missing_Msg_MRR_RR_Active_Fault_Status 
MRRRRInitTimeOut == True</t>
  </si>
  <si>
    <t>ADCAM receives all messages from the MRRRR</t>
  </si>
  <si>
    <t>$C2B400</t>
  </si>
  <si>
    <t>Lost Communication With Front Radar Module "A"</t>
  </si>
  <si>
    <t xml:space="preserve">ADCAM detects Lost Communication With Left Front Radar </t>
  </si>
  <si>
    <t>EC 1- Ignition Status ==&gt; BCM_FD_10. CmdIgnSts == “RUN” AND
EC3 - System Voltage==&gt; (10V&lt; BCM_FD_3. Battery_Volt_1&lt;16) AND
EC 5 - Bus Physical Status AND
EC 7 - De-bounce Timer ( 5 seconds debouncing after above conditions are met) AND
Not on Roller-Bench  ( BRAKE_FD_5.RollsModeAct != (0x1, Active) ) AND 
DTC setting has not been disabled AND
MRRFL_HSD_Enabled == True AND
DTC setting has not been disabled
AND
ECU is not in Plant-Mode
AND Open_Load_MRRFL_Failure==False</t>
  </si>
  <si>
    <t>Message timeout from MRRFL
Missing_Msg_MRR_FL_Active_Fault_Status 
MRRFLInitTimeOut == True</t>
  </si>
  <si>
    <t>ADCAM receives all messages from the MRRFL</t>
  </si>
  <si>
    <t>$C1C000</t>
  </si>
  <si>
    <t>U01C0-00</t>
  </si>
  <si>
    <t>Lost Communication With Front Radar Module "C"</t>
  </si>
  <si>
    <t xml:space="preserve">ADCAM detects Lost Communication With Right Front Radar </t>
  </si>
  <si>
    <t>EC 1- Ignition Status ==&gt; BCM_FD_10. CmdIgnSts == “RUN” AND
EC3 - System Voltage==&gt; (10V&lt; BCM_FD_3. Battery_Volt_1&lt;16) AND
EC 5 - Bus Physical Status AND
EC 7 - De-bounce Timer ( 5 seconds debouncing after above conditions are met) AND
Not on Roller-Bench  ( BRAKE_FD_5.RollsModeAct != (0x1, Active) ) AND 
DTC setting has not been disabled AND
MRRFR_HSD_Enabled == True AND
DTC setting has not been disabled
AND
ECU is not in Plant-Mode
AND Open_Load_MRRFR_Failure==False</t>
  </si>
  <si>
    <t>Message timeout from MRRFR
Missing_Msg_MRR_FR_Active_Fault_Status 
MRRFRInitTimeOut == True</t>
  </si>
  <si>
    <t>ADCAM receives all messages from the MRRFR</t>
  </si>
  <si>
    <t>$C12900</t>
  </si>
  <si>
    <t>Lost Communication With Brake System Control Module</t>
  </si>
  <si>
    <t>Lost Communication with Brake System Control Module</t>
  </si>
  <si>
    <t xml:space="preserve"> Check other ECU's for DTC's
 Do not replace ADCAM ECU</t>
  </si>
  <si>
    <t xml:space="preserve">Network Communication </t>
  </si>
  <si>
    <r>
      <t>EC 1- Ignition Status ==&gt; BCM_FD_10. CmdIgnSts == “RUN” AND
EC3 - System Voltage==&gt; (10V&lt; BCM_FD_3. Battery_Volt_1&lt;16) AND
EC 5 - Bus Physical Status AND
EC 7 - De-bounce Timer ( 5 seconds debouncing after above conditions are met) AND
ECU is not in Plant-Mode AND
Not on Roller-Bench  ( BRAKE_FD_5.RollsModeAct != (0x1, Active) ) AND 
NotDisabledBySer28 AND
DTC setting has not been disabled</t>
    </r>
    <r>
      <rPr>
        <sz val="12"/>
        <color rgb="FFFF0000"/>
        <rFont val="Tahoma"/>
        <family val="2"/>
      </rPr>
      <t xml:space="preserve"> </t>
    </r>
  </si>
  <si>
    <t>If (Relevant feature is enabled &amp;&amp; BSM PROXI Node is present)
Message timeout from BSM
BRAKE_FD_1 (Missing Message) (Cyclic time - 20ms) (Maturation time - 200ms) (CANFD14)
BRAKE_FD_2 (Missing Message) (Cyclic time - 10ms) (Maturation time - 200ms) (CANFD14)
BRAKE_FD_3 (Missing Message) (Cyclic time - 10ms) (Maturation time - 200ms) (CANFD14)
BRAKE_FD_4 (Missing Message) (Cyclic time - 100ms) (Maturation time - 500ms) (CANFD14)
BRAKE_FD_5 (Missing Message) (Cyclic time - 500ms) (Maturation time - 2500ms) (CANFD14)
BRAKE_FD_7 (Missing Message) (Cyclic time - 20ms) (Maturation time - 100ms) (CANFD14)</t>
  </si>
  <si>
    <t>100 - 2500ms</t>
  </si>
  <si>
    <t>ADCAM recives all messages from the BSM</t>
  </si>
  <si>
    <t>$C13100</t>
  </si>
  <si>
    <t>Lost Communication With Power Steering Control Module (EPS)</t>
  </si>
  <si>
    <t>Lost Communication with Power Steering Control Module</t>
  </si>
  <si>
    <t xml:space="preserve">EC 1- Ignition Status ==&gt; BCM_FD_10. CmdIgnSts == “RUN” AND
EC3 - System Voltage==&gt; (10V&lt; BCM_FD_3. Battery_Volt_1&lt;16) AND
EC 5 - Bus Physical Status AND
EC 7 - De-bounce Timer ( 5 seconds debouncing after above conditions are met) AND
ECU is not in Plant-Mode AND
Not on Roller-Bench  ( BRAKE_FD_5.RollsModeAct != (0x1, Active) ) AND 
NotDisabledBySer28 AND
DTC setting has not been disabled </t>
  </si>
  <si>
    <t xml:space="preserve"> IF (Relevent feature is enabled &amp;&amp; EPS PROXI Node is present)
Message timeout from EPS
EPS_FD_1 (Missing Message) (Maturation time - 100ms) (CANFD14)</t>
  </si>
  <si>
    <t>ADCAM recives all messages from the EPS</t>
  </si>
  <si>
    <t>$C14000</t>
  </si>
  <si>
    <t>U0140-00</t>
  </si>
  <si>
    <t>Lost Communication With Body Control Module</t>
  </si>
  <si>
    <t>Lost Communication with  Body Control Module</t>
  </si>
  <si>
    <t xml:space="preserve">IF (Relevent feature is enabled &amp;&amp; BCM PROXI Node is present)
Message timeout from BCM
BCM_FD_2 (Missing Message) (Cyclic time - 10ms) (Maturation time - 100ms) (CANFD3)
BCM_FD_3 (Missing Message) (Cyclic time - 50ms) (Maturation time - 250ms) (CANFD3)
BCM_FD_9 (Missing Message) (Cyclic time - 250ms) (Maturation time - 1250ms) (CANFD3)
BCM_FD_10 (Missing Message) (Cyclic time - 500ms) (Maturation time - 2500ms) (CANFD3)
BCM_FD_12 (Missing Message) (Cyclic time - 100ms) (Maturation time - 500ms) (CANFD3)
BCM_FD_26 (Missing Message) (Cyclic time - 1000ms) (Maturation time - 3000ms) (CANFD3)
BCM_FD_27 (Missing Message) (Cyclic time - 1000ms) (Maturation time - 3000ms) (CANFD3)
BCM_FD_22 (Missing Message) (Cyclic time - 100ms) (Maturation time - 500ms) (CANFD3)
SWSM_Node is present &amp;&amp; SWSM_1 (Cycle Rate = 100ms) (Maturation time 3500ms)
Missing_Msg_SCCM_FD_3
(Ka_CAN_node_95_ITBM == "Present"  OR Ka_CAN_node_63_TTM == Present)  &amp;&amp; BCM_FD_29 (Missing Message) (Maturation time - 3000 ms)(CANFD 3) (Not Applicable for WL)
</t>
  </si>
  <si>
    <t>100-5000</t>
  </si>
  <si>
    <t>ADCAM recives all messages from the BCM</t>
  </si>
  <si>
    <t>$C15500</t>
  </si>
  <si>
    <t>Lost Communication With Cluster</t>
  </si>
  <si>
    <t>Lost Communication with Instrument Panel Cluster</t>
  </si>
  <si>
    <t xml:space="preserve">IF (Relevent feature is enabled &amp;&amp; Cluster PROXI Node is present)
IPC_VEHICLE_SETUP (Missing Message) (Cyclic time - 1000ms) (Maturation time - 5000ms) (CANFD3)
IPC_FD_1 (Missing Message) (Cyclic time - 1000ms) (Maturation time - 5000ms) (CANFD3)
</t>
  </si>
  <si>
    <t>ADCAM recives all messages from the IPC</t>
  </si>
  <si>
    <t>$C15100</t>
  </si>
  <si>
    <t>Lost Communication with Occupant Restraint Controller (ORC)</t>
  </si>
  <si>
    <t>Lost Communication with Occupant Restraint Controller</t>
  </si>
  <si>
    <t>If (Relevant feature is enabled &amp;&amp; ORC PROXI Node is present)
ORC_FD_1 (Missing Message) (Cyclic time - 100ms) (Maturation time - 500ms) (CANFD14)
ORC_FD_3 (Missing Message) (Cyclic time - 10ms) (Maturation time - 70ms) (CANFD14)</t>
  </si>
  <si>
    <t>70-500</t>
  </si>
  <si>
    <t>ADCAM recives all messages from the ORC</t>
  </si>
  <si>
    <t>$C14900</t>
  </si>
  <si>
    <t>U0149-00</t>
  </si>
  <si>
    <t>Lost Communication with Security Gateway</t>
  </si>
  <si>
    <t>Lost Communication with Security Gate Way</t>
  </si>
  <si>
    <t>If (Relevant feature is enabled &amp;&amp; SGW PROXI Node is present)
Message timeout from SGW
TELEMATIC_FD_11 (Missing Message) (Cyclic time - 100ms) (Maturation time -6000ms) (CANFD3)
TELEMATIC_FD_9 (Missing Message) (Cyclic time - 1000ms) (Maturation time -3000ms) (CANFD3)</t>
  </si>
  <si>
    <t>ADCAM recives all messages from the SGW</t>
  </si>
  <si>
    <t>$C10000</t>
  </si>
  <si>
    <t>Lost Communication with ECM/PCM</t>
  </si>
  <si>
    <t>Lost Communication with Engine Control Module</t>
  </si>
  <si>
    <t>EC 1- Ignition Status ==&gt; BCM_FD_10. CmdIgnSts == “RUN” AND
EC3 - System Voltage==&gt; (10V&lt; BCM_FD_3. Battery_Volt_1&lt;16) AND
EC 5 - Bus Physical Status AND
EC 7 - De-bounce Timer ( 5 seconds debouncing after above conditions are met) AND
ECU is not in Plant-Mode AND
Not on Roller-Bench  ( BRAKE_FD_5.RollsModeAct != (0x1, Active) ) AND 
NotDisabledBySer28 AND
DTC setting has not been disabled AND
(ENGINE_FD_2.ESS_ENG_ST_W != "ENS_STOPPED" or "ENS_RQ_ST" or "ENS_STARTING" or “ENS_STOP_PENDING")</t>
  </si>
  <si>
    <t>If (Relevant feature is enabled &amp;&amp; ECM  PROXI Node is present)
Message timeout from ECM
ENGINE_FD_1 (Missing Message) (Cyclic time - 100ms) (Maturation time - 500ms) (CANFD14)
ENGINE_FD_2 (Missing Message) (Cyclic time - 10ms) (Maturation time - 500ms) (CANFD14)
ENGINE_FD_5 (Missing Message) (Cyclic time - 20ms) (Maturation time - 500ms) (CANFD14)
Engine_Type != 0x04 AND
PT_TORQUE_FD_1 (Missing Message) (Cyclic time - 10ms) (Maturation time - 500ms) (CANFD14)
(Add engine type just under the IF condition)
AXLE_TORQUE_FD_1 (Missing Message) (Maturation time - 70ms) (CANFD14)</t>
  </si>
  <si>
    <t>ADCAM recives all messages from the ECM</t>
  </si>
  <si>
    <t>$C10100</t>
  </si>
  <si>
    <t>Lost Communication with TCM</t>
  </si>
  <si>
    <t>Lost Communication with Transmission Control Module</t>
  </si>
  <si>
    <t>EC 1- Ignition Status ==&gt; BCM_FD_10. CmdIgnSts == “RUN” AND
EC3 - System Voltage==&gt; (10V&lt; BCM_FD_3. Battery_Volt_1&lt;16) AND
EC 5 - Bus Physical Status AND
EC 7 - De-bounce Timer ( 5 seconds debouncing after above conditions are met) AND
ECU is not in Plant-Mode AND
Not on Roller-Bench  ( BRAKE_FD_5.RollsModeAct != (0x1, Active) ) AND 
NotDisabledBySer28 AND
DTC setting has not been disabled  AND
(ENGINE_FD_2.ESS_ENG_ST_W != "ENS_STOPPED" or "ENS_RQ_ST" or "ENS_STARTING" or “ENS_STOP_PENDING")</t>
  </si>
  <si>
    <t xml:space="preserve"> IF (Relevent feature is enabled &amp;&amp; TCM PROXI Node is present)
TRANSM_FD_1 (Missing Message) (Cyclic time - 10ms) (Maturation time - 70ms) (CANFD3)
TRANSM_FD_2 (Missing Message) (Cyclic time - 20ms) (Maturation time - 100ms) (CANFD3)
TRANSM_FD_4 (Missing Message) (Cyclic time - 1000ms) (Maturation time - 3000ms) (CANFD3)
</t>
  </si>
  <si>
    <t>70 - 3000</t>
  </si>
  <si>
    <t>ADCAM recives all messages from the TCM</t>
  </si>
  <si>
    <t>$C11D00</t>
  </si>
  <si>
    <t>U011D-00</t>
  </si>
  <si>
    <t>Lost Communication With All Wheel Drive Control Module</t>
  </si>
  <si>
    <t>Lost Communication with Drive Train Control Module</t>
  </si>
  <si>
    <t>If (Relevant feature is enabled &amp;&amp; DTCM PROXI Node is present)
Message timeout from DTCM
DRIVETRAIN_FD_3 (Missing Message) (Cyclic time - 100ms) (Maturation time - 500ms) (CANFD3)</t>
  </si>
  <si>
    <t>ADCAM recives all messages from the DTCM</t>
  </si>
  <si>
    <t>$C5B700</t>
  </si>
  <si>
    <t>U05B7-00</t>
  </si>
  <si>
    <t>Invalid Data Received From Rear Radar Module "A"</t>
  </si>
  <si>
    <t xml:space="preserve">ADCAM detects Implausible Data Received From Left Rear Radar </t>
  </si>
  <si>
    <t>When Implausible data received from MRRL is detected by ADCAM</t>
  </si>
  <si>
    <t>Check faults in ADCAM set against MRRL
Do not replace radar sensor
Ensure that the connection cable is connected properly to botch ADCAM and Radar. 
Change the cable if the issue is still present</t>
  </si>
  <si>
    <t xml:space="preserve">EC 1- Ignition Status ==&gt; BCM_FD_10. CmdIgnSts == “RUN” AND
EC3 - System Voltage==&gt; (10V&lt; BCM_FD_3. Battery_Volt_1&lt;16) AND
EC 5 - Bus Physical Status AND
EC 7 - De-bounce Timer ( 5 seconds debouncing after above conditions are met) AND
Not on Roller-Bench  ( BRAKE_FD_5.RollsModeAct != (0x1, Active) ) AND 
DTC setting has not been disabled 
AND
Lost_Communication_With_MRRRL ==False AND
MRRRL_HSD_Enabled == True AND
DTC setting has not been disabled
AND
ECU is not in Plant-Mode
</t>
  </si>
  <si>
    <t xml:space="preserve">ADCAM detects messages/signals from MRRL with:
[1]Alive counter error
[2]Checksum error
[3]Implausible signals
</t>
  </si>
  <si>
    <t xml:space="preserve">[1] Messages from RADAR received with correct MC values
[2] Messages from RADAR received with correct checksum values
[3] Messages and signals from RADAR received correctly. </t>
  </si>
  <si>
    <t>$C5B800</t>
  </si>
  <si>
    <t>U05B8-00</t>
  </si>
  <si>
    <t>Invalid Data Received From Rear Radar Module "B"</t>
  </si>
  <si>
    <t xml:space="preserve">EC 1- Ignition Status ==&gt; BCM_FD_10. CmdIgnSts == “RUN” AND
EC3 - System Voltage==&gt; (10V&lt; BCM_FD_3. Battery_Volt_1&lt;16) AND
EC 5 - Bus Physical Status AND
EC 7 - De-bounce Timer ( 5 seconds debouncing after above conditions are met) AND
Not on Roller-Bench  ( BRAKE_FD_5.RollsModeAct != (0x1, Active) ) AND 
DTC setting has not been disabled 
AND
Lost_Communication_With_MRRRR ==False AND
MRRRR_HSD_Enabled == True AND
DTC setting has not been disabled
AND
ECU is not in Plant-Mode
</t>
  </si>
  <si>
    <t>$C5B500</t>
  </si>
  <si>
    <t>Invalid Data Received From Front Radar Module "A"</t>
  </si>
  <si>
    <t>EC 1- Ignition Status ==&gt; BCM_FD_10. CmdIgnSts == “RUN” AND
EC3 - System Voltage==&gt; (10V&lt; BCM_FD_3. Battery_Volt_1&lt;16) AND
EC 5 - Bus Physical Status AND
EC 7 - De-bounce Timer ( 5 seconds debouncing after above conditions are met) AND
Not on Roller-Bench  ( BRAKE_FD_5.RollsModeAct != (0x1, Active) ) AND 
DTC setting has not been disabled AND
Lost_Communication_With_MRRFL ==False AND
MRRFL_HSD_Enabled == True AND
DTC setting has not been disabled
AND
ECU is not in Plant-Mode</t>
  </si>
  <si>
    <t>$C5B600</t>
  </si>
  <si>
    <t>U05B6-00</t>
  </si>
  <si>
    <t xml:space="preserve">Invalid Data Received From Front Radar Module "B" </t>
  </si>
  <si>
    <t>Implausible Data Received From Front Radar</t>
  </si>
  <si>
    <t>Implausible data received from LRRF</t>
  </si>
  <si>
    <t>Check faults in ADCAM set against LRRF
Do not replace radar sensor</t>
  </si>
  <si>
    <t xml:space="preserve">EC 1- Ignition Status ==&gt; BCM_FD_10. CmdIgnSts == “RUN” AND
EC3 - System Voltage==&gt; (10V&lt; BCM_FD_3. Battery_Volt_1&lt;16) AND
EC 5 - Bus Physical Status AND
EC 7 - De-bounce Timer ( 5 seconds debouncing after above conditions are met) AND
Not on Roller-Bench  ( BRAKE_FD_5.RollsModeAct != (0x1, Active) ) AND 
DTC setting has not been disabled AND
Lost_Communication_With_LRRF ==False AND
LRRF_HSD_Enabled == True AND
DTC setting has not been disabled
AND
ECU is not in Plant-Mode
</t>
  </si>
  <si>
    <t>In messages/signals from LRRF:
[1]Alive counter error
[2]Checksum error
[3]Implausible signals
LRRF_Active_Fault_Status_CRC
LRRF_Active_Fault_Status_MC
LRRF_CRC_ADCAMSgnlActlVal_Flt
LRRF_CRC_RadarCfgParameter_Flt
LRRF_CRC_VehicleState_Flt
LRRF_MC_ADCAMSgnlActlVal_Flt
LRRF_MC_TrigControl_Flt
LRRF_MC_VehicleState_Flt
LRRF_AA_Header_AlignmentState_CRC
LRRF_AB_Header_AlignmentState_MC
LRRF_AA_Header_SensorCoverage_CRC
LRRF_AB_Header_SensorCoverage_MC
LRRF_AA_Header_Timestamps_CRC
LRRF_AB_Header_Timestamps_MC
LRRF_AA_Status_Radar_CRC
LRRF_AB_Status_Radar_MC</t>
  </si>
  <si>
    <t xml:space="preserve">[1] Messages from ECU received with correct MC values
[2] Messages from ECU received with correct checksum values
[3] Messages and signals from ECU received correctly. </t>
  </si>
  <si>
    <t>$C4C100</t>
  </si>
  <si>
    <t>U04C1-00</t>
  </si>
  <si>
    <t>Invalid Data Received From Front Radar Module "C"</t>
  </si>
  <si>
    <t>EC 1- Ignition Status ==&gt; BCM_FD_10. CmdIgnSts == “RUN” AND
EC3 - System Voltage==&gt; (10V&lt; BCM_FD_3. Battery_Volt_1&lt;16) AND
EC 5 - Bus Physical Status AND
EC 7 - De-bounce Timer ( 5 seconds debouncing after above conditions are met) AND
Not on Roller-Bench  ( BRAKE_FD_5.RollsModeAct != (0x1, Active) ) AND 
DTC setting has not been disabled AND
Lost_Communication_With_MRRFR ==False AND
MRRFR_HSD_Enabled == True AND
DTC setting has not been disabled
AND
ECU is not in Plant-Mode</t>
  </si>
  <si>
    <t>$C41800</t>
  </si>
  <si>
    <t>Implausible Data Received From Brake System Control Module (BSM)</t>
  </si>
  <si>
    <t>Implausible data received from BSM</t>
  </si>
  <si>
    <t>Check other ECU's for DTC's
Do not replace ADCAM ECU</t>
  </si>
  <si>
    <t xml:space="preserve">EC 1- Ignition Status ==&gt; BCM_FD_10. CmdIgnSts == “RUN” AND
EC3 - System Voltage==&gt; (10V&lt; BCM_FD_3. Battery_Volt_1&lt;16) AND
EC 5 - Bus Physical Status AND
EC 7 - De-bounce Timer ( 5 seconds debouncing after above conditions are met) AND
ECU is not in Plant-Mode AND
Not on Roller-Bench  ( BRAKE_FD_5.RollsModeAct != (0x1, Active) ) AND 
NotDisabledBySer28 AND
BRAKE_FD_5 BSMSysSts != "Diagnostic Mode" AND
DTC setting has not been disabled </t>
  </si>
  <si>
    <t xml:space="preserve">If (Relevant feature is enabled &amp;&amp; BSM PROXI Node is present)
BRAKE_FD_1.BrkTrq == 0x7FFF (Plauisbility) (Cyclic time - 20ms) (Maturation time - 100ms) (CANFD14)
BRAKE_FD_1.BrkTrq_Driver == 0x7FFF (Plauisbility) (Cyclic time - 20ms) (Maturation time - 100ms) (CANFD14)
BRAKE_FD_1.ExternalBrkRequestsDisabled == 0x3 (Plauisbility) (Cyclic time - 20ms) (Maturation time - 100ms) (CANFD14)
BRAKE_FD_1.VehicleStandStillSts == 0x3 (Plauisbility) (Cyclic time - 20ms) (Maturation time - 100ms) (CANFD14)
BRAKE_FD_1.RRCC_Cancel_Req_SNA (Plauisbility) (Cyclic time - 20ms) (Maturation time - 100ms) (CANFD14)
BRAKE_FD_2.LatAcceleration_BSM == 0xFFF (Plauisbility) (Cyclic time - 10ms) (Maturation time - 70ms) (CANFD14)
BRAKE_FD_2.LongAcceleration_BSM == 0xFFF (Plauisbility) (Cyclic time - 10ms) (Maturation time -70ms) (CANFD14)
BRAKE_FD_2.VehicleSpeedVSOSig == 0x1FFF  (Plauisbility) (Cyclic time - 10ms) (Maturation time - 70ms) (CANFD14)
BRAKE_FD_2.YawRate_BSM == 0xFFF (Plauisbility) (Cyclic time - 10ms) (Maturation time - 70ms) (CANFD14)
BRAKE_FD_3.LHF_FastPulseCounter == 0xFF (Plauisbility) (Cyclic time - 10ms) (Maturation time - 70ms) (CANFD14)
BRAKE_FD_3.LHF_Spin == 0x3 (Plauisbility) (Cyclic time - 10ms) (Maturation time - 70ms) (CANFD14)
BRAKE_FD_3.LHFWheelSpeed == 0x1FFF (Plauisbility) (Cyclic time - 10ms) (Maturation time - 70ms) (CANFD14)
BRAKE_FD_3.LHR_FastPulseCounter == 0xFF (Plauisbility) (Cyclic time - 10ms) (Maturation time - 70ms) (CANFD14)
BRAKE_FD_3.LHR_Spin == 0x3 (Plauisbility) (Cyclic time - 10ms) (Maturation time - 70ms) (CANFD14)
BRAKE_FD_3.LHRWheelSpeed == 0x1FFF (Plauisbility) (Cyclic time - 10ms) (Maturation time - 70ms) (CANFD14)
BRAKE_FD_3.RHF_FastPulseCounter == 0xFF (Plauisbility) (Cyclic time - 10ms) (Maturation time - 70ms) (CANFD14)
BRAKE_FD_3.RHF_Spin == 0x3 (Plauisbility) (Cyclic time - 10ms) (Maturation time - 70ms) (CANFD14)
BRAKE_FD_3.RHFWheelSpeed == 0x1FFF (Plauisbility) (Cyclic time - 10ms) (Maturation time - 70ms) (CANFD14)
BRAKE_FD_3.RHR_FastPulseCounter == 0xFF (Plauisbility) (Cyclic time - 10ms) (Maturation time - 70ms) (CANFD14)
BRAKE_FD_3.RHR_Spin == 0x3 (Plauisbility) (Cyclic time - 10ms) (Maturation time - 70ms) (CANFD14)
BRAKE_FD_3.RHRWheelSpeed == 0x1FFF (Plauisbility) (Cyclic time - 10ms) (Maturation time - 70ms) (CANFD14)
BRAKE_FD_3.LHF_WheelSensorFailSts == 0x1 Fail_Present   ( Plausibility ) ((Maturation TIme - 70ms) 
BRAKE_FD_3.LHR_WheelSensorFailSts == 0x1 Fail_Present   ( Plausibility ) ((Maturation TIme - 70ms) 
BRAKE_FD_3.RHF_WheelSensorFailSts == 0x1 Fail_Present   ( Plausibility ) ((Maturation TIme - 70ms) 
BRAKE_FD_3.RHR_WheelSensorFailSts == 0x1 Fail_Present   ( Plausibility ) ((Maturation TIme - 70ms) 
BRAKE_FD_4.EPBSts == 0xF (Plauisbility) (Cyclic time - 100ms) (Maturation time - 500ms) (CANFD14)
BRAKE_FD_5.BSMSysSts == 0x3 (Plauisbility) (Cyclic time - 500ms) (Maturation time - 1500ms) (CANFD14)
BRAKE_FD_5.ESCFailSts == 0x1 (Fail_Present) (Plausibility) (Cyclic - Time 500ms) (Maturation Time -1500ms) (CANFD14)
BRAKE_FD_7.BrkPdl_Flt == 0x1 FAULTED (Plausibility)  (Cyclic - Time 20ms) (Maturation Time - 100ms) (CANFD14)
BRAKE_FD_7.AEB_Type_Brk == 0xF (Plauisbility) (Cyclic time - 20ms) (Maturation time - 100ms) (CANFD14)
BRAKE_FD_7.BrkPdl_Stat == 0x3 (Plauisbility) (Cyclic time - 20ms) (Maturation time - 100ms) (CANFD14)
BRAKE_FD_1.CRC_BRAKE1 (CRC Error) (Cyclic time - 20ms) (Maturation time - 100ms) (CANFD14)
BRAKE_FD_2.CRC_BRAKE2 (CRC Error) (Cyclic time - 10ms) (Maturation time - 70ms) (CANFD14)
BRAKE_FD_3.CRC__BRAKE3 (CRC Error) (Cyclic time - 10ms) (Maturation time - 70ms) (CANFD14)
BRAKE_FD_4.CRC_BRAKE4 (CRC Error) (Cyclic time - 100ms) (Maturation time - 500ms) (CANFD14)
BRAKE_FD_5.CRC_BRAKE5 (CRC Error) (Cyclic time - 500ms) (Maturation time - 1500ms) (CANFD14)
BRAKE_FD_7.CRC_BRAKE7 (CRC Error) (Cyclic time - 20ms) (Maturation time - 100ms) (CANFD14)
BRAKE_FD_1.MessageCounter_BRAKE1 (MC Error) (Cyclic time - 20ms) (Maturation time - 100ms) (CANFD14)
BRAKE_FD_2.MessageCounter_BRAKE2 (MC Error) (Cyclic time - 10ms) (Maturation time - 70ms) (CANFD14)
BRAKE_FD_3.MessageCounter_BRAKE3 (MC Error) (Cyclic time - 10ms) (Maturation time - 70ms) (CANFD14)
BRAKE_FD_4.MessageCounter_BRAKE4 (MC Error) (Cyclic time - 100ms) (Maturation time - 500ms) (CANFD14)
BRAKE_FD_5.MessageCounter_BRAKE5 (MC Error) (Cyclic time - 500ms) (Maturation time - 1500ms) (CANFD14)
BRAKE_FD_7.MessageCounter_BRAKE7 (MC Error) (Cyclic time - 20ms) (Maturation time - 100ms) (CANFD14)
BRAKE_FD_2.LatAccelerationFailSts_BSM == 0x1 (Fault) (Cyclic time - 10ms) (Maturation time - 70ms) (CANFD14)
BRAKE_FD_2.LongAccelerationFailSts_BSM == 0x1 (Fault) (Cyclic time - 10ms) (Maturation time - 70ms) (CANFD14)
BRAKE_FD_2.YawRateFailSts_BSM == 0x1 (Fault)  (Cyclic time - 10ms) (Maturation time - 70ms) (CANFD14)
BRAKE_FD_2.Brk_Stat_SNA (Plausibility)  (Cyclic time - 10ms) (Maturation time - 70ms) (CANFD14)
</t>
  </si>
  <si>
    <t>50 - 500</t>
  </si>
  <si>
    <t>[1] Messages from ECU received with correct MC values
[2] Messages from ECU received with correct checksum values
[3] Messages and signals from ECU received correctly.</t>
  </si>
  <si>
    <t>$C42000</t>
  </si>
  <si>
    <t>Implausible Data Received From Power Steering Control Module (EPS)</t>
  </si>
  <si>
    <t>Implausible data received from EPS</t>
  </si>
  <si>
    <t xml:space="preserve">If (Relevant feature is enabled &amp;&amp; EPS PROXI Node is present)
EPS_FD_1.LwsAngle == 0xFFFF (Plauisbility) (Cyclic time - 10ms) (Maturation time - 70ms) (CANFD14)
EPS_FD_1.EPSMotorTorque == 0x7FF (Plauisbility) (Cyclic time - 10ms) (Maturation time - 70ms) (CANFD14)
EPS_FD_1.LwsSpeed == 0xFFF (Plauisbility) (Cyclic time - 10ms) (Maturation time - 70ms) (CANFD14)
EPS_FD_1.Steering_Column_Torque == 0x7FF (Plauisbility) (Cyclic time - 10ms) (Maturation time - 70ms) (CANFD14)
EPS_FD_1.LwsCalibration = "Not Calibrated" (Fault) (Cyclic time - 10ms) (Maturation time - 70ms) (CANFD14)
EPS_FD_1.CRC_EPS1 (CRC Error) (Cyclic time - 10ms) (Maturation time - 70ms) (CANFD14)
EPS_FD_1.MessageCounter_EPS1 (MC Error) (Cyclic time - 10ms) (Maturation time - 70ms) (CANFD14)
EPS_FD_1.SteeringVibration_Fault == TRUE
If (EPS_FD_1.HAS_LAT_CTRL_ResponseSts != "Permanent_Not_Avail" &amp;&amp; EPS_FD_1.HAS_LAT_CTRL_ResponseSts != "Temporarily_Not_Avail") { If ( EPS_FD_1.HAS_LAT_CTRL_ResponseSts != "HAS_Open" &amp;&amp; ADAS_FD_INFO.HAS_LAT_CTRL_RequestSts = "HAS_Request" within c_T_TOI_TRANSITION) (Cyclic time - 10ms) (Maturation time - 50ms) (CANFD14) 
}
If (EPS_FD_1.LKA_LAT_CTRL_ResponseSts != "Permanent_Not_Avail" &amp;&amp; EPS_FD_1.LKA_LAT_CTRL_ResponseSts != "Temporarily_Not_Avail") { If (EPS_FD_1.LKA_LAT_CTRL_ResponseSts != "LKA_Open" &amp;&amp; ADAS_FD_INFO.LKA_LAT_CTRL_RequestSts = "LKA_Request" within c_T_TOI_TRANSITION)
{
</t>
  </si>
  <si>
    <t>$C42200</t>
  </si>
  <si>
    <t>U0422-00</t>
  </si>
  <si>
    <t>Implausible Data Received From Body Control Module (BCM)</t>
  </si>
  <si>
    <t>Implausible data received from BCM</t>
  </si>
  <si>
    <t xml:space="preserve">If (Relevant feature is enabled &amp;&amp; BCM PROXI Node is present)
BCM_FD_10.CmdIgnSts == 0x7 (Plauisbility) (Cyclic time - 500ms) (Maturation time - 2500ms) (CANFD3)
BCM_FD_10.TurnIndicationSts == 0x3 (Plauisbility) (Cyclic time - 500ms) (Maturation time - 2500ms) (CANFD3)
BCM_FD_26.HLSPosition == 0x7 (Plauisbility) (Cyclic time - 1000ms) (Maturation time - 3000ms) (CANFD3)
Ka_CAN_node_63 == "Present" &amp;&amp; BCM_FD_27.TrailerConnectionSts == 0x3 (Plauisbility) (Cyclic time - 1000ms) (Maturation time - 3000ms) (CANFD3)
BCM_FD_3.Battery_Volt_1 == 0x1FF (Plauisbility) (Cyclic time - 50ms) (Maturation time - 250ms) (CANFD3)
BCM_FD_3.FrontWiperFailSts == 0x1 (Plauisbility) (Cyclic time - 50ms) (Maturation time - 250ms) (CANFD3)
SWSM_Node is present &amp;&amp; SWSM_1.ERR_ST_HOD == 0xF (Plauisbility) (Cyclic time - 100ms) (Maturation time - 500ms) (CANFD3)
SWSM_Node is present &amp;&amp; ERR_ST_HOD != 0 (Plauisbility) (Cyclic time - 100ms) (Maturation time - 500ms) (CANFD3)
SWSM_Node is present &amp;&amp; SWSM_1.HOFF_RCOG_SEN == 0xF (Plauisbility) (Cyclic time - 100ms) (Maturation time - 500ms) (CANFD3)
BCM_FD_13.CruiseControlFailSts == 0x1 (Fail_Present)  (Cyclic - Time 50ms) (Maturation Time - 250ms) (CANFD3)
BCM_FD_10.CRC_BCM10 (CRC Error) (Cyclic time - 500ms) (Maturation time - 2500ms) (CANFD3)
BCM_FD_13.CRC_BCM13 (CRC Error) (Cyclic time - 50ms) (Maturation time - 250ms) (CANFD3)
BCM_FD_2.CRC_BCM2 (CRC Error) (Cyclic time - 10ms) (Maturation time - 70ms) (CANFD3)
BCM_FD_26.CRC_BCM26 (CRC Error) (Cyclic time - 1000ms) (Maturation time - 3000ms) (CANFD3)
BCM_FD_27.CRC_BCM27 (CRC Error) (Cyclic time - 1000ms) (Maturation time - 3000ms) (CANFD3)
BCM_FD_3.CRC_BCM3 (CRC Error) (Cyclic time - 50ms) (Maturation time - 250ms) (CANFD3)
BCM_FD_9.CRC_BCM9 (CRC Error) (Cyclic time - 250ms) (Maturation time - 1250ms) (CANFD3)
BCM_FD_22.CRC_BCM22 (CRC Error) (Cyclic time - 100ms) (Maturation time - 500ms) (CANFD3)
BCM_FD_14.CRC_BCM14 (CRC Error) (Cyclic time - 100ms) (Maturation time - 500ms) (CANFD3)
SWSM_Node is present &amp;&amp; SWSM_1.CRC_SWSM_1 (CRC Error) (Cyclic time - 100ms) (Maturation time - 500ms) (CANFD3)
SWSM_Node is present &amp;&amp; SWSM_1.MessageCounter_SWSM_1 (MC Error) (Maturation Time - 500ms)
BCM_FD_10.MessageCounter_BCM10 (MC Error) (Cyclic time - 500ms) (Maturation time - 2500ms) (CANFD3)
BCM_FD_13.MessageCounter_BCM13 (MC Error) (Cyclic time - 50ms) (Maturation time - 250ms) (CANFD3)
BCM_FD_2.MessageCounter_BCM2 (MC Error) (Cyclic time - 10ms) (Maturation time - 70ms) (CANFD3)
BCM_FD_26.MessageCounter_BCM26 (MC Error) (Cyclic time - 1000ms) (Maturation time - 3000ms) (CANFD3)
BCM_FD_27.MessageCounter_BCM27 (MC Error) (Cyclic time - 1000ms) (Maturation time - 3000ms) (CANFD3)
BCM_FD_3.MessageCounter_BCM3 (MC Error) (Cyclic time - 50ms) (Maturation time - 250ms) (CANFD3)
BCM_FD_9.MessageCounter_BCM9 (MC Error) (Cyclic time - 250ms) (Maturation time - 1250ms) (CANFD3)
BCM_FD_22.MessageCounter_BCM22 (MC Error) (Cyclic time - 100ms) (Maturation time - 500ms) (CANFD3)
BCM_FD_14.MessageCounter_BCM14 (MC Error) (Cyclic time - 100ms) (Maturation time - 500ms) (CANFD3)
(Ka_CAN_node_95_ITBM == "Present"  OR Ka_CAN_node_63_TTM == Present)  &amp;&amp; BCM_FD_29.CRC_BCM29 (CANFD3) Not Applicable for WL (Plausibility) (Maturation Time -3000ms)
(Ka_CAN_node_95_ITBM == "Present"  OR Ka_CAN_node_63_TTM == Present)  &amp;&amp; BCM_FD_29.MessageCounter_BCM29 (CANFD3) Not Applicable for WL (Plausibility) (Maturation Time -3000ms)
BCM_FD_22.HiBmLvr_Stat_SNA (Plausibilit) (Cyclic time - 100ms) (Maturation time - 500ms) (CANFD3)
BCM_FD_9.HDCFnRqstSts_SNA (Plausibility) (Cyclic time - 250ms) (Maturation time - 1250ms) (CANFD3)
BCM_FD_9.ExternalTemperature_SNA (Plausibility) (Cyclic time - 250ms) (Maturation time - 1250ms) (CANFD3)
BCM_FD_14.Command_15Sts_SNA (Plausibility) (Cyclic time - 250ms) (Maturation time - 1250ms) (CANFD3)
</t>
  </si>
  <si>
    <t>$C42300</t>
  </si>
  <si>
    <t>Implausible Data Received From Cluster</t>
  </si>
  <si>
    <t>Implausible data received from Instrument Panel Cluster</t>
  </si>
  <si>
    <t>If (Relevant feature is enabled &amp;&amp; Cluster PROXI Node is present)
IPC_FD_1.CRC_IPC1 (CRC Error) (Cyclic time - 1000ms) (Maturation time - 3000ms) (CANFD3)
IPC_VEHICLE_SETUP.CRC_IPC_VEHICLE_SETUP (CRC Error) (Cyclic time - 1000 ms) (Maturation time - 3000 ms) (CANFD3)
Note: The signal MessageCounter should be considered not plausible when the value difference between two subsequent message receptions is greater than 2 or equal to zero, for five consecutive frames (i.e the system can tolerate 5 frames with message counter errors )
IPC_VEHICLE_SETUP.MessagaeCounter_IPC_VEHICLE_SETUP (MC Error) (Cyclic time - 1000 ms) (Maturation time - 5000 ms) (CANFD3)
IPC_FD_1.MessageCounter_IPC1 (MC Error) (Cyclic time - 1000ms) (Maturation time - 5000ms) (CANFD3)</t>
  </si>
  <si>
    <t>[1] Messages from ECU received with correct MC values 
[2] Messages from ECU received with correct checksum values
[3] Messages and signals from ECU received correctly.</t>
  </si>
  <si>
    <t>CheckAtNextHalt</t>
  </si>
  <si>
    <t>$C45200</t>
  </si>
  <si>
    <t>U0452-00</t>
  </si>
  <si>
    <t>Implausible Data Received From Occupant Restraint Controller (ORC)</t>
  </si>
  <si>
    <t>Implausible data received from ORC</t>
  </si>
  <si>
    <t xml:space="preserve">
If (Relevant feature is enabled &amp;&amp; ORC PROXI Node is present)
ORC_FD_1.SBR1RowDriverSeatSts == 0x3 (Plauisbility) (Cyclic time - 100ms) (Maturation time - 500ms) (CANFD14)
ORC_FD_3.LatAcceleration == 0xFFF (Plauisbility) (Cyclic time - 10ms) (Maturation time - 70ms) (CANFD14)
ORC_FD_3.LongAcceleration == 0xFFF (Plauisbility) (Cyclic time - 10ms) (Maturation time - 70ms) (CANFD14)
 ORC_FD_3.YawRate == 0xFFF (Plauisbility) (Cyclic time - 10ms) (Maturation time - 70ms) (CANFD14)
ORC_FD_1.CRC_ORC1 (CRC Error) (Cyclic time - 100ms) (Maturation time - 500ms) (CANFD14)
ORC_FD_3.CRC_ORC3 (CRC Error) (Cyclic time - 10ms) (Maturation time - 70ms) (CANFD14)
ORC_FD_1.MessageCounter_ORC1 (MC Error) (Cyclic time - 100ms) (Maturation time - 500ms) (CANFD14)
ORC_FD_3.MessageCounter_ORC3 (MC Error) (Cyclic time - 10ms) (Maturation time - 70ms) (CANFD14)
ORC_FD_3.YawRateFailSts_d (Plauisbility) (Cyclic time - 10ms) (Maturation time - 70ms) (CANFD14)
</t>
  </si>
  <si>
    <t>50-500</t>
  </si>
  <si>
    <t>$C44A00</t>
  </si>
  <si>
    <t>Implausible Data Received from Security Gateway</t>
  </si>
  <si>
    <t>Implausible data received from SGW</t>
  </si>
  <si>
    <t>If (Relevant feature is enabled &amp;&amp; SGW PROXI Node is present)
TELEMATIC_FD_11.CRC_Telematic11 (CRC Error) (Cyclic time - 100ms) (Maturation time - 6000ms) (CANFD3)
TELEMATIC_FD_11.MessageCounter_Telematic11 (MC Error) (Cyclic time - 100ms) (Maturation time - 6000ms) (CANFD3)
TELEMATIC_FD_9.GPS_Lat_SNA (Plausibility) (Cyclic time - 1000ms) (Maturation time - 3000ms) (CANFD3)
TELEMATIC_FD_9.GPS_Long_SNA (Plausibility) (Cyclic time - 1000ms) (Maturation time - 3000ms) (CANFD3)</t>
  </si>
  <si>
    <t>$C40200</t>
  </si>
  <si>
    <t>U0402-00</t>
  </si>
  <si>
    <t>Implausible Data Received From TCM</t>
  </si>
  <si>
    <t>Implausible data received from TCM</t>
  </si>
  <si>
    <r>
      <t xml:space="preserve">
If (Relevant feature is enabled &amp;&amp; TCM PROXI Node is present)
TRANSM_FD_4.GearEngaged == 0xF (Plauisbility) (Cyclic time - 1000ms) (Maturation time - 3000ms) (CANFD3)
TRANSM_FD_4.ShiftLeverPosition == 0xF (Plauisbility) (Cyclic time - 1000ms) (Maturation time - 3000ms) (CANFD3)
TransmissionSailingSts_SNA (Cyclic time - 10ms) (Maturation time - 70ms) (CANFD3) (not applicable for WS)
GearDisplayForCluster_SNA  (Cyclic time - 1000ms) (Maturation time - 3000ms) (CANFD3)
TRANSM_FD_1.CRC_TRANSM1 (CRC Error) (Cyclic time - 10ms) (Maturation time - 70ms) (CANFD3)
TRANSM_FD_2.CRC_TRANSM2 (CRC Error) (Cyclic time - 20ms) (Maturation time - 100ms) (CANFD3)
TRANSM_FD_4.CRC_TRANSM4 (CRC Error) (Cyclic time - 1000ms) (Maturation time - 3000ms) (CANFD3)</t>
    </r>
    <r>
      <rPr>
        <b/>
        <sz val="12"/>
        <color rgb="FF00B050"/>
        <rFont val="Tahoma"/>
        <family val="2"/>
      </rPr>
      <t xml:space="preserve">
</t>
    </r>
    <r>
      <rPr>
        <sz val="12"/>
        <rFont val="Tahoma"/>
        <family val="2"/>
      </rPr>
      <t xml:space="preserve">
Note: The signal MessageCounter should be considered not plausible when the value difference between two subsequent message receptions is greater than 2 or equal to zero, for five consecutive frames (i.e the system can tolerate 5 frames with message counter errors )
TRANSM_FD_1.MessageCounter_TRANSM1 (MC Error) (Cyclic time - 10ms) (Maturation time - 70ms) (CANFD3)
TRANSM_FD_2.MessageCounter_TRANSM2 (MC Error) (Cyclic time - 20ms) (Maturation time - 100ms) (CANFD3)
TRANSM_FD_4.MessageCounter_TRANSM4 (MC Error) (Cyclic time - 1000ms) (Maturation time - 5000ms) (CANFD3)
TRANSM_FD_2.GearEngagedForDisplay == 0x1F (Plauisbility) (Cyclic time - 20ms) (Maturation time - 100ms) (CANFD3)
</t>
    </r>
  </si>
  <si>
    <t>70-3000</t>
  </si>
  <si>
    <t>$C41E00</t>
  </si>
  <si>
    <t>U041E-00</t>
  </si>
  <si>
    <t>Invalid Data Received From All Wheel Drive Control Module</t>
  </si>
  <si>
    <t>Implausible Data Received From Drive Train Control Module</t>
  </si>
  <si>
    <t>Implausible data received from DTCM</t>
  </si>
  <si>
    <t>If (Relevant feature is enabled &amp;&amp; DTCM PROXI Node is present)
[1] Implausible data received from DTCM
DRIVETRAIN_FD_3.TCASERANGESTATUS == 0x3 (Plauisbility) (Cyclic time - 100ms) (Maturation time - 500ms) (CANFD3)
DRIVETRAIN_FD_3.CRC__DRIVETRAIN3 (CRC Error) (Cyclic time - 100ms) (Maturation time - 500ms) (CANFD3)
DRIVETRAIN_FD_3.MessageCounter_DRIVETRAIN3 (MC Error) (Cyclic time - 100ms) (Maturation time - 500ms) (CANFD3)</t>
  </si>
  <si>
    <t xml:space="preserve"> Messages and signals from ECU received correctly.</t>
  </si>
  <si>
    <t>$C40100</t>
  </si>
  <si>
    <t>Implausible Data Received From ECM/PCM</t>
  </si>
  <si>
    <t>Implausible data received from ECM/PCM</t>
  </si>
  <si>
    <t>If (Relevant feature is enabled &amp;&amp; ECM PROXI Node is present)
ENGINE_FD_2.EngineSpeed_W == 0x3FFF (Plauisbility) (Cyclic time - 10ms) (Maturation time - 500ms) (CANFD14)
Ka_Stop_AND_Start == present  &amp;&amp; ENGINE_FD_2.ESS_ENG_ST_W == 0xF (Plauisbility) (Cyclic time - 10ms) (Maturation time - 500ms) (CANFD14) &amp;&amp; Under Car_Configuration_1.Stop_and_Start == 0x01
ENGINE_FD_5.PdlPosActual == 0xFF (Plauisbility) (Cyclic time - 20ms) (Maturation time - 100ms) (CANFD14)
ENGINE_FD_6.TerrainModeStat_ECM == 0x1F (Plauisbility) (Cyclic time - 50ms) (Maturation time - 250ms) (CANFD3)
ENGINE_FD_2.GasPedalPositionFailSts_W == 0x1 Fail_Present (Cyclic - Time 10ms) (Maturation time - 500ms) (CANFD14)
Engine_Type != 0x04 AND
{
PT_TORQUE_FD_1.CRC_PT_TORQUE_FD_1 (CRC Error) (Cyclic time - 10ms) (Maturation time - 100ms) (CANFD14)
PT_TORQUE_FD_1.MessageCounter_PT_TORQUE_FD_1 (MC Error) (Cyclic time - 10ms) (Maturation time - 100ms) (CANFD14)
PT_TORQUE_FD_1.SumTorqueStatic == 0x7FF ( Plausibility) (Cyclic time - 10ms) (Maturation time - 100ms) (CANFD_14)
PT_TORQUE_FD_1.SumTorqueMax == 0x7FF ( Plausibility) (Cyclic time - 10ms) (Manturation time - 100ms) (CANFD_14)
PT_TORQUE_FD_1.SumTorqueMin == 0x7FF ( Plausibility) (Cyclic time - 10ms) (Maturation time - 100ms) (CANFD_14)
PT_TORQUE_FD_1.SumTorqueSel_D_TTC  ( Plausibility) (Cyclic time - 10ms) (Maturation time - 100ms) (CANFD14)
PT_TORQUE_FD_1.SumTorque_DrvReqMod  ( Plausibility) (Cyclic time - 10ms) (Maturation time - 100ms) (CANFD14) 
}
ENGINE_FD_1.CRC_ENGINE1 (CRC Error) (Cyclic time - 100ms) (Maturation time - 500ms) (CANFD14)
ENGINE_FD_2.CRC_ENGINE2 (CRC Error) (Cyclic time - 10ms) (Maturation time -100ms) (CANFD14)
ENGINE_FD_5.CRC_ENGINE5 (CRC Error) (Cyclic time - 20ms) (Maturation time - 100ms) (CANFD14)
ENGINE_FD_1.MessageCounter_ENGINE1 (MC Error) (Cyclic time - 100ms) (Maturation time - 500ms) (CANFD14)
ENGINE_FD_2.MessageCounter_ENGINE2 (MC Error) (Cyclic time - 10ms) (Maturation time - 70ms) (CANFD14)
ENGINE_FD_5.MessageCounter_ENGINE5 (MC Error) (Cyclic time - 20ms) (Maturation time - 100ms) (CANFD14)
CRC_AXLE_TORQUE_FD_1 (CANFD14) ( Plausibility ) (Maturation time - 70ms)
MC_AXLE_TORQUE_FD_1 (CANFD14) ( Plausibility ) (Maturation time - 70ms)
AXLE_TORQUE_FD_1.Axle_Torque_DrvReqMod_SNA (CANFD14) ( Plausibility ) (Maturation time - 70ms)
AXLE_TORQUE_FD_1.Axle_TorqueStatic_D_TTC_SNA (CANFD14) ( Plausibility ) (Maturation time - 70ms)
AXLE_TORQUE_FD_1.Total_AxleTorque_Max_SNA (CANFD14) ( Plausibility ) (Maturation time - 70ms)
AXLE_TORQUE_FD_1.Total_AxleTorque_Min_SNA (CANFD14) ( Plausibility ) (Maturation time - 70ms)
AXLE_TORQUE_FD_1.Total_AxleTorque_Static_SNA (Cycle time - 20) (CANFD14) (Maturation time 100ms)</t>
  </si>
  <si>
    <t>100-500</t>
  </si>
  <si>
    <t>$524000</t>
  </si>
  <si>
    <t>C1240-00</t>
  </si>
  <si>
    <t>Steering Angle Sensor Angle Overtravel Performance</t>
  </si>
  <si>
    <t>Steering angle offset is beyond threshold</t>
  </si>
  <si>
    <t>Check ECU delivering steering angle
Drive vehicle and sit at standstill for 10 s.
Do not exchange ADCAM ECU</t>
  </si>
  <si>
    <t>If (Relevant feature is enabled)
ADCAM has determined that the steering wheel angle offeset to be &gt; 12 (Maturation time - 100ms)</t>
  </si>
  <si>
    <t xml:space="preserve">ESP ECU does react to ADCAM deceleration request
</t>
  </si>
  <si>
    <t>$527A00</t>
  </si>
  <si>
    <t>C127A-00</t>
  </si>
  <si>
    <t>ESP Did Not Respond to Deceleration Request</t>
  </si>
  <si>
    <t>BSM controller not responding to ADCAM deceleration requests</t>
  </si>
  <si>
    <t>- Check BSM DTCs
- Check vehicle configuration
- Do not exchange ADCAM ECU</t>
  </si>
  <si>
    <t>IF (Relevent feature is enabled )
ADAS_FD_INFO.Intervention &lt; c_MAX_DECEL_DIFF AND ADAS_FD_INFO.AEB_Type != "NONE" AND BRAKE_FD_7.AEB_Type_Brk = "None" AND BRAKE_FD_1.ExternalBrkRequestsDisabled = "No_Request"
(For greater than c_T_MAX_Decel_Diff)
OR
(ADAS_FD_INFO.Brake_Jerk_Req == "Active") AND (BRAKE_FD_1.Brk_Jrk_Resp == "Not_Executed") for more than 750ms (tunable) (Maturation time - 750ms)
OR
(ADAS_FD_INFO.LC_Jerk = "REQUESTED") AND (BRAKE_FD_1.Brk_Jrk_Resp = "Not_Executed") for more than 750ms (tunable)
Reset the maturation time if  AEB_Type = "NONE"</t>
  </si>
  <si>
    <t xml:space="preserve">System fulfills XBW rules (DAS_Enbl_Rq == TRUE) 
</t>
  </si>
  <si>
    <t>$54A300</t>
  </si>
  <si>
    <t>C14A3-00</t>
  </si>
  <si>
    <t>XBW Rule Violation</t>
  </si>
  <si>
    <t>ESP has detected a X-by-Wire rule violation</t>
  </si>
  <si>
    <t>Check faults in other ECU's, especially ABS, PCM and TCM
Ignition cycle
Check functionality of brake system
Do not replace ADCAM ECU
Note:  This cannot be caused without faults elsewhere, other than deceleration/acceleration induced externally (e.g. driving into a sandpit or accident).</t>
  </si>
  <si>
    <t xml:space="preserve"> IF (Relevent feature is enabled )
ACCFSafe!=0 AND
BRAKE_FD_1.DASEngReqPos = "Not Allowed"
(Maturation time - immidiate)</t>
  </si>
  <si>
    <t>70-100</t>
  </si>
  <si>
    <t>PCM ready for ACC Operation 
ENGINE_FD_2.ECM_LHOM_W  == FLASE  (Cycle time - 20) Engine not in limp home mode 
AND
ENGINE_FD_5.EngTrqEnblRq_DAS_W = True</t>
  </si>
  <si>
    <t>$622700</t>
  </si>
  <si>
    <t>C2227-00</t>
  </si>
  <si>
    <t>ABS Disabled ECU</t>
  </si>
  <si>
    <t>ESP not ready for ACC Operation</t>
  </si>
  <si>
    <t>Check ESP DTC's
Do not replace ADCAM ECU</t>
  </si>
  <si>
    <t>EC 1, EC 3, EC 5, EC 7 
RollerBenchNotActive 
NotInPlantMode
NotDisabledBySer28
NotDisabledBySer85</t>
  </si>
  <si>
    <t xml:space="preserve">If (Relevant feature is enabled)
BRAKE_FD_1.DASEngReqPos ==  "Not_Allowed"   (Cycle time - 20ms)  (Maturation time - 100ms) OR
BRAKE_FD_1.ExternalBrkRequestsDisabled == "External systems Continuos Off"  (Cycle time - 20ms)  (Maturation time -100ms)
BRAKE_FD_1.RRCC_Cancel_Req == "Request Continuos Off"  (Cycle time - 20ms)  (Maturation time -100ms)
</t>
  </si>
  <si>
    <t xml:space="preserve"> DTC shall not get set unless the SB fails for 3 times for the same component 
15-48 seconds</t>
  </si>
  <si>
    <t>If 
(SecurebootStatus  &amp; (Secure_Boot_Mask_Lo) == 0 )</t>
  </si>
  <si>
    <t>immediately</t>
  </si>
  <si>
    <t>$060200</t>
  </si>
  <si>
    <t>P0602-00</t>
  </si>
  <si>
    <t>Control_Module_Programming_Error</t>
  </si>
  <si>
    <t>Check other ECU's for DTC's</t>
  </si>
  <si>
    <t>EC 2 -6V&lt;Local Voltage at ADCAM_Input &lt; 16V
DTC setting has not been disabled</t>
  </si>
  <si>
    <t>If  
(SecurebootStatus  &amp; (Secure_Boot_Mask_Lo) &gt; 0 
( This DTC indicates Boot Failure )</t>
  </si>
  <si>
    <t>ADCAM ECU receives all messages from ASBS node</t>
  </si>
  <si>
    <t>$C08000</t>
  </si>
  <si>
    <t>U0080-00</t>
  </si>
  <si>
    <t>Ethernet Bus 1 - 
(ENET-AD1 - SGW)</t>
  </si>
  <si>
    <t>Ethernet Bus Off</t>
  </si>
  <si>
    <t>Physical  failures of Ethernet Bus</t>
  </si>
  <si>
    <t>- Check other modules
- Check for timeout errors on receiving modules
- Check ETH line (Open or short circuit)
- Check that connector is plugged in properly
- Check pins on sensor for bent pins</t>
  </si>
  <si>
    <t xml:space="preserve">ENET-AD1 Data Link Down (ETH-SGW)
</t>
  </si>
  <si>
    <t xml:space="preserve">ENET-AD1 Data Link is working as expected
</t>
  </si>
  <si>
    <t>$C09B00</t>
  </si>
  <si>
    <t>U009B-00</t>
  </si>
  <si>
    <t>Ethernet Bus 4 - 
(ENET-AD4 - mPAD)</t>
  </si>
  <si>
    <t>ENET-AD4 Data Link Down (ETH-mPAD)</t>
  </si>
  <si>
    <t>ENET-AD4 Data Link is working as expected</t>
  </si>
  <si>
    <t>$C09D00</t>
  </si>
  <si>
    <t>U009D-00</t>
  </si>
  <si>
    <t>Ethernet Bus 5 - 
(ENET-AD5 - LRRF)</t>
  </si>
  <si>
    <t>ENET-AD5 Data Link Down (ETH-LRRF)</t>
  </si>
  <si>
    <t>ENET-AD5 Data Link is working as expected</t>
  </si>
  <si>
    <t>$D20200</t>
  </si>
  <si>
    <t>Lost Communication With Electric Vehicle Control Module (EVCU2)</t>
  </si>
  <si>
    <t>2</t>
  </si>
  <si>
    <t>Lost Communication With EVCU2</t>
  </si>
  <si>
    <t xml:space="preserve"> IF (Relevent feature is enabled &amp;&amp; EVCU2 PROXI Node is present)
AXLE_TORQUE_FD_1 (Missing Message) (Cyclic time - 10ms) (Maturation time - 50ms) (CANFD14)
PT_TORQUE_FD_1 (Missing Message) (Cyclic time - 10ms) (Maturation time - 50ms) (CANFD14)
PT_SYSTEM_FD_1 (Missing Message) (Cyclic time - 10ms) (Maturation time - 50ms) (CANFD14)
</t>
  </si>
  <si>
    <t>1000</t>
  </si>
  <si>
    <t>ADCAM recives all messages from the EVCU2</t>
  </si>
  <si>
    <t>$D48800</t>
  </si>
  <si>
    <t>Invalid Data Received From Electric Vehicle Control Module (EVCU2)</t>
  </si>
  <si>
    <t>Invalid Data Received From EVCU2</t>
  </si>
  <si>
    <t>Implausible Data Received From EVCU2</t>
  </si>
  <si>
    <t xml:space="preserve"> IF (Relevent feature is enabled&amp;&amp; EVCU2 PROXI Node is present )
AXLE_TORQUE_FD_1.CRC_Fail (Plausibility) (Maturation time - 50ms)CANFD14(Cycle Time 10ms)
AXLE_TORQUE_FD_1.MC_Fail (Plausibility) (Maturation time - 50ms)CANFD14 (Cycle Time 10ms)
AXLE_TORQUE_FD_1.Axle_Torque_DrvReqMod_SNA (Plausibility) (Maturation time - 50ms)CANFD14 (Cycle Time 10ms)
AXLE_TORQUE_FD_1.Axle_TorqueStatic_D_TTC (Plausibility) (Maturation time - 50ms)CANFD14 (Cycle Time 10ms)
AXLE_TORQUE_FD_1.Total_AxleTorque_Max (Plausibility) (Maturation time - 50ms)CANFD14 (Cycle Time 10ms)
AXLE_TORQUE_FD_1.Total_AxleTorque_Min (Plausibility) (Maturation time - 50ms)CANFD14 (Cycle Time 10ms)
PT_TORQUE_FD_1.CRC_Fail (Plausiblity) (Cyclic time - 10ms) (Maturation time - 50ms) (CANFD14)
PT_TORQUE_FD_1.MC_Fail (Plausiblity) (Cyclic time - 10ms) (Maturation time - 50ms) (CANFD14)
PT_TORQUE_FD_1.Accel_Pedal_Override_d (Plausiblity) (Cyclic time - 10ms) (Maturation time - 50ms) (CANFD14)
PT_TORQUE_FD_1.Total_AxleTorque_Static_SNA (Plausiblity) (Cyclic time - 10ms) (Maturation time - 50ms) (CANFD14)
PT_SYSTEM_FD_1.CRC_Fail (Plausibility) (Cyclic time - 10ms) (Maturation time - 50ms) (CANFD14)
PT_SYSTEM_FD_1.MC_Fail (Plausibility) (Cyclic time - 10ms) (Maturation time - 50ms) (CANFD14)
PT_SYSTEM_FD_1.GasPedalPosition_PT_SNA (Plausibility) (Cyclic time - 10ms) (Maturation time - 50ms) (CANFD14)
PT_SYSTEM_FD_1.GasPedalPositionFailSts_PT_d (Plausibility) (Cyclic time - 10ms) (Maturation time - 50ms) (CANFD14)
PT_SYSTEM_FD_1.GearEngaged_PT_SNA (Plausibility) (Cyclic time - 10ms) (Maturation time - 50ms) (CANFD14)
PT_SYSTEM_FD_1GearEngagedForDisplay_PT_SNA (Plausibility) (Cyclic time - 10ms) (Maturation time - 50ms) (CANFD14)
PT_SYSTEM_FD_1.PdlPosActual_PT_SNA (Plausibility) (Cyclic time - 10ms) (Maturation time - 50ms) (CANFD14)
PT_SYSTEM_FD_1.ShiftLeverPosition_PT_SNA (Plausibility) (Cyclic time - 10ms) (Maturation time - 50ms) (CANFD14)
PT_SYSTEM_FD_1.TerrainModeStat_PT_SNA (Plausibility) (Cyclic time - 10ms) (Maturation time - 50ms) (CANFD14)
PT_SYSTEM_FD_1.SpeedLimitSts_PT_SNA (Plausibility) (Cyclic time - 10ms) (Maturation time - 50ms) (CANFD14)</t>
  </si>
  <si>
    <t>50</t>
  </si>
  <si>
    <t>20</t>
  </si>
  <si>
    <t>$C15D00</t>
  </si>
  <si>
    <t>Lost Communication With Automated Driving System Control Module "B"</t>
  </si>
  <si>
    <t>Lost Communication With mPAD1</t>
  </si>
  <si>
    <t xml:space="preserve"> IF (Relevent feature is enabled &amp;&amp; mPAD1 PROXI Node is present)
TBD
Message timeout from mPAD</t>
  </si>
  <si>
    <t>ADCAM recives all messages from the mPAD1</t>
  </si>
  <si>
    <t>$C15C00</t>
  </si>
  <si>
    <t>Lost Communication With Automated Driving System Control Module "A"</t>
  </si>
  <si>
    <t>$C45E00</t>
  </si>
  <si>
    <t>U045E-00</t>
  </si>
  <si>
    <t>Invalid Data Received From Automated Driving System Control Module "B"</t>
  </si>
  <si>
    <t>Invalid Data Received From mPAD1</t>
  </si>
  <si>
    <t>Implausible Data Received From Automated Driving System Control Module "B"</t>
  </si>
  <si>
    <t xml:space="preserve"> IF (Relevent feature is enabled&amp;&amp; mPAD1 PROXI Node is present )
TBD</t>
  </si>
  <si>
    <t>$C45D00</t>
  </si>
  <si>
    <t>Invalid Data Received From Automated Driving System Control Module "A"</t>
  </si>
  <si>
    <t>Implausible Data Received From Automated Driving System Control Module "A"</t>
  </si>
  <si>
    <t>$F03300</t>
  </si>
  <si>
    <t xml:space="preserve">Control_Module_Security_Certificate_Invalid </t>
  </si>
  <si>
    <t xml:space="preserve">EC 1- Ignition Status ==&gt; BCM_FD_10. CmdIgnSts == “RUN” AND
EC3 - System Voltage==&gt; (10V&lt; BCM_FD_3. Battery_Volt_1&lt;16) AND
EC 5 - Bus Physical Status AND
EC 7 - De-bounce Timer ( 5 seconds debouncing after above conditions are met) AND
ECU is not in Plant-Mode AND
NotDisabledBySer28 AND
DTC setting has not been disabled </t>
  </si>
  <si>
    <t>If ((L1_CER_ERR_T_FAULT || L2_CER_ERR_T_FAULT || L3_CER_ERR_T_FAULT) &amp;&amp;
(Cert_Err_T ==  CERT_ERR_WRONG_COMMON_NAME ||
Cert_Err_T ==  CERT_ERR_SIGNATURE_VALIDATION_ERROR||
Cert_Err_T ==  CERT_ERR_UNKNOWN_ISSUER ||
Cert_Err_T ==  CERT_ERR_WRONG_PUBLIC_KEY ||
Cert_Err_T ==  CERT_ERR_CERTIFICATE_DOWNLOAD_FAILED ||
Cert_Err_T ==  CERT_ERR_REVOKED_CERTIFICATE ||
Cert_Err_T ==  CERT_ERR_NOT_VALID_CERTIFICATE ||
Cert_Err_T ==  CERT_ERR_SUCCESS != 0))
{
Control_Module_Security_Certificate_Invalid = TRUE
}</t>
  </si>
  <si>
    <t>sec</t>
  </si>
  <si>
    <t>f (
Cert_Err_T == CERT_ERR_SUCCESS = 0
)
{
 Control_Module_Security_Certificate_Invalid = FALSE
}</t>
  </si>
  <si>
    <t>$9A4000</t>
  </si>
  <si>
    <t>Authenticity of in-Vehicle Messaging out of sync</t>
  </si>
  <si>
    <t>Counter out of Synch
AuthenticationIn-Vehicle Message Counter is Out of Sync</t>
  </si>
  <si>
    <t>TBD</t>
  </si>
  <si>
    <t>$9A4A00</t>
  </si>
  <si>
    <t xml:space="preserve">Authentication of Key Negotiation Timed out </t>
  </si>
  <si>
    <t xml:space="preserve">Key negotiation timeout
Authentication of Key Negotiation Timed out </t>
  </si>
  <si>
    <t>$9A4A91</t>
  </si>
  <si>
    <t>Authentication Key Negotiation Timeout-Parametric</t>
  </si>
  <si>
    <t>Unsupported Parameter
Authentication Key Negotiation Timeout - Parametric</t>
  </si>
  <si>
    <t>$9A4B00</t>
  </si>
  <si>
    <t>B1A4B-00</t>
  </si>
  <si>
    <t>Authentication Keystore Full-</t>
  </si>
  <si>
    <t>Authentication Keystore is full</t>
  </si>
  <si>
    <t>Update HTA firmware or replace the ECU and renegotiate</t>
  </si>
  <si>
    <t>Keystore Full
Authentication Keystore is full</t>
  </si>
  <si>
    <t>$9A4C00</t>
  </si>
  <si>
    <t>Excessive Authentication Messages Detected</t>
  </si>
  <si>
    <t>Too Many Negotiation Messages
Excessive Authentication Messages Detected</t>
  </si>
  <si>
    <t>$9A4D00</t>
  </si>
  <si>
    <t>Default Authentication Key - Negotiation Required-</t>
  </si>
  <si>
    <t>Default Key
Default Authentication Key - Negotiation Required</t>
  </si>
  <si>
    <t>$F03400</t>
  </si>
  <si>
    <t>Communication Authentication Key/Certificate Missing/Invalid</t>
  </si>
  <si>
    <t>Look for Memory Failures in the ECU and renew the key for the message group</t>
  </si>
  <si>
    <t>Invalid Key
Communication Authentication Key/Certificate Missing/Invalid</t>
  </si>
  <si>
    <t>$D60B45</t>
  </si>
  <si>
    <t>U160B-45</t>
  </si>
  <si>
    <t>ECU Boot Software - Missing or Corrupted-Program Memory Failure</t>
  </si>
  <si>
    <t>ECU Boot Software failes issues</t>
  </si>
  <si>
    <t>Wrong Software programmed into Bootloaded, software incompatible, missing or corrupted</t>
  </si>
  <si>
    <t>Software application and calibration files do not compatible or complete.</t>
  </si>
  <si>
    <t>$40C192</t>
  </si>
  <si>
    <t>C00C1-92</t>
  </si>
  <si>
    <t>Front Radar Module "B"-Performance or Incorrect Operation</t>
  </si>
  <si>
    <t>Long Range Front Radar Incorrect Operation</t>
  </si>
  <si>
    <t>LRRF Performance or Incorrect Operation</t>
  </si>
  <si>
    <t xml:space="preserve">LRRF RADAR Incorrect Operation is detected </t>
  </si>
  <si>
    <t>LRRF Radar Operation as expected</t>
  </si>
  <si>
    <t>DTC Name</t>
  </si>
  <si>
    <t>DTC Description</t>
  </si>
  <si>
    <t>Inhibit Manager Interface</t>
  </si>
  <si>
    <t>Failure Mode (MediumFault.LowFault)</t>
  </si>
  <si>
    <t>ACC</t>
  </si>
  <si>
    <t>ADA (L2)</t>
  </si>
  <si>
    <t>HF-ADA (L2+)</t>
  </si>
  <si>
    <t>ALM</t>
  </si>
  <si>
    <t>DDD</t>
  </si>
  <si>
    <t>AHBC</t>
  </si>
  <si>
    <t>TSI</t>
  </si>
  <si>
    <t>AEB</t>
  </si>
  <si>
    <t>PEB</t>
  </si>
  <si>
    <t>ICA (Crossing)</t>
  </si>
  <si>
    <t>ICA (Oncoming)</t>
  </si>
  <si>
    <t>BSD</t>
  </si>
  <si>
    <t>NCC</t>
  </si>
  <si>
    <t>RRCC</t>
  </si>
  <si>
    <t>ECU_Internal_Performance</t>
  </si>
  <si>
    <t>SysLostComm_Flt</t>
  </si>
  <si>
    <t xml:space="preserve">Limited </t>
  </si>
  <si>
    <t>Disabled</t>
  </si>
  <si>
    <t>Suppressed</t>
  </si>
  <si>
    <t>Limited</t>
  </si>
  <si>
    <t>ADCAM_Active_Fault.Host_Spi_CRC_Error </t>
  </si>
  <si>
    <t>SysImplausibleComm_Flt.Host_Spi_CRC_Error </t>
  </si>
  <si>
    <t>ADCAM_Active_Fault.EyeQ_E2E_Failure </t>
  </si>
  <si>
    <t>SysImplausibleComm_Flt.EyeQ_E2E_Failure </t>
  </si>
  <si>
    <t>ADCAM_Active_Fault.E2E_CLB_DYN_CRC_FLT </t>
  </si>
  <si>
    <t>SysImplausibleComm_Flt.E2E_CLB_DYN_CRC_FLT </t>
  </si>
  <si>
    <t>ADCAM_Active_Fault.E2E_CLB_STAT_CRC_FLT </t>
  </si>
  <si>
    <t>SysImplausibleComm_Flt.E2E_CLB_STAT_CRC_FLT </t>
  </si>
  <si>
    <t>ADCAM_Active_Fault.E2E_COM_CRC_FLT </t>
  </si>
  <si>
    <t>SysImplausibleComm_Flt.E2E_COM_CRC_FLT </t>
  </si>
  <si>
    <t>ADCAM_Active_Fault.E2E_FCF_CV_CRC_FLT </t>
  </si>
  <si>
    <t>SysImplausibleComm_Flt.E2E_FCF_CV_CRC_FLT </t>
  </si>
  <si>
    <t>ADCAM_Active_Fault.E2E_FCF_VD_CRC_FLT </t>
  </si>
  <si>
    <t>SysImplausibleComm_Flt.E2E_FCF_VD_CRC_FLT </t>
  </si>
  <si>
    <t>ADCAM_Active_Fault.E2E_FCF_VRU_CRC_FLT </t>
  </si>
  <si>
    <t>SysImplausibleComm_Flt.E2E_FCF_VRU_CRC_FLT </t>
  </si>
  <si>
    <t>ADCAM_Active_Fault.E2E_FS_CRC_FLT </t>
  </si>
  <si>
    <t>SysImplausibleComm_Flt.E2E_FS_CRC_FLT </t>
  </si>
  <si>
    <t>ADCAM_Active_Fault.E2E_Lane_Application_CRC_FLT  </t>
  </si>
  <si>
    <t>SysImplausibleComm_Flt.E2E_Lane_Application_CRC_FLT  </t>
  </si>
  <si>
    <t>ADCAM_Active_Fault.E2E_Lane_Host_CRC_FLT </t>
  </si>
  <si>
    <t>SysImplausibleComm_Flt.E2E_Lane_Host_CRC_FLT </t>
  </si>
  <si>
    <t>ADCAM_Active_Fault.E2E_OBJ_CRC_FLT </t>
  </si>
  <si>
    <t>SysImplausibleComm_Flt.E2E_OBJ_CRC_FLT </t>
  </si>
  <si>
    <t>ADCAM_Active_Fault.E2E_Safety_CRC_FLT </t>
  </si>
  <si>
    <t>SysImplausibleComm_Flt.E2E_Safety_CRC_FLT </t>
  </si>
  <si>
    <t>ADCAM_Active_Fault.E2E_Lanes_Road_Edge_CRC_FLT </t>
  </si>
  <si>
    <t>SysImplausibleComm_Flt.E2E_Lanes_Road_Edge_CRC_FLT </t>
  </si>
  <si>
    <t>ADCAM_Active_Fault.EyeQ_CRC_Failure </t>
  </si>
  <si>
    <t>SysImplausibleComm_Flt.EyeQ_CRC_Failure </t>
  </si>
  <si>
    <t>ADCAM_Active_Fault.Host_Spi_Frame_Format_Error </t>
  </si>
  <si>
    <t>SysImplausibleComm_Flt.Host_Spi_Frame_Format_Error </t>
  </si>
  <si>
    <t>ADCAM_Active_Fault.Host_Spi_Msg_Format_Error </t>
  </si>
  <si>
    <t>SysImplausibleComm_Flt.Host_Spi_Msg_Format_Error </t>
  </si>
  <si>
    <t>ADCAM_Active_Fault.Host_Spi_Tx_Error  </t>
  </si>
  <si>
    <t>SysImplausibleComm_Flt.Host_Spi_Tx_Error  </t>
  </si>
  <si>
    <t>ADCAM_Active_Fault.DDR_On_Board_Thermistor_Plausibility </t>
  </si>
  <si>
    <t>SysInvalidData_Flt.DDR_On_Board_Thermistor_Plausibility </t>
  </si>
  <si>
    <t>ADCAM_Active_Fault.EyeQ_On_Board_Thermistor_Out_Of_Range</t>
  </si>
  <si>
    <t>SysInvalidData_Flt.EyeQ_On_Board_Thermistor_Out_Of_Range</t>
  </si>
  <si>
    <t>ADCAM_Active_Fault.DDR_On_Board_Thermistor_Out_Of_Range </t>
  </si>
  <si>
    <t>SysInvalidData_Flt.DDR_On_Board_Thermistor_Out_Of_Range </t>
  </si>
  <si>
    <t>ADCAM_Active_Fault.Host_On_Board_Thermistor_Over_Temp </t>
  </si>
  <si>
    <t>SysInvalidData_Flt.Host_On_Board_Thermistor_Over_Temp </t>
  </si>
  <si>
    <t>ADCAM_Active_Fault.EyeQ_Imager_Out_Of_Range  </t>
  </si>
  <si>
    <t>SysInvalidData_Flt.EyeQ_Imager_Out_Of_Range  </t>
  </si>
  <si>
    <t>ADCAM_Active_Fault.EyeQ_MIPS_Out_of_Range </t>
  </si>
  <si>
    <t>SysInvalidData_Flt.EyeQ_MIPS_Out_of_Range </t>
  </si>
  <si>
    <t>ADCAM_Active_Fault.EyeQ_VMP_out_of_Range </t>
  </si>
  <si>
    <t>SysInvalidData_Flt.EyeQ_VMP_out_of_Range </t>
  </si>
  <si>
    <t>ADCAM_Active_Fault.EyeQ_3V3_Supply_Out_Of_Range </t>
  </si>
  <si>
    <t>SysPwr_Flt.EyeQ_3V3_Supply_Out_Of_Range </t>
  </si>
  <si>
    <t>ADCAM_Active_Fault.ETH_0V9_LDO_Supply_Out_Of_Range </t>
  </si>
  <si>
    <t>SysPwr_Flt.ETH_0V9_LDO_Supply_Out_Of_Range </t>
  </si>
  <si>
    <t>ADCAM_Active_Fault.EyeQ_0V75_Supply_Out_Of_Range </t>
  </si>
  <si>
    <t>SysPwr_Flt.EyeQ_0V75_Supply_Out_Of_Range </t>
  </si>
  <si>
    <t>ADCAM_Active_Fault.EyeQ_DDR_Flash_1V8_Supply_Out_Of_Range</t>
  </si>
  <si>
    <t>SysPwr_Flt.EyeQ_DDR_Flash_1V8_Supply_Out_Of_Range</t>
  </si>
  <si>
    <t>ADCAM_Active_Fault.AURIX_SMPS_1V25_Supply_Out_Of_Range </t>
  </si>
  <si>
    <t>SysPwr_Flt.AURIX_SMPS_1V25_Supply_Out_Of_Range </t>
  </si>
  <si>
    <t>ADCAM_Active_Fault.EyeQ_DDR_1V1_Supply_Out_Of_Range </t>
  </si>
  <si>
    <t>SysPwr_Flt.EyeQ_DDR_1V1_Supply_Out_Of_Range </t>
  </si>
  <si>
    <t>ADCAM_Active_Fault.CAN_Transceivers_5V_Supply_Out_Of_Range </t>
  </si>
  <si>
    <t>SysPwr_Flt.CAN_Transceivers_5V_Supply_Out_Of_Range </t>
  </si>
  <si>
    <t>ADCAM_Active_Fault.EyeQ_DDR_0V6_Supply_Out_Of_Range </t>
  </si>
  <si>
    <t>SysPwr_Flt.EyeQ_DDR_0V6_Supply_Out_Of_Range </t>
  </si>
  <si>
    <t>ADCAM_Active_Fault.EyeQ_0V75_MIPI_LDO_Supply_Out_Of_Range </t>
  </si>
  <si>
    <t>SysPwr_Flt.EyeQ_0V75_MIPI_LDO_Supply_Out_Of_Range </t>
  </si>
  <si>
    <t>ADCAM_Active_Fault.ENET_1V2_LDO_Supply_Out_Of_Range </t>
  </si>
  <si>
    <t>SysPwr_Flt.ENET_1V2_LDO_Supply_Out_Of_Range </t>
  </si>
  <si>
    <t>ADCAM_Active_Fault.EyeQ_1V8_DDR_Supply_Out_Of_Range </t>
  </si>
  <si>
    <t>SysPwr_Flt.EyeQ_1V8_DDR_Supply_Out_Of_Range </t>
  </si>
  <si>
    <t>ADCAM_Active_Fault.EyeQ_Application_Complete_And_Compatible </t>
  </si>
  <si>
    <t>SysConfig_Flt.EyeQ_Application_Complete_And_Compatible </t>
  </si>
  <si>
    <t>ADCAM_Active_Fault.EyeQ_Calibration_Checksum_Fault</t>
  </si>
  <si>
    <t>SysConfig_Flt.EyeQ_Calibration_Checksum_Fault</t>
  </si>
  <si>
    <t>ADCAM_Active_Fault.EyeQ_Application_Checksum_Fault </t>
  </si>
  <si>
    <t>SysConfig_Flt.EyeQ_Application_Checksum_Fault </t>
  </si>
  <si>
    <t>ADCAM_Active_Fault.SW_HW_Version_Mismatch_Fault </t>
  </si>
  <si>
    <t>SysConfig_Flt.SW_HW_Version_Mismatch_Fault </t>
  </si>
  <si>
    <t>ADCAM_Active_Fault.EyeQ_SW_Version_Mismatch_Fault </t>
  </si>
  <si>
    <t>SysConfig_Flt.EyeQ_SW_Version_Mismatch_Fault </t>
  </si>
  <si>
    <t>ADCAM_Active_Fault.NVM_HW_Fault </t>
  </si>
  <si>
    <t>SysMem_Flt.NVM_HW_Fault </t>
  </si>
  <si>
    <t>ADCAM_Active_Fault.EyeQ_Bist_Memory_Fault</t>
  </si>
  <si>
    <t>SysMem_Flt.EyeQ_Bist_Memory_Fault</t>
  </si>
  <si>
    <t>ADCAM_Active_Fault.EyeQ_DDR_Fault</t>
  </si>
  <si>
    <t>SysMem_Flt.EyeQ_DDR_Fault</t>
  </si>
  <si>
    <t>ADCAM_Active_Fault.SMU_Alarm_Fault </t>
  </si>
  <si>
    <t>SysHW_Flt.SMU_Alarm_Fault </t>
  </si>
  <si>
    <t>ADCAM_Active_Fault.SMU_CFAST_Fault </t>
  </si>
  <si>
    <t>SysHW_Flt.SMU_CFAST_Fault </t>
  </si>
  <si>
    <t>ADCAM_Active_Fault.Eth_Switch_Init_Failure_Fault</t>
  </si>
  <si>
    <t>SysInit_Flt.Eth_Switch_Init_Failure_Fault</t>
  </si>
  <si>
    <t>ADCAM_Active_Fault.EyeQ_Boot_Fault</t>
  </si>
  <si>
    <t>SysInit_Flt.EyeQ_Boot_Fault</t>
  </si>
  <si>
    <t>ADCAM_Active_Fault.EyeQ_Error_Out_Startup</t>
  </si>
  <si>
    <t>SysInit_Flt.EyeQ_Error_Out_Startup</t>
  </si>
  <si>
    <t>EyeQ_In_Hard_Reset_Flt</t>
  </si>
  <si>
    <t>ADCAM_Active_Fault.SDM_Generic_Fault </t>
  </si>
  <si>
    <t>SysFeature_Flt.SDM_Generic_Fault </t>
  </si>
  <si>
    <t>ADCAM_Active_Fault.SDM_AEB_Fault</t>
  </si>
  <si>
    <t>SysFeature_Flt.SDM_AEB_Fault</t>
  </si>
  <si>
    <t>ADCAM_Active_Fault.SDM_Lanes_Fault </t>
  </si>
  <si>
    <t>SysFeature_Flt.SDM_Lanes_Fault </t>
  </si>
  <si>
    <t>ADCAM_Active_Fault.SDM_Road_Edge_Fault </t>
  </si>
  <si>
    <t>SysFeature_Flt.SDM_Road_Edge_Fault </t>
  </si>
  <si>
    <t>ADCAM_Active_Fault.SDM_Path_Pred_Fault </t>
  </si>
  <si>
    <t>SysFeature_Flt.SDM_Path_Pred_Fault </t>
  </si>
  <si>
    <t>ADCAM_Active_Fault.SDM_Object_Detection_Fault </t>
  </si>
  <si>
    <t>SysFeature_Flt.SDM_Object_Detection_Fault </t>
  </si>
  <si>
    <t>ADCAM_Active_Fault.PMIC_InitTimeout_Fault</t>
  </si>
  <si>
    <t>SysTimeout_Flt.PMIC_InitTimeout_Fault</t>
  </si>
  <si>
    <t>ADCAM_Active_Fault.EyeQ_Init_Timeout_Fault</t>
  </si>
  <si>
    <t>SysTimeout_Flt.EyeQ_Init_Timeout_Fault</t>
  </si>
  <si>
    <t>ADCAM_Active_Fault.Eth_Switch_InitTimeout_Fault </t>
  </si>
  <si>
    <t>SysTimeout_Flt.Eth_Switch_InitTimeout_Fault </t>
  </si>
  <si>
    <t>ADCAM_Active_Fault.EyeQ_Core_Dump_Fault</t>
  </si>
  <si>
    <t>EyeQ_Severe_SW_Flt.EyeQ_Core_Dump_Fault</t>
  </si>
  <si>
    <t>ADCAM_Active_Fault.EyeQ_Fatal_Error</t>
  </si>
  <si>
    <t>EyeQ_Fatal_Error_Flt.EyeQ_Fatal_Error_APP_INIT_CAMERA_EEPROM </t>
  </si>
  <si>
    <t>EyeQ_Fatal_Error_Flt.EyeQ_Fatal_Error_APP_GVPU_STATE_TERMINAL </t>
  </si>
  <si>
    <t>EyeQ_Fatal_Error_Flt.EyeQ_Fatal_Error_EDR_WROTE_TO_FLASH </t>
  </si>
  <si>
    <t>EyeQ_Fatal_Error_Flt.EyeQ_Fatal_Error_APP_INIT_CAMERA_SER_CONNECTIVITY </t>
  </si>
  <si>
    <t>EyeQ_Fatal_Error_Flt.EyeQ_Fatal_Error_APP_INIT_FROM_FLASH_FAILED</t>
  </si>
  <si>
    <t>ADCAM_Active_Fault.FWC_CAMPWR_LDO_Fail </t>
  </si>
  <si>
    <t>LRCF_Sw_Hw_Flt.FWC_CAMPWR_LDO_Fail </t>
  </si>
  <si>
    <t>ADCAM_Active_Fault.Camera_CRC_Failure </t>
  </si>
  <si>
    <t>LRCF_Sw_Hw_Flt.Camera_CRC_Failure </t>
  </si>
  <si>
    <t>ADCAM_Active_Fault.FWC_ImagerFuseID_Mismatch_Fault </t>
  </si>
  <si>
    <t>LRCF_Sw_Hw_Flt.FWC_ImagerFuseID_Mismatch_Fault </t>
  </si>
  <si>
    <t>EyeQ_Fatal_Error.EyeQ_Fatal_Error_App_Init_Failed_Fault</t>
  </si>
  <si>
    <t>EyeQ_Fatal_Error.EyeQ_Fatal_Error_Pv_Verificattion_Error_Fault </t>
  </si>
  <si>
    <t>EyeQ_Fatal_Error.EyeQ_Fatal_Error_APP_INIT_CAMERA_SENSOR_ID_MISMATCH</t>
  </si>
  <si>
    <t>EyeQ_Fatal_Error.EyeQ_Fatal_Error_APP_CODING_FROM_FLASH_FAILED</t>
  </si>
  <si>
    <t>EyeQ_Fatal_Error.EyeQ_Fatal_Error_DIAGNOSTICS_ASIL_FAILED</t>
  </si>
  <si>
    <t>EyeQ_Fatal_Error.EyeQ_Fatal_Error_APP_CONFIGURATION_ERROR</t>
  </si>
  <si>
    <t>EyeQ_Fatal_Error.EyeQ_Fatal_Error_ASIL_CAMERA_ERROR</t>
  </si>
  <si>
    <t>MRRRL_Internal_Performance</t>
  </si>
  <si>
    <t>MRRRL_Active_Fault.MRR_RL_RADAR_HW_Flt</t>
  </si>
  <si>
    <t>MRR_RL_RADAR_HW_Flt.MRR_RL_PF_HST_PLL_LOCK_FAULT </t>
  </si>
  <si>
    <t>MRR_RL_RADAR_HW_Flt.MRR_RL_PF_TRANSMITTER_ID_FLT </t>
  </si>
  <si>
    <t>MRR_RL_RADAR_HW_Flt.MRR_RL_PF_SUPPLY_0_82V_OOR_FLT</t>
  </si>
  <si>
    <t>MRR_RL_RADAR_HW_Flt.MRR_RL_PF_SUPPLY_1_1V_OOR_FLT</t>
  </si>
  <si>
    <t>MRR_RL_RADAR_HW_Flt.MRR_RL_PF_SUPPLY_1_2_5V_OOR_FLT</t>
  </si>
  <si>
    <t>MRR_RL_RADAR_HW_Flt.MRR_RL_PF_SUPPLY_1_8V_OOR_FLT</t>
  </si>
  <si>
    <t>MRR_RL_RADAR_HW_Flt.MRR_RL_PF_SUPPLY_2_3V_OOR_FLT</t>
  </si>
  <si>
    <t>MRR_RL_RADAR_HW_Flt.MRR_RL_PF_SUPPLY_3_3V_OOR_FLT</t>
  </si>
  <si>
    <t>MRR_RL_RADAR_HW_Flt.MRR_RL_PF_SUPPLY_5V_OOR_FLT </t>
  </si>
  <si>
    <t>MRR_RL_RADAR_HW_Flt.MRR_RL_CF_TRANSMITTER_POWER_FLT </t>
  </si>
  <si>
    <t>MRR_RL_RADAR_HW_Flt.MRR_RL_CF_LOCAL_OSCILLTR_PWR_FLT</t>
  </si>
  <si>
    <t>MRR_RL_RADAR_HW_Flt.MRR_RL_PF_DSP_LOOP_OVRRN_FLT </t>
  </si>
  <si>
    <t>MRR_RL_RADAR_HW_Flt.MRR_RL_CF_PINPOSITION_FLT </t>
  </si>
  <si>
    <t>MRR_RL_RADAR_HW_Flt.MRR_RL_PF_RRUCORE_FLT </t>
  </si>
  <si>
    <t>MRR_RL_RADAR_HW_Flt.MRR_RL_PF_RRUBIST_FLT </t>
  </si>
  <si>
    <t>MRRRR_Internal_Performance</t>
  </si>
  <si>
    <t>MRRRR_Active_Fault.MRR_RR_RADAR_HW_Flt</t>
  </si>
  <si>
    <t>MRR_RR_RADAR_HW_Flt.MRR_RR_PF_HST_PLL_LOCK_FAULT </t>
  </si>
  <si>
    <t>MRR_RR_RADAR_HW_Flt.MRR_RR_PF_TRANSMITTER_ID_FLT </t>
  </si>
  <si>
    <t>MRR_RR_RADAR_HW_Flt.MRR_RR_PF_SUPPLY_0_82V_OOR_FLT</t>
  </si>
  <si>
    <t>MRR_RR_RADAR_HW_Flt.MRR_RR_PF_SUPPLY_1_1V_OOR_FLT</t>
  </si>
  <si>
    <t>MRR_RR_RADAR_HW_Flt.MRR_RR_PF_SUPPLY_1_2_5V_OOR_FLT</t>
  </si>
  <si>
    <t>MRR_RR_RADAR_HW_Flt.MRR_RR_PF_SUPPLY_1_8V_OOR_FLT</t>
  </si>
  <si>
    <t>MRR_RR_RADAR_HW_Flt.MRR_RR_PF_SUPPLY_2_3V_OOR_FLT</t>
  </si>
  <si>
    <t>MRR_RR_RADAR_HW_Flt.MRR_RR_PF_SUPPLY_3_3V_OOR_FLT</t>
  </si>
  <si>
    <t>MRR_RR_RADAR_HW_Flt.MRR_RR_PF_SUPPLY_5V_OOR_FLT </t>
  </si>
  <si>
    <t>MRR_RR_RADAR_HW_Flt.MRR_RR_CF_TRANSMITTER_POWER_FLT </t>
  </si>
  <si>
    <t>MRR_RR_RADAR_HW_Flt.MRR_RR_CF_LOCAL_OSCILLTR_PWR_FLT</t>
  </si>
  <si>
    <t>MRR_RR_RADAR_HW_Flt.MRR_RR_PF_DSP_LOOP_OVRRN_FLT </t>
  </si>
  <si>
    <t>MRR_RR_RADAR_HW_Flt.MRR_RR_CF_PINPOSITION_FLT </t>
  </si>
  <si>
    <t>MRR_RR_RADAR_HW_Flt.MRR_RR_PF_RRUCORE_FLT </t>
  </si>
  <si>
    <t>MRR_RR_RADAR_HW_Flt.MRR_RR_PF_RRUBIST_FLT </t>
  </si>
  <si>
    <t>MRRFL_Internal_Performance</t>
  </si>
  <si>
    <t>MRRFL_Active_Fault.MRR_FL_RADAR_Hw_Flt</t>
  </si>
  <si>
    <t>MRR_FL_RADAR_HW_Flt.MRR_FL_PF_HST_PLL_LOCK_FAULT </t>
  </si>
  <si>
    <t>MRR_FL_RADAR_HW_Flt.MRR_FL_PF_TRANSMITTER_ID_FLT </t>
  </si>
  <si>
    <t>MRR_FL_RADAR_HW_Flt.MRR_FL_PF_SUPPLY_0_82V_OOR_FLT</t>
  </si>
  <si>
    <t>MRR_FL_RADAR_HW_Flt.MRR_FL_PF_SUPPLY_1_1V_OOR_FLT</t>
  </si>
  <si>
    <t>MRR_FL_RADAR_HW_Flt.MRR_FL_PF_SUPPLY_1_2_5V_OOR_FLT</t>
  </si>
  <si>
    <t>MRR_FL_RADAR_HW_Flt.MRR_FL_PF_SUPPLY_1_8V_OOR_FLT</t>
  </si>
  <si>
    <t>MRR_FL_RADAR_HW_Flt.MRR_FL_PF_SUPPLY_2_3V_OOR_FLT</t>
  </si>
  <si>
    <t>MRR_FL_RADAR_HW_Flt.MRR_FL_PF_SUPPLY_3_3V_OOR_FLT</t>
  </si>
  <si>
    <t>MRR_FL_RADAR_HW_Flt.MRR_FL_PF_SUPPLY_5V_OOR_FLT </t>
  </si>
  <si>
    <t>MRR_FL_RADAR_HW_Flt.MRR_FL_CF_TRANSMITTER_POWER_FLT </t>
  </si>
  <si>
    <t>MRR_FL_RADAR_HW_Flt.MRR_FL_CF_LOCAL_OSCILLTR_PWR_FLT</t>
  </si>
  <si>
    <t>MRR_FL_RADAR_HW_Flt.MRR_FL_PF_DSP_LOOP_OVFLN_FLT </t>
  </si>
  <si>
    <t>MRR_FL_RADAR_HW_Flt.MRR_FL_CF_PINPOSITION_FLT </t>
  </si>
  <si>
    <t>MRR_FL_RADAR_HW_Flt.MRR_FL_PF_FLUCORE_FLT </t>
  </si>
  <si>
    <t>MRR_FL_RADAR_HW_Flt.MRR_FL_PF_FLUBIST_FLT </t>
  </si>
  <si>
    <t>MRRFR_Internal_Performance</t>
  </si>
  <si>
    <t>MRRFR_Active_Fault.MRR_FR_RADAR_Hw_Flt</t>
  </si>
  <si>
    <t>MRR_FR_RADAR_HW_Flt.MRR_FR_PF_HST_PLL_LOCK_FAULT </t>
  </si>
  <si>
    <t>MRR_FR_RADAR_HW_Flt.MRR_FR_PF_TRANSMITTER_ID_FRT </t>
  </si>
  <si>
    <t>MRR_FR_RADAR_HW_Flt.MRR_FR_PF_SUPPLY_0_82V_OOR_FRT</t>
  </si>
  <si>
    <t>MRR_FR_RADAR_HW_Flt.MRR_FR_PF_SUPPLY_1_1V_OOR_FRT</t>
  </si>
  <si>
    <t>MRR_FR_RADAR_HW_Flt.MRR_FR_PF_SUPPLY_1_2_5V_OOR_FRT</t>
  </si>
  <si>
    <t>MRR_FR_RADAR_HW_Flt.MRR_FR_PF_SUPPLY_1_8V_OOR_FRT</t>
  </si>
  <si>
    <t>MRR_FR_RADAR_HW_Flt.MRR_FR_PF_SUPPLY_2_3V_OOR_FRT</t>
  </si>
  <si>
    <t>MRR_FR_RADAR_HW_Flt.MRR_FR_PF_SUPPLY_3_3V_OOR_FRT</t>
  </si>
  <si>
    <t>MRR_FR_RADAR_HW_Flt.MRR_FR_PF_SUPPLY_5V_OOR_FRT </t>
  </si>
  <si>
    <t>MRR_FR_RADAR_HW_Flt.MRR_FR_CF_TRANSMITTER_POWER_FRT </t>
  </si>
  <si>
    <t>MRR_FR_RADAR_HW_Flt.MRR_FR_CF_LOCAL_OSCILLTR_PWR_FRT</t>
  </si>
  <si>
    <t>MRR_FR_RADAR_HW_Flt.MRR_FR_PF_DSP_LOOP_OVFRN_FRT </t>
  </si>
  <si>
    <t>MRR_FR_RADAR_HW_Flt.MRR_FR_CF_PINPOSITION_FRT </t>
  </si>
  <si>
    <t>MRR_FR_RADAR_HW_Flt.MRR_FR_PF_FRUCORE_FRT </t>
  </si>
  <si>
    <t>MRR_FR_RADAR_HW_Flt.MRR_FR_PF_FRUBIST_FRT </t>
  </si>
  <si>
    <t>MRRRL_Active_Fault.MRR_RL_RADAR_Mem_Flt</t>
  </si>
  <si>
    <t>MRR_RL_RADAR_Mem_Flt.MRR_RL_PF_HST_APP_FLSHCHKSMFLT</t>
  </si>
  <si>
    <t>MRR_RL_RADAR_Mem_Flt.MRR_RL_PF_HST_KP_LV_FLSHCHKSMFLT</t>
  </si>
  <si>
    <t>MRR_RL_RADAR_Mem_Flt.MRR_RL_PF_SMC_CHECKSUM_FAULT</t>
  </si>
  <si>
    <t>MRR_RL_RADAR_Mem_Flt.MRR_RL_PF_USC_VALIDATION_FAULT</t>
  </si>
  <si>
    <t>MRR_RL_RADAR_Mem_Flt.MRR_RL_PF_HST_RAM_MEMRY_TST_FLT</t>
  </si>
  <si>
    <t>MRR_RL_RADAR_Mem_Flt.MRR_RL_PF_CORE2_TO_CORE0_IPC_FLT</t>
  </si>
  <si>
    <t>MRR_RL_RADAR_Mem_Flt.MRR_RL_PF_CORE0_TO_CORE2_IPC_FLT</t>
  </si>
  <si>
    <t>MRR_RL_RADAR_Mem_Flt.MRR_RL_PF_CORE1_TO_CORE2_IPC_FLT</t>
  </si>
  <si>
    <t>MRR_RL_RADAR_Mem_Flt.MRR_RL_PF_CORE2_TO_CORE1_IPC_FLT</t>
  </si>
  <si>
    <t>MRR_RL_RADAR_Mem_Flt.MRR_RL_PF_CORE0_TO_CORE1_IPC_FLT</t>
  </si>
  <si>
    <t>MRR_RL_RADAR_Mem_Flt.MRR_RL_PF_CORE1_TO_CORE0_IPC_FLT</t>
  </si>
  <si>
    <t>MRRRR_Active_Fault.MRR_RR_RADAR_Mem_Flt</t>
  </si>
  <si>
    <t>MRR_RR_RADAR_Mem_Flt.MRR_RR_PF_HST_APP_FLSHCHKSMFLT</t>
  </si>
  <si>
    <t>MRR_RR_RADAR_Mem_Flt.MRR_RR_PF_HST_KP_LV_FLSHCHKSMFLT</t>
  </si>
  <si>
    <t>MRR_RR_RADAR_Mem_Flt.MRR_RR_PF_SMC_CHECKSUM_FAULT</t>
  </si>
  <si>
    <t>MRR_RR_RADAR_Mem_Flt.MRR_RR_PF_USC_VALIDATION_FAULT</t>
  </si>
  <si>
    <t>MRR_RR_RADAR_Mem_Flt.MRR_RR_PF_HST_RAM_MEMRY_TST_FLT</t>
  </si>
  <si>
    <t>MRR_RR_RADAR_Mem_Flt.MRR_RR_PF_CORE2_TO_CORE0_IPC_FLT</t>
  </si>
  <si>
    <t>MRR_RR_RADAR_Mem_Flt.MRR_RR_PF_CORE0_TO_CORE2_IPC_FLT</t>
  </si>
  <si>
    <t>MRR_RR_RADAR_Mem_Flt.MRR_RR_PF_CORE1_TO_CORE2_IPC_FLT</t>
  </si>
  <si>
    <t>MRR_RR_RADAR_Mem_Flt.MRR_RR_PF_CORE2_TO_CORE1_IPC_FLT</t>
  </si>
  <si>
    <t>MRR_RR_RADAR_Mem_Flt.MRR_RR_PF_CORE0_TO_CORE1_IPC_FLT</t>
  </si>
  <si>
    <t>MRR_RR_RADAR_Mem_Flt.MRR_RR_PF_CORE1_TO_CORE0_IPC_FLT</t>
  </si>
  <si>
    <t>MRRFL_Active_Fault.MRR_FL_RADAR_Mem_Flt</t>
  </si>
  <si>
    <t>MRR_FL_RADAR_Mem_Flt.MRR_FL_PF_HST_APP_FLSHCHKSMFLT</t>
  </si>
  <si>
    <t>MRR_FL_RADAR_Mem_Flt.MRR_FL_PF_HST_KP_LV_FLSHCHKSMFLT</t>
  </si>
  <si>
    <t>MRR_FL_RADAR_Mem_Flt.MRR_FL_PF_SMC_CHECKSUM_FAULT</t>
  </si>
  <si>
    <t>MRR_FL_RADAR_Mem_Flt.MRR_FL_PF_USC_VALIDATION_FAULT</t>
  </si>
  <si>
    <t>MRR_FL_RADAR_Mem_Flt.MRR_FL_PF_HST_RAM_MEMRY_TST_FLT</t>
  </si>
  <si>
    <t>MRR_FL_RADAR_Mem_Flt.MRR_FL_PF_CORE2_TO_CORE0_IPC_FLT</t>
  </si>
  <si>
    <t>MRR_FL_RADAR_Mem_Flt.MRR_FL_PF_CORE0_TO_CORE2_IPC_FLT</t>
  </si>
  <si>
    <t>MRR_FL_RADAR_Mem_Flt.MRR_FL_PF_CORE1_TO_CORE2_IPC_FLT</t>
  </si>
  <si>
    <t>MRR_FL_RADAR_Mem_Flt.MRR_FL_PF_CORE2_TO_CORE1_IPC_FLT</t>
  </si>
  <si>
    <t>MRR_FL_RADAR_Mem_Flt.MRR_FL_PF_CORE0_TO_CORE1_IPC_FLT</t>
  </si>
  <si>
    <t>MRR_FL_RADAR_Mem_Flt.MRR_FL_PF_CORE1_TO_CORE0_IPC_FLT</t>
  </si>
  <si>
    <t>MRRFR_Active_Fault.MRR_FR_RADAR_Mem_Flt</t>
  </si>
  <si>
    <t>MRR_FR_RADAR_Mem_Flt.MRR_FR_PF_HST_APP_FRSHCHKSMFLT</t>
  </si>
  <si>
    <t>MRR_FR_RADAR_Mem_Flt.MRR_FR_PF_HST_KP_LV_FRSHCHKSMFLT</t>
  </si>
  <si>
    <t>MRR_FR_RADAR_Mem_Flt.MRR_FR_PF_SMC_CHECKSUM_FAULT</t>
  </si>
  <si>
    <t>MRR_FR_RADAR_Mem_Flt.MRR_FR_PF_USC_VALIDATION_FAULT</t>
  </si>
  <si>
    <t>MRR_FR_RADAR_Mem_Flt.MRR_FR_PF_HST_RAM_MEMRY_TST_FLT</t>
  </si>
  <si>
    <t>MRR_FR_RADAR_Mem_Flt.MRR_FR_PF_CORE2_TO_CORE0_IPC_FLT</t>
  </si>
  <si>
    <t>MRR_FR_RADAR_Mem_Flt.MRR_FR_PF_CORE0_TO_CORE2_IPC_FLT</t>
  </si>
  <si>
    <t>MRR_FR_RADAR_Mem_Flt.MRR_FR_PF_CORE1_TO_CORE2_IPC_FLT</t>
  </si>
  <si>
    <t>MRR_FR_RADAR_Mem_Flt.MRR_FR_PF_CORE2_TO_CORE1_IPC_FLT</t>
  </si>
  <si>
    <t>MRR_FR_RADAR_Mem_Flt.MRR_FR_PF_CORE0_TO_CORE1_IPC_FLT</t>
  </si>
  <si>
    <t>MRR_FR_RADAR_Mem_Flt.MRR_FR_PF_CORE1_TO_CORE0_IPC_FLT</t>
  </si>
  <si>
    <t>MRRRL_Active_Fault.MRR_RL_RADAR_Sw_Flt</t>
  </si>
  <si>
    <t>MRR_RL_RADAR_Sw_Flt.MRR_RL_PF_WATCHDOG_FAULT</t>
  </si>
  <si>
    <t>MRR_RL_RADAR_Sw_Flt.MRR_RL_PF_STACK_OVERFLOW_FAULT</t>
  </si>
  <si>
    <t>MRR_RL_RADAR_Sw_Flt.MRR_RL_PF_HST_INSTR_SET_CHCKFLT</t>
  </si>
  <si>
    <t>MRR_RL_RADAR_Sw_Flt.MRR_RL_CF_CORE1_HALTED</t>
  </si>
  <si>
    <t>MRR_RL_RADAR_Sw_Flt.MRR_RL_CF_CORE2_HALTED</t>
  </si>
  <si>
    <t>MRRRR_Active_Fault.MRR_RR_RADAR_Sw_Flt</t>
  </si>
  <si>
    <t>MRR_RR_RADAR_Sw_Flt.MRR_RR_PF_WATCHDOG_FAULT</t>
  </si>
  <si>
    <t>MRR_RR_RADAR_Sw_Flt.MRR_RR_PF_STACK_OVERFLOW_FAULT</t>
  </si>
  <si>
    <t>MRR_RR_RADAR_Sw_Flt.MRR_RR_PF_HST_INSTR_SET_CHCKFLT</t>
  </si>
  <si>
    <t>MRR_RR_RADAR_Sw_Flt.MRR_RR_CF_CORE1_HALTED</t>
  </si>
  <si>
    <t>MRR_RR_RADAR_Sw_Flt.MRR_RR_CF_CORE2_HALTED</t>
  </si>
  <si>
    <t>MRRFL_Active_Fault.MRR_FL_RADAR_Sw_Flt</t>
  </si>
  <si>
    <t>MRR_FL_RADAR_Sw_Flt.MRR_FL_PF_WATCHDOG_FAULT</t>
  </si>
  <si>
    <t>MRR_FL_RADAR_Sw_Flt.MRR_FL_PF_STACK_OVERFLOW_FAULT</t>
  </si>
  <si>
    <t>MRR_FL_RADAR_Sw_Flt.MRR_FL_PF_HST_INSTR_SET_CHCKFLT</t>
  </si>
  <si>
    <t>MRR_FL_RADAR_Sw_Flt.MRR_FL_CF_CORE1_HALTED</t>
  </si>
  <si>
    <t>MRR_FL_RADAR_Sw_Flt.MRR_FL_CF_CORE2_HALTED</t>
  </si>
  <si>
    <t>MRRFR_Active_Fault.MRR_FR_RADAR_Sw_Flt</t>
  </si>
  <si>
    <t>MRR_FR_RADAR_Sw_Flt.MRR_FR_PF_WATCHDOG_FAULT</t>
  </si>
  <si>
    <t>MRR_FR_RADAR_Sw_Flt.MRR_FR_PF_STACK_OVERFLOW_FAULT</t>
  </si>
  <si>
    <t>MRR_FR_RADAR_Sw_Flt.MRR_FR_PF_HST_INSTR_SET_CHCKFLT</t>
  </si>
  <si>
    <t>MRR_FR_RADAR_Sw_Flt.MRR_FR_CF_CORE1_HALTED</t>
  </si>
  <si>
    <t>MRR_FR_RADAR_Sw_Flt.MRR_FR_CF_CORE2_HALTED</t>
  </si>
  <si>
    <t>Calibration_Not_Learned</t>
  </si>
  <si>
    <t>ADCAM_Active_DTC.LRCF_Calibration_Not_Learned</t>
  </si>
  <si>
    <t>Missing_Camera_Calibration_Fault == TRUE</t>
  </si>
  <si>
    <t>LRCF_Sensor_Blinded</t>
  </si>
  <si>
    <t>ADCAM_Active_DTC.LRCF_Sensor_Blinded</t>
  </si>
  <si>
    <t>Full_Blockage_Fault &amp;&amp; k_Full_Blockage_Flag</t>
  </si>
  <si>
    <t>MRRRL_Sensor_Blinded</t>
  </si>
  <si>
    <t>ADCAM_Active_DTC.MRRRL_Sensor_Blinded</t>
  </si>
  <si>
    <t>MRR_RL_RADAR_Blocked_Flt.MRR_RL_MNRBlockage_Flt</t>
  </si>
  <si>
    <t>MRRRR_Sensor_Blinded</t>
  </si>
  <si>
    <t>ADCAM_Active_DTC.MRRRR_Sensor_Blinded</t>
  </si>
  <si>
    <t>MRR_RR_RADAR_Blocked_Flt.MRR_RR_MNRBlockage_Flt</t>
  </si>
  <si>
    <t>MRRFL_Sensor_Blinded</t>
  </si>
  <si>
    <t>ADCAM_Active_DTC.MRRFL_Sensor_Blinded</t>
  </si>
  <si>
    <t>MRR_FL_RADAR_Blocked_Flt.MRR_FL_MNRBlockage_Flt</t>
  </si>
  <si>
    <t>MRRFR_Sensor_Blinded</t>
  </si>
  <si>
    <t>ADCAM_Active_DTC.MRRFR_Sensor_Blinded</t>
  </si>
  <si>
    <t>MRR_FR_RADAR_Blocked_Flt.MRR_FR_MNRBlockage_Flt</t>
  </si>
  <si>
    <t>LRCF_Sensor_Adjustment_Required</t>
  </si>
  <si>
    <t>ADCAM_Active_DTC.LRCF_Sensor_Adjustment_Required</t>
  </si>
  <si>
    <t>Vision_TSROutOfCalib_Yaw_Fault</t>
  </si>
  <si>
    <t>Vision_TSROutOfCalib_horizon_Fault</t>
  </si>
  <si>
    <t>Vision_OutofCalibration_Fault == TRUE</t>
  </si>
  <si>
    <t>MRRRL_Sensor_Adjustment_Required</t>
  </si>
  <si>
    <t>ADCAM_Active_DTC.MRRRL_Sensor_Adjustment_Required</t>
  </si>
  <si>
    <t>MRR_RL_RADAR_Align_Flt.MRR_RL_PF_HOR_ALIGN_OOR_FLT</t>
  </si>
  <si>
    <t>MRR_RL_RADAR_Align_Flt.MRR_RL_PF_ALIGN_ROUT_FAILED_FLT </t>
  </si>
  <si>
    <t>MRR_RL_RADAR_Align_Flt.MRR_RL_PF_VER_ALIGN_OOR_FLT</t>
  </si>
  <si>
    <t>MRRRR_Sensor_Adjustment_Required</t>
  </si>
  <si>
    <t>ADCAM_Active_DTC.MRRRR_Sensor_Adjustment_Required</t>
  </si>
  <si>
    <t>MRR_RR_RADAR_Align_Flt.MRR_RR_PF_HOR_ALIGN_OOR_FLT</t>
  </si>
  <si>
    <t>MRR_RR_RADAR_Align_Flt.MRR_RR_PF_ALIGN_ROUT_FAILED_FLT </t>
  </si>
  <si>
    <t>MRR_RR_RADAR_Align_Flt.MRR_RR_PF_VER_ALIGN_OOR_FLT</t>
  </si>
  <si>
    <t>MRRFL_Sensor_Adjustment_Required</t>
  </si>
  <si>
    <t>ADCAM_Active_DTC.MRRFL_Sensor_Adjustment_Required</t>
  </si>
  <si>
    <t>MRR_FL_RADAR_Align_Flt.MRR_FL_PF_HOR_ALIGN_OOR_FLT</t>
  </si>
  <si>
    <t>MRR_FL_RADAR_Align_Flt.MRR_FL_PF_ALIGN_ROUT_FAILED_FLT </t>
  </si>
  <si>
    <t>MRR_FL_RADAR_Align_Flt.MRR_FL_PF_VER_ALIGN_OOR_FLT</t>
  </si>
  <si>
    <t>MRRFR_Sensor_Adjustment_Required</t>
  </si>
  <si>
    <t>ADCAM_Active_DTC.MRRFR_Sensor_Adjustment_Required</t>
  </si>
  <si>
    <t>MRR_FR_RADAR_Align_Flt.MRR_FR_PF_HOR_ALIGN_OOR_FLT</t>
  </si>
  <si>
    <t>MRR_FR_RADAR_Align_Flt.MRR_FR_PF_ALIGN_ROUT_FAILED_FLT</t>
  </si>
  <si>
    <t>MRR_FR_RADAR_Align_Flt.MRR_FR_PF_VER_ALIGN_OOR_FLT</t>
  </si>
  <si>
    <t>ECU_Over_Temperature</t>
  </si>
  <si>
    <t>ADCAM_Active_Fault.Host_On_Board_Thermistor_Over_Temp</t>
  </si>
  <si>
    <t>SysOverTemp_Flt.Host_On_Board_Thermistor_Over_Temp</t>
  </si>
  <si>
    <t xml:space="preserve">Disabled </t>
  </si>
  <si>
    <t>ADCAM_Active_Fault.EyeQ_On_Board_Thermistor_Over_Temp</t>
  </si>
  <si>
    <t>SysOverTemp_Flt.EyeQ_On_Board_Thermistor_Over_Temp</t>
  </si>
  <si>
    <t>ADCAM_Active_Fault.EyeQ_MIPS_Over_Temp</t>
  </si>
  <si>
    <t>SysOverTemp_Flt.EyeQ_MIPS_Over_Temp</t>
  </si>
  <si>
    <t>ADCAM_Active_Fault.DDR_On_Board_Thermistor_Over_Temp</t>
  </si>
  <si>
    <t>SysOverTemp_Flt.DDR_On_Board_Thermistor_Over_Temp</t>
  </si>
  <si>
    <t>ADCAM_Active_Fault.DTS_STAT_Over_Temp</t>
  </si>
  <si>
    <t>SysOverTemp_Flt.EyeQ_VMP_Over_Temp</t>
  </si>
  <si>
    <t>ADCAM_Active_Fault.DTS_CSTAT_Over_Temp</t>
  </si>
  <si>
    <t>SysOverTemp_Flt.DTS_STAT_Over_Temp</t>
  </si>
  <si>
    <t>ADCAM_Active_Fault.EyeQ_VMP_Over_Temp</t>
  </si>
  <si>
    <t>SysOverTemp_Flt.DTS_CSTAT_Over_Temp</t>
  </si>
  <si>
    <t>MRRRL_Over_Temperature</t>
  </si>
  <si>
    <t>ADCAM_Active_DTC.MRRRL_Over_Temperature</t>
  </si>
  <si>
    <t>MRR_RL_RADAR_Temp_Flt.MRR_RL_PF_MICRO_TEMP_HIGH_FLT</t>
  </si>
  <si>
    <t>MRR_RL_RADAR_Temp_Flt.MRR_RL_PF_XMITTER_TEMP_HIGH_FLT </t>
  </si>
  <si>
    <t>MRRRR_Over_Temperature</t>
  </si>
  <si>
    <t>ADCAM_Active_DTC.MRRRR_Over_Temperature</t>
  </si>
  <si>
    <t>MRR_RR_RADAR_Temp_Flt.MRR_RR_PF_MICRO_TEMP_HIGH_FLT</t>
  </si>
  <si>
    <t>MRR_RR_RADAR_Temp_Flt.MRR_RR_PF_XMITTER_TEMP_HIGH_FLT </t>
  </si>
  <si>
    <t>MRRFL_Over_Temperature</t>
  </si>
  <si>
    <t>ADCAM_Active_DTC.MRRFL_Over_Temperature</t>
  </si>
  <si>
    <t>MRR_FL_RADAR_Temp_Flt.MRR_FL_PF_MICRO_TEMP_HIGH_FLT</t>
  </si>
  <si>
    <t>MRR_FL_RADAR_Temp_Flt.MRR_FL_PF_XMITTER_TEMP_HIGH_FLT </t>
  </si>
  <si>
    <t>MRRFR_Over_Temperature</t>
  </si>
  <si>
    <t>ADCAM_Active_DTC.MRRFR_Over_Temperature</t>
  </si>
  <si>
    <t>MRR_FR_RADAR_Temp_Flt.MRR_FR_PF_MICRO_TEMP_HIGH_FLT</t>
  </si>
  <si>
    <t>MRR_FR_RADAR_Temp_Flt.MRR_FR_PF_XMITTER_TEMP_HIGH_FLT </t>
  </si>
  <si>
    <t>Battery_Voltage_Below_Threshold</t>
  </si>
  <si>
    <t>ADCAM_Active_Fault.Battery_Low_Fault</t>
  </si>
  <si>
    <t>Battery_Low_Fault</t>
  </si>
  <si>
    <t>Battery_Voltage_Circuit_Voltage_Above_Threshold</t>
  </si>
  <si>
    <t>ADCAM_Active_Fault.Battery_Above_Threshold_Fault</t>
  </si>
  <si>
    <t>Battery_Above_Threshold_Fault</t>
  </si>
  <si>
    <t>Current_VIN_Missing/Mismatch</t>
  </si>
  <si>
    <t>ADCAM_Active_DTC.Current_VIN_Missing</t>
  </si>
  <si>
    <t>ECU_In_Plant_Mode</t>
  </si>
  <si>
    <t>ADCAM_Active_DTC.ECU_In_Plant_Mode</t>
  </si>
  <si>
    <t>ADCAM_Active_DTC.Camera_Heater_Failure_Open_Load</t>
  </si>
  <si>
    <t>Open_Load_Heater_Failure</t>
  </si>
  <si>
    <t>Camera "A" Heater Control - Short2GND</t>
  </si>
  <si>
    <t>ADCAM_Active_DTC.Camera_Heater_Failure_STG  </t>
  </si>
  <si>
    <t>Short2GND_Heater_Failure</t>
  </si>
  <si>
    <t>Camera "A" Heater Control - Short2Batt</t>
  </si>
  <si>
    <t>ADCAM_Active_DTC.Camera_Heater_Failure_STB</t>
  </si>
  <si>
    <t>Over_Current_Heater_Failure</t>
  </si>
  <si>
    <t>Short2Batt_Heature_Failure</t>
  </si>
  <si>
    <t>ADCAM_Active_DTC.Active_Lane_Management_Switch_Stuck</t>
  </si>
  <si>
    <t>If (BCM_FD_26.LKA_RequestSts == PRESSED) { Active_Lane_Management_Switch_Stuck = TRUE}</t>
  </si>
  <si>
    <t>Speed_Control_Switch_Stuck</t>
  </si>
  <si>
    <t>ADCAM_Active_DTC.Speed_Control_Switch_Stuck</t>
  </si>
  <si>
    <t>HAS_OnOffSts == " PRESSED"</t>
  </si>
  <si>
    <t>ACC_On == TRUE</t>
  </si>
  <si>
    <t>CruiseControlOnOffSts == TRUE</t>
  </si>
  <si>
    <t>AcceleratorSts == TRUE</t>
  </si>
  <si>
    <t>DeceleratorSts == TRUE</t>
  </si>
  <si>
    <t>SpeedLimiterOnOffSts == TRUE</t>
  </si>
  <si>
    <t>ACC_DistSwDec == TRUE</t>
  </si>
  <si>
    <t>ACC_DistSwInc == TRUE</t>
  </si>
  <si>
    <t>ResumeSwitch == TRUE</t>
  </si>
  <si>
    <t>CrusCnclSwitch == TRUE</t>
  </si>
  <si>
    <t>Bus_OFF_CAN_FD14</t>
  </si>
  <si>
    <t>Bus OFF-CAN FD14</t>
  </si>
  <si>
    <t>ADCAM_Active_DTC.Bus_OFF_CAN_FD14</t>
  </si>
  <si>
    <t>Bus_OFF_CAN_FD3</t>
  </si>
  <si>
    <t>Bus OFF-CAN FD3</t>
  </si>
  <si>
    <t>ADCAM_Active_DTC.Bus_OFF_CAN_FD3</t>
  </si>
  <si>
    <t>Bus_OFF_CAN_FDSB1</t>
  </si>
  <si>
    <t>ADCAM_Active_DTC.Bus_OFF_CAN_FDSB1</t>
  </si>
  <si>
    <t>Bus_OFF_CAN_FDSB2</t>
  </si>
  <si>
    <t>ADCAM_Active_DTC.Bus_OFF_CAN_FDSB2</t>
  </si>
  <si>
    <t>ECU_Application_Software_Mismatch</t>
  </si>
  <si>
    <t>ADCAM_Active_Fault.Host_Cal_Complete_And_Compatible</t>
  </si>
  <si>
    <t>Host_Cal_Complete_And_Compatible == TRUE</t>
  </si>
  <si>
    <t>ADCAM_Active_Fault.MRRRL_Software_Compatibility_Fault</t>
  </si>
  <si>
    <t>MRRRL_Software_Compatibility_Fault == TRUE</t>
  </si>
  <si>
    <t>ADCAM_Active_Fault.MRRRR_Software_Compatibility_Fault</t>
  </si>
  <si>
    <t>MRRRR_Software_Compatibility_Fault == TRUE</t>
  </si>
  <si>
    <t>ADCAM_Active_Fault.MRRFL_Software_Compatibility_Fault</t>
  </si>
  <si>
    <t>MRRFL_Software_Compatibility_Fault == TRUE</t>
  </si>
  <si>
    <t>ADCAM_Active_Fault.MRRFR_Software_Compatibility_Fault</t>
  </si>
  <si>
    <t>MRRFR_Software_Compatibility_Fault == TRUE</t>
  </si>
  <si>
    <t>ADCAM_Active_Fault.LRRF_Software_Compatibility_Fault</t>
  </si>
  <si>
    <t>LRRF_Software_Compatibility_Fault == TRUE</t>
  </si>
  <si>
    <t>ADCAM_Active_Fault.EyeQ_SW_version_mismatch</t>
  </si>
  <si>
    <t>API_Version_mismatch</t>
  </si>
  <si>
    <t>EyeQ_Fatal_Error.EyeQ_Fatal_Error_App_Init_Camera_Init_Fault </t>
  </si>
  <si>
    <t>EyeQ_Fatal_Error.EyeQ_Fatal_Error_App_I2C_Video_Grab_Failed_Fault</t>
  </si>
  <si>
    <t>EyeQ_Fatal_Error.EyeQ_Fatal_Error_App_I2C_Timeout_Error_Fault </t>
  </si>
  <si>
    <t>EyeQ_Fatal_Error.EyeQ_Fatal_Error_App_Pattern_Test_Fault </t>
  </si>
  <si>
    <t xml:space="preserve"> EyeQ_Fatal_Error.EyeQ_Fatal_Error_App_Cam_Params_Ccft_Crc_Failed_Fault </t>
  </si>
  <si>
    <t>LostComm_LRRF</t>
  </si>
  <si>
    <t>Lost Communication With Front Radar</t>
  </si>
  <si>
    <t>ADCAM_Active_DTC.LostComm_LRRF</t>
  </si>
  <si>
    <t>ARP_Timeout</t>
  </si>
  <si>
    <t>Limited
 Disable ELK Oncoming - No HMI or Fault</t>
  </si>
  <si>
    <t>Missing_Msg_LRRF_Active_Fault_Status</t>
  </si>
  <si>
    <t>LostComm_MRRRL</t>
  </si>
  <si>
    <t xml:space="preserve">Lost Communication With Left Rear Radar </t>
  </si>
  <si>
    <t>ADCAM_Active_DTC.LostComm_MRRRL</t>
  </si>
  <si>
    <t>MRRRLInitTimeOut</t>
  </si>
  <si>
    <t>MRR_RL_Missing_Msg.Missing_Msg_MRR_RL_Active_Fault_Status</t>
  </si>
  <si>
    <t>LostComm_MRRRR</t>
  </si>
  <si>
    <t xml:space="preserve">Lost Communication With Right Rear Radar </t>
  </si>
  <si>
    <t>ADCAM_Active_DTC.LostComm_MRRRR</t>
  </si>
  <si>
    <t>MRRRRInitTimeOut</t>
  </si>
  <si>
    <t> MRR_RR_Missing_Msg.Missing_Msg_MRR_RR_Active_Fault_Status</t>
  </si>
  <si>
    <t>LostComm_MRRFL</t>
  </si>
  <si>
    <t xml:space="preserve">Lost Communication With Left Front Radar </t>
  </si>
  <si>
    <t>ADCAM_Active_DTC.LostComm_MRRFL</t>
  </si>
  <si>
    <t>MRRFLInitTimeOut</t>
  </si>
  <si>
    <t> MRR_FL_Missing_Msg.Missing_Msg_MRR_FL_Active_Fault_Status</t>
  </si>
  <si>
    <t>LostComm_MRRFR</t>
  </si>
  <si>
    <t xml:space="preserve">Lost Communication With Right Front Radar </t>
  </si>
  <si>
    <t>ADCAM_Active_DTC.LostComm_MRRFR</t>
  </si>
  <si>
    <t>MRRFRInitTimeOut</t>
  </si>
  <si>
    <t> MRR_FR_Missing_Msg.Missing_Msg_MRR_FR_Active_Fault_Status</t>
  </si>
  <si>
    <t>LostComm_ECVU2</t>
  </si>
  <si>
    <t>Lost Communication With Electric Vehicle Control Unit 2</t>
  </si>
  <si>
    <t>Pp_Missing_Msg_AXLE_TORQUE_FD_1</t>
  </si>
  <si>
    <t>Missing_Msg_AXLE_TORQUE_FD_1</t>
  </si>
  <si>
    <t>Pp_Missing_Msg_PT_TORQUE_FD_1</t>
  </si>
  <si>
    <t>Missing_Msg_PT_TORQUE_FD_1</t>
  </si>
  <si>
    <t>Pp_Missing_Msg_PT_SYSTEM_FD_1</t>
  </si>
  <si>
    <t>Missing_Msg_PT_SYSTEM_FD_1</t>
  </si>
  <si>
    <t>LostComm_BSM</t>
  </si>
  <si>
    <t xml:space="preserve">Pp_Missing_Msg_BRAKE_FD_1 </t>
  </si>
  <si>
    <t xml:space="preserve">Missing_Msg_BRAKE_FD_1 </t>
  </si>
  <si>
    <t xml:space="preserve">Pp_Missing_Msg_BRAKE_FD_2 </t>
  </si>
  <si>
    <t xml:space="preserve">Missing_Msg_BRAKE_FD_2 </t>
  </si>
  <si>
    <t xml:space="preserve">Pp_Missing_Msg_BRAKE_FD_3 </t>
  </si>
  <si>
    <t xml:space="preserve">Missing_Msg_BRAKE_FD_3 </t>
  </si>
  <si>
    <t xml:space="preserve">Pp_Missing_Msg_BRAKE_FD_4 </t>
  </si>
  <si>
    <t xml:space="preserve">Missing_Msg_BRAKE_FD_4 </t>
  </si>
  <si>
    <t>Pp_Missing_Msg_BRAKE_FD_5</t>
  </si>
  <si>
    <t>Missing_Msg_BRAKE_FD_5</t>
  </si>
  <si>
    <t>Pp_Missing_Msg_BRAKE_FD_7</t>
  </si>
  <si>
    <t>Missing_Msg_BRAKE_FD_7</t>
  </si>
  <si>
    <t>LostComm_EPS</t>
  </si>
  <si>
    <t>Pp_Missing_Msg_EPS_FD_1</t>
  </si>
  <si>
    <t>Missing_Msg_EPS_FD_1</t>
  </si>
  <si>
    <t>LostComm_BCM</t>
  </si>
  <si>
    <t xml:space="preserve">Pp_Missing_Msg_BCM_FD_10 </t>
  </si>
  <si>
    <t xml:space="preserve">Missing_Msg_BCM_FD_10 </t>
  </si>
  <si>
    <t>Pp_Missing_Msg_BCM_FD_2</t>
  </si>
  <si>
    <t>Missing_Msg_BCM_FD_2</t>
  </si>
  <si>
    <t xml:space="preserve">Pp_Missing_Msg_BCM_FD_3 </t>
  </si>
  <si>
    <t xml:space="preserve">Missing_Msg_BCM_FD_3 </t>
  </si>
  <si>
    <t>Pp_Missing_Msg_BCM_FD_9</t>
  </si>
  <si>
    <t>Missing_Msg_BCM_FD_9</t>
  </si>
  <si>
    <t xml:space="preserve">Pp_Missing_Msg_BCM_FD_26 </t>
  </si>
  <si>
    <t xml:space="preserve">Missing_Msg_BCM_FD_26 </t>
  </si>
  <si>
    <t xml:space="preserve">Pp_Missing_Msg_BCM_FD_27 </t>
  </si>
  <si>
    <t xml:space="preserve">Missing_Msg_BCM_FD_27 </t>
  </si>
  <si>
    <t>Pp_Missing_Msg_BCM_FD_29</t>
  </si>
  <si>
    <t>Missing_Msg_BCM_FD_29</t>
  </si>
  <si>
    <t>Pp_Missing_Msg_SCCM_FD_3</t>
  </si>
  <si>
    <t>Missing_Msg_SCCM_FD_3</t>
  </si>
  <si>
    <t>LostComm_Cluster</t>
  </si>
  <si>
    <t xml:space="preserve">Pp_Missing_Msg_IPC_VEHICLE_SETUP </t>
  </si>
  <si>
    <t xml:space="preserve">Missing_Msg_IPC_VEHICLE_SETUP </t>
  </si>
  <si>
    <t xml:space="preserve">Pp_Missing_Msg_IPC_FD_1 </t>
  </si>
  <si>
    <t xml:space="preserve">Missing_Msg_IPC_FD_1 </t>
  </si>
  <si>
    <t>Disabled
Note: Only in Plant Mode</t>
  </si>
  <si>
    <t>LostComm_ORC</t>
  </si>
  <si>
    <t>Pp_Missing_Msg_ORC_FD_1</t>
  </si>
  <si>
    <t>Missing_Msg_ORC_FD_1</t>
  </si>
  <si>
    <t xml:space="preserve">Pp_Missing_Msg_ORC_FD_3 </t>
  </si>
  <si>
    <t xml:space="preserve">Missing_Msg_ORC_FD_3 </t>
  </si>
  <si>
    <t>LostComm_Security_Gateway</t>
  </si>
  <si>
    <t xml:space="preserve">Pp_Missing_Msg_TELEMATIC_FD_11 </t>
  </si>
  <si>
    <t xml:space="preserve">Missing_Msg_TELEMATIC_FD_11 </t>
  </si>
  <si>
    <t>Pp_Missing_Msg_TELEMATIC_FD_9</t>
  </si>
  <si>
    <t>Missing_Msg_TELEMATIC_FD_9</t>
  </si>
  <si>
    <t>Implausible_Data_Cluster</t>
  </si>
  <si>
    <t>Implausible Data from Cluster</t>
  </si>
  <si>
    <t>Pp_CRC_Fail_IPC_VEHICLE_SETUP</t>
  </si>
  <si>
    <t>CRC_Fail_IPC_VEHICLE_SETUP</t>
  </si>
  <si>
    <t>Pp_CRC_Fail_IPC_FD_1</t>
  </si>
  <si>
    <t>CRC_Fail_IPC_FD_1</t>
  </si>
  <si>
    <t>Pp_MC_Fail_IPC_FD_1</t>
  </si>
  <si>
    <t>MC_Fail_IPC_FD_1</t>
  </si>
  <si>
    <t>Pp_MC_Fail_IPC_VEHICLE_SETUP</t>
  </si>
  <si>
    <t>MC_Fail_IPC_VEHICLE_SETUP</t>
  </si>
  <si>
    <t>Implausible_Data_Rcv_LRRF</t>
  </si>
  <si>
    <t>ADCAM_Active_DTC.Implausible_Data_Rcv_LRRF</t>
  </si>
  <si>
    <t>LRRF_Active_Fault_Status_CRC</t>
  </si>
  <si>
    <t>LRRF_Active_Fault_Status_MC</t>
  </si>
  <si>
    <t>LRRF_CRC_ADCAMSgnlActlVal_Flt</t>
  </si>
  <si>
    <t>LRRF_CRC_RadarCfgParameter_Flt</t>
  </si>
  <si>
    <t>LRRF_CRC_VehicleState_Flt</t>
  </si>
  <si>
    <t>LRRF_MC_ADCAMSgnlActlVal_Flt</t>
  </si>
  <si>
    <t>LRRF_MC_TrigControl_Flt</t>
  </si>
  <si>
    <t>LRRF_MC_VehicleState_Flt</t>
  </si>
  <si>
    <t>LRRF_AA_Header_AlignmentState_CRC</t>
  </si>
  <si>
    <t>LRRF_AB_Header_AlignmentState_MC</t>
  </si>
  <si>
    <t>LRRF_AA_Header_SensorCoverage_CRC</t>
  </si>
  <si>
    <t>LRRF_AB_Header_SensorCoverage_MC</t>
  </si>
  <si>
    <t>LRRF_AA_Header_Timestamps_CRC</t>
  </si>
  <si>
    <t>LRRF_AB_Header_Timestamps_MC</t>
  </si>
  <si>
    <t>LRRF_AA_Status_Radar_CRC</t>
  </si>
  <si>
    <t>LRRF_AB_Status_Radar_MC</t>
  </si>
  <si>
    <t>Implausible_Data_Rcv_MRRRL</t>
  </si>
  <si>
    <t xml:space="preserve">Implausible Data Received From Left Rear Radar </t>
  </si>
  <si>
    <t>ADCAM_Active_DTC.Implausible_Data_Rcv_MRRRL</t>
  </si>
  <si>
    <t>MRR_RL_DET_MC_Flt.MRR_RL_DET_MC_001</t>
  </si>
  <si>
    <t>MRR_RL_DET_MC_Flt.MRR_RL_DET_MC_002</t>
  </si>
  <si>
    <t>MRR_RL_DET_MC_Flt.MRR_RL_DET_MC_003</t>
  </si>
  <si>
    <t>MRR_RL_DET_MC_Flt.MRR_RL_DET_MC_004</t>
  </si>
  <si>
    <t>MRR_RL_DET_MC_Flt.MRR_RL_DET_MC_005</t>
  </si>
  <si>
    <t>MRR_RL_DET_MC_Flt.MRR_RL_DET_MC_006</t>
  </si>
  <si>
    <t>MRR_RL_DET_MC_Flt.MRR_RL_DET_MC_007</t>
  </si>
  <si>
    <t>MRR_RL_DET_MC_Flt.MRR_RL_DET_MC_008</t>
  </si>
  <si>
    <t>MRR_RL_DET_MC_Flt.MRR_RL_DET_MC_009</t>
  </si>
  <si>
    <t>MRR_RL_DET_MC_Flt.MRR_RL_DET_MC_010</t>
  </si>
  <si>
    <t>MRR_RL_DET_MC_Flt.MRR_RL_DET_MC_011</t>
  </si>
  <si>
    <t>MRR_RL_DET_MC_Flt.MRR_RL_DET_MC_012</t>
  </si>
  <si>
    <t>MRR_RL_DET_MC_Flt.MRR_RL_DET_MC_013</t>
  </si>
  <si>
    <t>MRR_RL_DET_MC_Flt.MRR_RL_DET_MC_014</t>
  </si>
  <si>
    <t>MRR_RL_DET_MC_Flt.MRR_RL_DET_MC_015</t>
  </si>
  <si>
    <t>MRR_RL_DET_MC_Flt.MRR_RL_DET_MC_016</t>
  </si>
  <si>
    <t>MRR_RL_DET_CRC_Flt.MRR_RL_DET_CRC_001</t>
  </si>
  <si>
    <t>MRR_RL_DET_CRC_Flt.MRR_RL_DET_CRC_002</t>
  </si>
  <si>
    <t>MRR_RL_DET_CRC_Flt.MRR_RL_DET_CRC_003</t>
  </si>
  <si>
    <t>MRR_RL_DET_CRC_Flt.MRR_RL_DET_CRC_004</t>
  </si>
  <si>
    <t>MRR_RL_DET_CRC_Flt.MRR_RL_DET_CRC_005</t>
  </si>
  <si>
    <t>MRR_RL_DET_CRC_Flt.MRR_RL_DET_CRC_006</t>
  </si>
  <si>
    <t>MRR_RL_DET_CRC_Flt.MRR_RL_DET_CRC_007</t>
  </si>
  <si>
    <t>MRR_RL_DET_CRC_Flt.MRR_RL_DET_CRC_008</t>
  </si>
  <si>
    <t>MRR_RL_DET_CRC_Flt.MRR_RL_DET_CRC_009</t>
  </si>
  <si>
    <t>MRR_RL_DET_CRC_Flt.MRR_RL_DET_CRC_010</t>
  </si>
  <si>
    <t>MRR_RL_DET_CRC_Flt.MRR_RL_DET_CRC_011</t>
  </si>
  <si>
    <t>MRR_RL_DET_CRC_Flt.MRR_RL_DET_CRC_012</t>
  </si>
  <si>
    <t>MRR_RL_DET_CRC_Flt.MRR_RL_DET_CRC_013</t>
  </si>
  <si>
    <t>MRR_RL_DET_CRC_Flt.MRR_RL_DET_CRC_014</t>
  </si>
  <si>
    <t>MRR_RL_DET_CRC_Flt.MRR_RL_DET_CRC_015</t>
  </si>
  <si>
    <t>MRR_RL_DET_CRC_Flt.MRR_RL_DET_CRC_016</t>
  </si>
  <si>
    <t>Implausible_Data_Rcv_MRRRR</t>
  </si>
  <si>
    <t xml:space="preserve">Implausible Data Received From Right Rear Radar </t>
  </si>
  <si>
    <t>ADCAM_Active_DTC.Implausible_Data_Rcv_MRRRR</t>
  </si>
  <si>
    <t>MRR_RR_DET_MC_Flt.MRR_RR_DET_MC_001</t>
  </si>
  <si>
    <t>MRR_RR_DET_MC_Flt.MRR_RR_DET_MC_002</t>
  </si>
  <si>
    <t>MRR_RR_DET_MC_Flt.MRR_RR_DET_MC_003</t>
  </si>
  <si>
    <t>MRR_RR_DET_MC_Flt.MRR_RR_DET_MC_004</t>
  </si>
  <si>
    <t>MRR_RR_DET_MC_Flt.MRR_RR_DET_MC_005</t>
  </si>
  <si>
    <t>MRR_RR_DET_MC_Flt.MRR_RR_DET_MC_006</t>
  </si>
  <si>
    <t>MRR_RR_DET_MC_Flt.MRR_RR_DET_MC_007</t>
  </si>
  <si>
    <t>MRR_RR_DET_MC_Flt.MRR_RR_DET_MC_008</t>
  </si>
  <si>
    <t>MRR_RR_DET_MC_Flt.MRR_RR_DET_MC_009</t>
  </si>
  <si>
    <t>MRR_RR_DET_MC_Flt.MRR_RR_DET_MC_010</t>
  </si>
  <si>
    <t>MRR_RR_DET_MC_Flt.MRR_RR_DET_MC_011</t>
  </si>
  <si>
    <t>MRR_RR_DET_MC_Flt.MRR_RR_DET_MC_012</t>
  </si>
  <si>
    <t>MRR_RR_DET_MC_Flt.MRR_RR_DET_MC_013</t>
  </si>
  <si>
    <t>MRR_RR_DET_MC_Flt.MRR_RR_DET_MC_014</t>
  </si>
  <si>
    <t>MRR_RR_DET_MC_Flt.MRR_RR_DET_MC_015</t>
  </si>
  <si>
    <t>MRR_RR_DET_MC_Flt.MRR_RR_DET_MC_016</t>
  </si>
  <si>
    <t>MRR_RR_DET_CRC_Flt.MRR_RR_DET_CRC_001</t>
  </si>
  <si>
    <t>MRR_RR_DET_CRC_Flt.MRR_RR_DET_CRC_002</t>
  </si>
  <si>
    <t>MRR_RR_DET_CRC_Flt.MRR_RR_DET_CRC_003</t>
  </si>
  <si>
    <t>MRR_RR_DET_CRC_Flt.MRR_RR_DET_CRC_004</t>
  </si>
  <si>
    <t>MRR_RR_DET_CRC_Flt.MRR_RR_DET_CRC_005</t>
  </si>
  <si>
    <t>MRR_RR_DET_CRC_Flt.MRR_RR_DET_CRC_006</t>
  </si>
  <si>
    <t>MRR_RR_DET_CRC_Flt.MRR_RR_DET_CRC_007</t>
  </si>
  <si>
    <t>MRR_RR_DET_CRC_Flt.MRR_RR_DET_CRC_008</t>
  </si>
  <si>
    <t>MRR_RR_DET_CRC_Flt.MRR_RR_DET_CRC_009</t>
  </si>
  <si>
    <t>MRR_RR_DET_CRC_Flt.MRR_RR_DET_CRC_010</t>
  </si>
  <si>
    <t>MRR_RR_DET_CRC_Flt.MRR_RR_DET_CRC_011</t>
  </si>
  <si>
    <t>MRR_RR_DET_CRC_Flt.MRR_RR_DET_CRC_012</t>
  </si>
  <si>
    <t>MRR_RR_DET_CRC_Flt.MRR_RR_DET_CRC_013</t>
  </si>
  <si>
    <t>MRR_RR_DET_CRC_Flt.MRR_RR_DET_CRC_014</t>
  </si>
  <si>
    <t>MRR_RR_DET_CRC_Flt.MRR_RR_DET_CRC_015</t>
  </si>
  <si>
    <t>MRR_RR_DET_CRC_Flt.MRR_RR_DET_CRC_016</t>
  </si>
  <si>
    <t>Implausible_Data_Rcv_MRRFL</t>
  </si>
  <si>
    <t xml:space="preserve">Implausible Data Received From Left Front Radar </t>
  </si>
  <si>
    <t>ADCAM_Active_DTC.Implausible_Data_Rcv_MRRFL</t>
  </si>
  <si>
    <t>MRR_FL_DET_CRC_Flt.MRR_FL_DET_CRC_001</t>
  </si>
  <si>
    <t>MRR_FL_DET_CRC_Flt.MRR_FL_DET_CRC_002</t>
  </si>
  <si>
    <t>MRR_FL_DET_CRC_Flt.MRR_FL_DET_CRC_003</t>
  </si>
  <si>
    <t>MRR_FL_DET_CRC_Flt.MRR_FL_DET_CRC_004</t>
  </si>
  <si>
    <t>MRR_FL_DET_CRC_Flt.MRR_FL_DET_CRC_005</t>
  </si>
  <si>
    <t>MRR_FL_DET_CRC_Flt.MRR_FL_DET_CRC_006</t>
  </si>
  <si>
    <t>MRR_FL_DET_CRC_Flt.MRR_FL_DET_CRC_007</t>
  </si>
  <si>
    <t>MRR_FL_DET_CRC_Flt.MRR_FL_DET_CRC_008</t>
  </si>
  <si>
    <t>MRR_FL_DET_CRC_Flt.MRR_FL_DET_CRC_009</t>
  </si>
  <si>
    <t>MRR_FL_DET_CRC_Flt.MRR_FL_DET_CRC_010</t>
  </si>
  <si>
    <t>MRR_FL_DET_CRC_Flt.MRR_FL_DET_CRC_011</t>
  </si>
  <si>
    <t>MRR_FL_DET_CRC_Flt.MRR_FL_DET_CRC_012</t>
  </si>
  <si>
    <t>MRR_FL_DET_CRC_Flt.MRR_FL_DET_CRC_013</t>
  </si>
  <si>
    <t>MRR_FL_DET_CRC_Flt.MRR_FL_DET_CRC_014</t>
  </si>
  <si>
    <t>MRR_FL_DET_CRC_Flt.MRR_FL_DET_CRC_015</t>
  </si>
  <si>
    <t>MRR_FL_DET_CRC_Flt.MRR_FL_DET_CRC_016</t>
  </si>
  <si>
    <t>MRR_FL_DET_MC_Flt.MRR_FL_DET_MC_001</t>
  </si>
  <si>
    <t>MRR_FL_DET_MC_Flt.MRR_FL_DET_MC_002</t>
  </si>
  <si>
    <t>MRR_FL_DET_MC_Flt.MRR_FL_DET_MC_003</t>
  </si>
  <si>
    <t>MRR_FL_DET_MC_Flt.MRR_FL_DET_MC_004</t>
  </si>
  <si>
    <t>MRR_FL_DET_MC_Flt.MRR_FL_DET_MC_005</t>
  </si>
  <si>
    <t>MRR_FL_DET_MC_Flt.MRR_FL_DET_MC_006</t>
  </si>
  <si>
    <t>MRR_FL_DET_MC_Flt.MRR_FL_DET_MC_007</t>
  </si>
  <si>
    <t>MRR_FL_DET_MC_Flt.MRR_FL_DET_MC_008</t>
  </si>
  <si>
    <t>MRR_FL_DET_MC_Flt.MRR_FL_DET_MC_009</t>
  </si>
  <si>
    <t>MRR_FL_DET_MC_Flt.MRR_FL_DET_MC_010</t>
  </si>
  <si>
    <t>MRR_FL_DET_MC_Flt.MRR_FL_DET_MC_011</t>
  </si>
  <si>
    <t>MRR_FL_DET_MC_Flt.MRR_FL_DET_MC_012</t>
  </si>
  <si>
    <t>MRR_FL_DET_MC_Flt.MRR_FL_DET_MC_013</t>
  </si>
  <si>
    <t>MRR_FL_DET_MC_Flt.MRR_FL_DET_MC_014</t>
  </si>
  <si>
    <t>MRR_FL_DET_MC_Flt.MRR_FL_DET_MC_015</t>
  </si>
  <si>
    <t>MRR_FL_DET_MC_Flt.MRR_FL_DET_MC_016</t>
  </si>
  <si>
    <t>Implausible_Data_Rcv_MRRFR</t>
  </si>
  <si>
    <t xml:space="preserve">Implausible Data Received From Right Front Radar </t>
  </si>
  <si>
    <t>ADCAM_Active_DTC.Implausible_Data_Rcv_MRRFR</t>
  </si>
  <si>
    <t>MRR_FR_DET_MC_Flt.MRR_FR_DET_MC_001</t>
  </si>
  <si>
    <t>MRR_FR_DET_MC_Flt.MRR_FR_DET_MC_002</t>
  </si>
  <si>
    <t>MRR_FR_DET_MC_Flt.MRR_FR_DET_MC_003</t>
  </si>
  <si>
    <t>MRR_FR_DET_MC_Flt.MRR_FR_DET_MC_004</t>
  </si>
  <si>
    <t>MRR_FR_DET_MC_Flt.MRR_FR_DET_MC_005</t>
  </si>
  <si>
    <t>MRR_FR_DET_MC_Flt.MRR_FR_DET_MC_006</t>
  </si>
  <si>
    <t>MRR_FR_DET_MC_Flt.MRR_FR_DET_MC_007</t>
  </si>
  <si>
    <t>MRR_FR_DET_MC_Flt.MRR_FR_DET_MC_008</t>
  </si>
  <si>
    <t>MRR_FR_DET_MC_Flt.MRR_FR_DET_MC_009</t>
  </si>
  <si>
    <t>MRR_FR_DET_MC_Flt.MRR_FR_DET_MC_010</t>
  </si>
  <si>
    <t>MRR_FR_DET_MC_Flt.MRR_FR_DET_MC_011</t>
  </si>
  <si>
    <t>MRR_FR_DET_MC_Flt.MRR_FR_DET_MC_012</t>
  </si>
  <si>
    <t>MRR_FR_DET_MC_Flt.MRR_FR_DET_MC_013</t>
  </si>
  <si>
    <t>MRR_FR_DET_MC_Flt.MRR_FR_DET_MC_014</t>
  </si>
  <si>
    <t>MRR_FR_DET_MC_Flt.MRR_FR_DET_MC_015</t>
  </si>
  <si>
    <t>MRR_FR_DET_MC_Flt.MRR_FR_DET_MC_016</t>
  </si>
  <si>
    <t>MRR_FR_DET_CRC_Flt.MRR_FR_DET_CRC_001</t>
  </si>
  <si>
    <t>MRR_FR_DET_CRC_Flt.MRR_FR_DET_CRC_002</t>
  </si>
  <si>
    <t>MRR_FR_DET_CRC_Flt.MRR_FR_DET_CRC_003</t>
  </si>
  <si>
    <t>MRR_FR_DET_CRC_Flt.MRR_FR_DET_CRC_004</t>
  </si>
  <si>
    <t>MRR_FR_DET_CRC_Flt.MRR_FR_DET_CRC_005</t>
  </si>
  <si>
    <t>MRR_FR_DET_CRC_Flt.MRR_FR_DET_CRC_006</t>
  </si>
  <si>
    <t>MRR_FR_DET_CRC_Flt.MRR_FR_DET_CRC_007</t>
  </si>
  <si>
    <t>MRR_FR_DET_CRC_Flt.MRR_FR_DET_CRC_008</t>
  </si>
  <si>
    <t>MRR_FR_DET_CRC_Flt.MRR_FR_DET_CRC_009</t>
  </si>
  <si>
    <t>MRR_FR_DET_CRC_Flt.MRR_FR_DET_CRC_010</t>
  </si>
  <si>
    <t>MRR_FR_DET_CRC_Flt.MRR_FR_DET_CRC_011</t>
  </si>
  <si>
    <t>MRR_FR_DET_CRC_Flt.MRR_FR_DET_CRC_012</t>
  </si>
  <si>
    <t>MRR_FR_DET_CRC_Flt.MRR_FR_DET_CRC_013</t>
  </si>
  <si>
    <t>MRR_FR_DET_CRC_Flt.MRR_FR_DET_CRC_014</t>
  </si>
  <si>
    <t>MRR_FR_DET_CRC_Flt.MRR_FR_DET_CRC_015</t>
  </si>
  <si>
    <t>MRR_FR_DET_CRC_Flt.MRR_FR_DET_CRC_016</t>
  </si>
  <si>
    <t>Implausible_Data_Rcv_EVCU2</t>
  </si>
  <si>
    <t>Implausible Data Received From Electric Vehicle Control Unit 2 (EVCU2)</t>
  </si>
  <si>
    <t>Pp_AXLE_TORQUE_FD_1.CRC_Fail</t>
  </si>
  <si>
    <t>AXLE_TORQUE_FD_1.CRC_Fail</t>
  </si>
  <si>
    <t>Pp_AXLE_TORQUE_FD_1.MC_Fail</t>
  </si>
  <si>
    <t>AXLE_TORQUE_FD_1.MC_Fail</t>
  </si>
  <si>
    <t>Pp_AXLE_TORQUE_FD_1.Axle_Torque_DrvReqMod_SNA</t>
  </si>
  <si>
    <t>AXLE_TORQUE_FD_1.Axle_Torque_DrvReqMod_SNA</t>
  </si>
  <si>
    <t>Pp_AXLE_TORQUE_FD_1.Axle_TorqueStatic_D_TTC</t>
  </si>
  <si>
    <t>AXLE_TORQUE_FD_1.Axle_TorqueStatic_D_TTC</t>
  </si>
  <si>
    <t>Pp_AXLE_TORQUE_FD_1.Total_AxleTorque_Max_SNA</t>
  </si>
  <si>
    <t>AXLE_TORQUE_FD_1.Total_AxleTorque_Max_SNA</t>
  </si>
  <si>
    <t>Pp_AXLE_TORQUE_FD_1.Total_AxleTorque_Min_SNA</t>
  </si>
  <si>
    <t>AXLE_TORQUE_FD_1.Total_AxleTorque_Min_SNA</t>
  </si>
  <si>
    <t>Pp_PT_TORQUE_FD_1.CRC_Fail</t>
  </si>
  <si>
    <t>PT_TORQUE_FD_1.CRC_Fail</t>
  </si>
  <si>
    <t>Pp_PT_TORQUE_FD_1.MC_Fail</t>
  </si>
  <si>
    <t>PT_TORQUE_FD_1.MC_Fail</t>
  </si>
  <si>
    <t>Pp_PT_TORQUE_FD_1.Accel_Pedal_Override_d</t>
  </si>
  <si>
    <t>PT_TORQUE_FD_1.Accel_Pedal_Override_d</t>
  </si>
  <si>
    <t>Pp_AXLE_TORQUE_FD_1.Total_AxleTorque_Static_SNA</t>
  </si>
  <si>
    <t>AXLE_TORQUE_FD_1.Total_AxleTorque_Static_SNA</t>
  </si>
  <si>
    <t>Pp_PT_SYSTEM_FD_1.CRC_Fail</t>
  </si>
  <si>
    <t>PT_SYSTEM_FD_1.CRC_Fail</t>
  </si>
  <si>
    <t>Pp_PT_SYSTEM_FD_1.MC_Fail</t>
  </si>
  <si>
    <t>PT_SYSTEM_FD_1.MC_Fail</t>
  </si>
  <si>
    <t>Pp_PT_SYSTEM_FD_1.GasPedalPosition_PT_SNA</t>
  </si>
  <si>
    <t>PT_SYSTEM_FD_1.GasPedalPosition_PT_SNA</t>
  </si>
  <si>
    <t>Pp_PT_SYSTEM_FD_1.GasPedalPositionFailSts_PT_d</t>
  </si>
  <si>
    <t>PT_SYSTEM_FD_1.GasPedalPositionFailSts_PT_d</t>
  </si>
  <si>
    <t>Pp_PT_SYSTEM_FD_1.GearEngaged_PT_SNA</t>
  </si>
  <si>
    <t>PT_SYSTEM_FD_1.GearEngaged_PT_SNA</t>
  </si>
  <si>
    <t xml:space="preserve">Pp_PT_SYSTEM_FD_1.GearEngagedForDisplay_PT_SNA </t>
  </si>
  <si>
    <t xml:space="preserve">PT_SYSTEM_FD_1.GearEngagedForDisplay_PT_SNA </t>
  </si>
  <si>
    <t>Suppresed</t>
  </si>
  <si>
    <t>Pp_PT_SYSTEM_FD_1.PdlPosActual_PT_SNA</t>
  </si>
  <si>
    <t>PT_SYSTEM_FD_1.PdlPosActual_PT_SNA</t>
  </si>
  <si>
    <t>Pp_PT_SYSTEM_FD_1.ShiftLeverPosition_PT_SNA</t>
  </si>
  <si>
    <t>PT_SYSTEM_FD_1.ShiftLeverPosition_PT_SNA</t>
  </si>
  <si>
    <t>Pp_PT_SYSTEM_FD_1.TerrainModeStat_PT_SNA</t>
  </si>
  <si>
    <t>PT_SYSTEM_FD_1.TerrainModeStat_PT_SNA</t>
  </si>
  <si>
    <t>Lowest Tuning Used</t>
  </si>
  <si>
    <t>Pp_PT_SYSTEM_FD_1.SpeedLimitSts_PT_SNA</t>
  </si>
  <si>
    <t>PT_SYSTEM_FD_1.SpeedLimitSts_PT_SNA</t>
  </si>
  <si>
    <t>Implausible_Data_Rcv_BSM</t>
  </si>
  <si>
    <t>Pp_BrkTrq_SNA</t>
  </si>
  <si>
    <t>BrkTrq_SNA</t>
  </si>
  <si>
    <t>Pp_MC_Fail_BRAKE_FD_4</t>
  </si>
  <si>
    <t>MC_Fail_BRAKE_FD_4</t>
  </si>
  <si>
    <t>Pp_ESCFailSts_d</t>
  </si>
  <si>
    <t>ESCFailSts_d</t>
  </si>
  <si>
    <t>Pp_BrkPdl_Flt_d</t>
  </si>
  <si>
    <t>BrkPdl_Flt_d</t>
  </si>
  <si>
    <t>Pp_CRC_Fail_BRAKE_FD_4</t>
  </si>
  <si>
    <t>CRC_Fail_BRAKE_FD_4</t>
  </si>
  <si>
    <t>Pp_BrkTrq_Driver_SNA</t>
  </si>
  <si>
    <t>BrkTrq_Driver_SNA</t>
  </si>
  <si>
    <t>Pp_ExternalBrkRequestsDisabled_SNA</t>
  </si>
  <si>
    <t>ExternalBrkRequestsDisabled_SNA</t>
  </si>
  <si>
    <t>Pp_RRCC_Cancel_Req_SNA</t>
  </si>
  <si>
    <t>RRCC_Cancel_Req_SNA</t>
  </si>
  <si>
    <t>Pp_VehicleStandStillSts_SNA</t>
  </si>
  <si>
    <t>VehicleStandStillSts_SNA</t>
  </si>
  <si>
    <t>Pp_LatAcceleration_BSM_SNA</t>
  </si>
  <si>
    <t>LatAcceleration_BSM_SNA</t>
  </si>
  <si>
    <t>Pp_LongAcceleration_BSM_SNA</t>
  </si>
  <si>
    <t>LongAcceleration_BSM_SNA</t>
  </si>
  <si>
    <t>Pp_LatAccelerationFailSts_BSM_d</t>
  </si>
  <si>
    <t>LatAccelerationFailSts_BSM_d</t>
  </si>
  <si>
    <t>Pp_LongAccelerationFailSts_BSM_d</t>
  </si>
  <si>
    <t>LongAccelerationFailSts_BSM_d</t>
  </si>
  <si>
    <t>Pp_YawRateFailSts_BSM_d</t>
  </si>
  <si>
    <t>YawRateFailSts_BSM_d</t>
  </si>
  <si>
    <t>Pp_Brk_Stat_SNA</t>
  </si>
  <si>
    <t>Brk_Stat_SNA</t>
  </si>
  <si>
    <t>Pp_YawRate_BSM_SNA</t>
  </si>
  <si>
    <t>YawRate_BSM_SNA</t>
  </si>
  <si>
    <t>Pp_LHF_WheelSensorFailSts_d</t>
  </si>
  <si>
    <t>LHF_WheelSensorFailSts_d</t>
  </si>
  <si>
    <t>Pp_LHR_WheelSensorFailSts_d</t>
  </si>
  <si>
    <t>LHR_WheelSensorFailSts_d</t>
  </si>
  <si>
    <t>Pp_RHF_WheelSensorFailSts_d</t>
  </si>
  <si>
    <t>RHF_WheelSensorFailSts_d</t>
  </si>
  <si>
    <t>Pp_RHR_WheelSensorFailSts_d</t>
  </si>
  <si>
    <t>RHR_WheelSensorFailSts_d</t>
  </si>
  <si>
    <t>Pp_BSMSysts_SNA</t>
  </si>
  <si>
    <t>BSMSysts_SNA</t>
  </si>
  <si>
    <t>Pp_LHF_FastPulseCounter_SNA</t>
  </si>
  <si>
    <t>LHF_FastPulseCounter_SNA</t>
  </si>
  <si>
    <t>Pp_LHF_Spin_SNA</t>
  </si>
  <si>
    <t>LHF_Spin_SNA</t>
  </si>
  <si>
    <t>Pp_LHFWheelSpeed_SNA</t>
  </si>
  <si>
    <t>LHFWheelSpeed_SNA</t>
  </si>
  <si>
    <t>Pp_LHR_FastPulseCounter_SNA</t>
  </si>
  <si>
    <t>LHR_FastPulseCounter_SNA</t>
  </si>
  <si>
    <t>Pp_LHR_Spin_SNA</t>
  </si>
  <si>
    <t>LHR_Spin_SNA</t>
  </si>
  <si>
    <t>Pp_LHRWheelSpeed_SNA</t>
  </si>
  <si>
    <t>LHRWheelSpeed_SNA</t>
  </si>
  <si>
    <t>Pp_RHF_FastPulseCounter_SNA</t>
  </si>
  <si>
    <t>RHF_FastPulseCounter_SNA</t>
  </si>
  <si>
    <t>Pp_RHF_Spin_SNA</t>
  </si>
  <si>
    <t>RHF_Spin_SNA</t>
  </si>
  <si>
    <t>Pp_RHFWheelSpeed_SNA</t>
  </si>
  <si>
    <t>RHFWheelSpeed_SNA</t>
  </si>
  <si>
    <t>Pp_RHR_FastPulseCounter_SNA</t>
  </si>
  <si>
    <t>RHR_FastPulseCounter_SNA</t>
  </si>
  <si>
    <t>Pp_RHR_Spin_SNA</t>
  </si>
  <si>
    <t>RHR_Spin_SNA</t>
  </si>
  <si>
    <t>Pp_RHRWheelSpeed_SNA</t>
  </si>
  <si>
    <t>RHRWheelSpeed_SNA</t>
  </si>
  <si>
    <t>Pp_EPBSts_SNA</t>
  </si>
  <si>
    <t>EPBSts_SNA</t>
  </si>
  <si>
    <t>Pp_AEB_Type_Brk_SNA</t>
  </si>
  <si>
    <t>AEB_Type_Brk_SNA</t>
  </si>
  <si>
    <t>Pp_BrkPdl_Stat_SNA</t>
  </si>
  <si>
    <t>BrkPdl_Stat_SNA</t>
  </si>
  <si>
    <t>Pp_MC_Fail_BRAKE_FD_1</t>
  </si>
  <si>
    <t>MC_Fail_BRAKE_FD_1</t>
  </si>
  <si>
    <t>Pp_MC_Fail_BRAKE_FD_2</t>
  </si>
  <si>
    <t>MC_Fail_BRAKE_FD_2</t>
  </si>
  <si>
    <t>Pp_MC_Fail_BRAKE_FD_3</t>
  </si>
  <si>
    <t>MC_Fail_BRAKE_FD_3</t>
  </si>
  <si>
    <t>Pp_MC_Fail_BRAKE_FD_5</t>
  </si>
  <si>
    <t>MC_Fail_BRAKE_FD_5</t>
  </si>
  <si>
    <t>Pp_BSMSysSts_SNA</t>
  </si>
  <si>
    <t>BSMSysSts_SNA</t>
  </si>
  <si>
    <t>Pp_MC_Fail_BRAKE_FD_7</t>
  </si>
  <si>
    <t>MC_Fail_BRAKE_FD_7</t>
  </si>
  <si>
    <t>Pp_CRC_Fail_BRAKE_FD_1</t>
  </si>
  <si>
    <t>CRC_Fail_BRAKE_FD_1</t>
  </si>
  <si>
    <t>Pp_CRC_Fail_BRAKE_FD_2</t>
  </si>
  <si>
    <t>CRC_Fail_BRAKE_FD_2</t>
  </si>
  <si>
    <t>Pp_CRC_Fail_BRAKE_FD_3</t>
  </si>
  <si>
    <t>CRC_Fail_BRAKE_FD_3</t>
  </si>
  <si>
    <t>Pp_CRC_Fail_BRAKE_FD_5</t>
  </si>
  <si>
    <t>CRC_Fail_BRAKE_FD_5</t>
  </si>
  <si>
    <t>Pp_CRC_Fail_BRAKE_FD_7</t>
  </si>
  <si>
    <t>CRC_Fail_BRAKE_FD_7</t>
  </si>
  <si>
    <t>Implausible_Data_Rcv_EPS</t>
  </si>
  <si>
    <t>Pp_Steering_Column_Torque_SNA</t>
  </si>
  <si>
    <t>Steering_Column_Torque_SNA</t>
  </si>
  <si>
    <t>Pp_SteeringVibration_Fault_d</t>
  </si>
  <si>
    <t>SteeringVibration_Fault_d</t>
  </si>
  <si>
    <t>Pp_LwsCalibration_d</t>
  </si>
  <si>
    <t>LwsCalibration_d</t>
  </si>
  <si>
    <t>Pp_CRC_Fail_EPS_FD_1</t>
  </si>
  <si>
    <t>CRC_Fail_EPS_FD_1</t>
  </si>
  <si>
    <t>Pp_MC_Fail_EPS_FD_1</t>
  </si>
  <si>
    <t>MC_Fail_EPS_FD_1</t>
  </si>
  <si>
    <t>Pp_LwsSpeed_SNA</t>
  </si>
  <si>
    <t>LwsSpeed_SNA</t>
  </si>
  <si>
    <t>Pp_EPSMotorTorque_SNA</t>
  </si>
  <si>
    <t>EPSMotorTorque_SNA</t>
  </si>
  <si>
    <t>Pi_HAS_LAT_CTRL_RequestSts_Mismatch_Sts</t>
  </si>
  <si>
    <t>EPS_FD_1.HAS_LAT_CTRL_ResponseSts != "Permanent_Not_Avail" &amp;&amp; EPS_FD_1.HAS_LAT_CTRL_ResponseSts != "Temporarily_Not_Avail") &amp;&amp; HASEnable { If ( EPS_FD_1.HAS_LAT_CTRL_ResponseSts != "HAS_Open" &amp;&amp; ADAS_FD_INFO.HAS_LAT_CTRL_RequestSts = "HAS_Request" within c_T_TOI_TRANSITION</t>
  </si>
  <si>
    <t>Pi_LKA_LAT_CTRL_RequestSts_Mismatch_Sts</t>
  </si>
  <si>
    <t>EPS_FD_1.LKA_LAT_CTRL_ResponseSts != "Permanent_Not_Avail" &amp;&amp; EPS_FD_1.LKA_LAT_CTRL_ResponseSts != "Temporarily_Not_Avail") &amp;&amp; ALMEnable{ If (EPS_FD_1.LKA_LAT_CTRL_ResponseSts != "LKA_Open" &amp;&amp; ADAS_FD_INFO.LKA_LAT_CTRL_RequestSts = "LKA_Request" within c_T_TOI_TRANSITION</t>
  </si>
  <si>
    <t>Implausible_Data_Rcv_BCM</t>
  </si>
  <si>
    <t>Pp_ERR_ST_HOD_d</t>
  </si>
  <si>
    <t xml:space="preserve">ERR_ST_HOD != 0 </t>
  </si>
  <si>
    <t>Pp_CruiseControlFailSts_d</t>
  </si>
  <si>
    <t>CruiseControlFailSts_d</t>
  </si>
  <si>
    <t>ERR_ST_HOD_SNA</t>
  </si>
  <si>
    <t>Pp_CRC_Fail_BCM_FD_26</t>
  </si>
  <si>
    <t>CRC_Fail_BCM_FD_26</t>
  </si>
  <si>
    <t>Pp_CRC_Fail_BCM_FD_14</t>
  </si>
  <si>
    <t>CRC_Fail_BCM_FD_14</t>
  </si>
  <si>
    <t>Pp_CRC_Fail_SWSM_1</t>
  </si>
  <si>
    <t>CRC_Fail_SWSM_1</t>
  </si>
  <si>
    <t>Pp_MC_Fail_SWSM_1</t>
  </si>
  <si>
    <t>MC_Fail_SWSM_1</t>
  </si>
  <si>
    <t>Pp_MC_Fail_BCM_FD_26</t>
  </si>
  <si>
    <t>MC_Fail_BCM_FD_26</t>
  </si>
  <si>
    <t>Pp_MC_Fail_BCM_FD_14</t>
  </si>
  <si>
    <t>MC_Fail_BCM_FD_14</t>
  </si>
  <si>
    <t>Pp_CmdIgnSts_SNA</t>
  </si>
  <si>
    <t>CmdIgnSts_SNA</t>
  </si>
  <si>
    <t>Pp_TurnIndicationSts_SNA</t>
  </si>
  <si>
    <t>TurnIndicationSts_SNA</t>
  </si>
  <si>
    <t>Pp_HLSPosition_SNA</t>
  </si>
  <si>
    <t>HLSPosition_SNA</t>
  </si>
  <si>
    <t>Pp_MC_Fail_BCM_FD_27</t>
  </si>
  <si>
    <t>MC_Fail_BCM_FD_27</t>
  </si>
  <si>
    <t>Pp_CRC_Fail_BCM_FD_27</t>
  </si>
  <si>
    <t>CRC_Fail_BCM_FD_27</t>
  </si>
  <si>
    <t>Pp_TrailerConnectionSts_SNA</t>
  </si>
  <si>
    <t>Ka_CAN_node_63 == "Present" &amp;&amp; TrailerConnectionSts_SNA</t>
  </si>
  <si>
    <t>Pp_Battery_Volt_1_SNA</t>
  </si>
  <si>
    <t>Battery_Volt_1_SNA</t>
  </si>
  <si>
    <t>Pp_FrontWiperFailSts_d</t>
  </si>
  <si>
    <t>FrontWiperFailSts_SNA</t>
  </si>
  <si>
    <t>Pp_HOFF_RCOG_SEN_SNA</t>
  </si>
  <si>
    <t>HOFF_RCOG_SEN_SNA</t>
  </si>
  <si>
    <t>Pp_MC_Fail_BCM_FD_13</t>
  </si>
  <si>
    <t>MC_Fail_BCM_FD_13</t>
  </si>
  <si>
    <t>Pp_MC_Fail_BCM_FD_3</t>
  </si>
  <si>
    <t>MC_Fail_BCM_FD_3</t>
  </si>
  <si>
    <t>Pp_MC_Fail_BCM_FD_9</t>
  </si>
  <si>
    <t>MC_Fail_BCM_FD_9</t>
  </si>
  <si>
    <t>Pp_MC_Fail_BCM_FD_2</t>
  </si>
  <si>
    <t>MC_Fail_BCM_FD_2</t>
  </si>
  <si>
    <t>Pp_MC_Fail_BCM_FD_10</t>
  </si>
  <si>
    <t>MC_Fail_BCM_FD_10</t>
  </si>
  <si>
    <t>Pp_CRC_Fail_BCM_FD_13</t>
  </si>
  <si>
    <t>CRC_Fail_BCM_FD_13</t>
  </si>
  <si>
    <t>Pp_CRC_Fail_BCM_FD_3</t>
  </si>
  <si>
    <t>CRC_Fail_BCM_FD_3</t>
  </si>
  <si>
    <t>Pp_CRC_Fail_BCM_FD_9</t>
  </si>
  <si>
    <t>CRC_Fail_BCM_FD_9</t>
  </si>
  <si>
    <t>Pp_CRC_Fail_BCM_FD_2</t>
  </si>
  <si>
    <t>CRC_Fail_BCM_FD_2</t>
  </si>
  <si>
    <t>Pp_CRC_Fail_BCM_FD_29</t>
  </si>
  <si>
    <t>CRC_Fail_BCM_FD_29</t>
  </si>
  <si>
    <t>Pp_MC_Fail_BCM_FD_29</t>
  </si>
  <si>
    <t>MC_Fail_BCM_FD_29</t>
  </si>
  <si>
    <t>Pp_CRC_Fail_BCM_FD_22</t>
  </si>
  <si>
    <t>CRC_Fail_BCM_FD_22</t>
  </si>
  <si>
    <t>Pp_MC_Fail_BCM_FD_22</t>
  </si>
  <si>
    <t>MC_Fail_BCM_FD_22</t>
  </si>
  <si>
    <t>Pp_HiBmLvr_Stat_SNA</t>
  </si>
  <si>
    <t>HiBmLvr_Stat_SNA</t>
  </si>
  <si>
    <t>Pp_Command_15Sts_SNA</t>
  </si>
  <si>
    <t>Command_15Sts_SNA</t>
  </si>
  <si>
    <t>Pp_CRC_Fail_BCM_FD_10</t>
  </si>
  <si>
    <t>CRC_Fail_BCM_FD_10</t>
  </si>
  <si>
    <t>Implausible_Data_Rcv_ORC</t>
  </si>
  <si>
    <t>Pp_SBR1RowDriverSeatSts_SNA</t>
  </si>
  <si>
    <t>SBR1RowDriverSeatSts_SNA</t>
  </si>
  <si>
    <t>Pp_YawRateFailSts_d</t>
  </si>
  <si>
    <t>YawRateFailSts_d</t>
  </si>
  <si>
    <t>Pp_CRC_Fail_ORC_FD_1</t>
  </si>
  <si>
    <t>CRC_Fail_ORC_FD_1</t>
  </si>
  <si>
    <t>Pp_MC_Fail_ORC_FD_1</t>
  </si>
  <si>
    <t>MC_Fail_ORC_FD_1</t>
  </si>
  <si>
    <t>Pp_CRC_Fail_ORC_FD_3</t>
  </si>
  <si>
    <t>CRC_Fail_ORC_FD_3</t>
  </si>
  <si>
    <t>Pp_MC_Fail_ORC_FD_3</t>
  </si>
  <si>
    <t>MC_Fail_ORC_FD_3</t>
  </si>
  <si>
    <t>Implausible_Data_Rcv_Security_Gateway</t>
  </si>
  <si>
    <t>Pp_CRC_Fail_TELEMATIC_FD_11</t>
  </si>
  <si>
    <t>CRC_Fail_TELEMATIC_FD_11</t>
  </si>
  <si>
    <t>Pp_GPS_Lat_SNA</t>
  </si>
  <si>
    <t>GPS_Lat_SNA</t>
  </si>
  <si>
    <t>Pp_GPS_Long_SNA</t>
  </si>
  <si>
    <t>GPS_Long_SNA</t>
  </si>
  <si>
    <t>Implausible_Data_Rcv_ECM</t>
  </si>
  <si>
    <t xml:space="preserve">Pp_Axle_Torque_DrvReqMod_SNA </t>
  </si>
  <si>
    <t xml:space="preserve">Axle_Torque_DrvReqMod_SNA </t>
  </si>
  <si>
    <t xml:space="preserve">Pp_Axle_TorqueStatic_D_TTC_SNA </t>
  </si>
  <si>
    <t xml:space="preserve">Axle_TorqueStatic_D_TTC_SNA </t>
  </si>
  <si>
    <t xml:space="preserve">Pp_CRC_AXLE_TORQUE_FD_1 </t>
  </si>
  <si>
    <t xml:space="preserve">CRC_AXLE_TORQUE_FD_1 </t>
  </si>
  <si>
    <t>Implausible_Data_Rcv_DTCM</t>
  </si>
  <si>
    <t>Pp_CRC_Fail_DRIVETRAIN_FD_3</t>
  </si>
  <si>
    <t>CRC_Fail_DRIVETRAIN_FD_3</t>
  </si>
  <si>
    <t>Pp_CRC_Fail_ENGINE_FD_1</t>
  </si>
  <si>
    <t>CRC_Fail_ENGINE_FD_1</t>
  </si>
  <si>
    <t>Pp_CRC_Fail_ENGINE_FD_2</t>
  </si>
  <si>
    <t>CRC_Fail_ENGINE_FD_2</t>
  </si>
  <si>
    <t>Pp_CRC_Fail_ENGINE_FD_5</t>
  </si>
  <si>
    <t>CRC_Fail_ENGINE_FD_5</t>
  </si>
  <si>
    <t>Pp_CRC_Fail_PT_TORQUE_FD_1</t>
  </si>
  <si>
    <t>CRC_Fail_PT_TORQUE_FD_1</t>
  </si>
  <si>
    <t>Pp_SumTorqueStatic_SNA</t>
  </si>
  <si>
    <t>SumTorqueStatic_SNA</t>
  </si>
  <si>
    <t>Pp_SumTorqueMax_SNA</t>
  </si>
  <si>
    <t>SumTorqueMax_SNA</t>
  </si>
  <si>
    <t>Pp_SumTorqueMin_SNA</t>
  </si>
  <si>
    <t>SumTorqueMin_SNA</t>
  </si>
  <si>
    <t>Pp_SumTorqueSel_D_TTC_SNA</t>
  </si>
  <si>
    <t>SumTorqueSel_D_TTC_SNA</t>
  </si>
  <si>
    <t>Pp_SumTorque_DrvReqMod_SNA</t>
  </si>
  <si>
    <t>SumTorque_DrvReqMod_SNA</t>
  </si>
  <si>
    <t>Pp_CRC_Fail_ENGINE_FD_6</t>
  </si>
  <si>
    <t>CRC_Fail_ENGINE_FD_6</t>
  </si>
  <si>
    <t>Pp_MC_Fail_ENGINE_FD_6</t>
  </si>
  <si>
    <t>MC_Fail_ENGINE_FD_6</t>
  </si>
  <si>
    <t>Implausible_Data_Rcv_TCM</t>
  </si>
  <si>
    <t>Pp_CRC_Fail_TRANSM_FD_1</t>
  </si>
  <si>
    <t>CRC_Fail_TRANSM_FD_1</t>
  </si>
  <si>
    <t>Pp_CRC_Fail_TRANSM_FD_2</t>
  </si>
  <si>
    <t>CRC_Fail_TRANSM_FD_2</t>
  </si>
  <si>
    <t>Pp_CRC_Fail_TRANSM_FD_4</t>
  </si>
  <si>
    <t>CRC_Fail_TRANSM_FD_4</t>
  </si>
  <si>
    <t>LostComm_ECM</t>
  </si>
  <si>
    <t xml:space="preserve">Engine_Type != 0x04 AND Missing_Msg_PT_TORQUE_FD_1 </t>
  </si>
  <si>
    <t>Pp_EngineSpeed_W_SNA</t>
  </si>
  <si>
    <t>EngineSpeed_W_SNA</t>
  </si>
  <si>
    <t>Pp_GasPedalPositionFailSts_w_d</t>
  </si>
  <si>
    <t>GasPedalPositionFailSts_w_d</t>
  </si>
  <si>
    <t xml:space="preserve">Pp_GearDisplayForCluster_SNA </t>
  </si>
  <si>
    <t xml:space="preserve">GearDisplayForCluster_SNA </t>
  </si>
  <si>
    <t>Pp_GearEngaged_SNA</t>
  </si>
  <si>
    <t>GearEngaged_SNA</t>
  </si>
  <si>
    <t>Pp_GearEngagedForDisplay_SNA</t>
  </si>
  <si>
    <t>GearEngagedForDisplay_SNA</t>
  </si>
  <si>
    <t>Pp_ESS_ENG_ST_W_SNA</t>
  </si>
  <si>
    <t>Ka_Stop_AND_Start == present  &amp;&amp; ESS_ENG_ST_W_SNA</t>
  </si>
  <si>
    <t xml:space="preserve">Pp_MC_AXLE_TORQUE_FD_1 </t>
  </si>
  <si>
    <t xml:space="preserve">MC_AXLE_TORQUE_FD_1 </t>
  </si>
  <si>
    <t>Pp_MC_Fail_DRIVETRAIN_FD_3</t>
  </si>
  <si>
    <t>MC_Fail_DRIVETRAIN_FD_3</t>
  </si>
  <si>
    <t>Pp_MC_Fail_ENGINE_FD_1</t>
  </si>
  <si>
    <t>MC_Fail_ENGINE_FD_1</t>
  </si>
  <si>
    <t>Pp_MC_Fail_ENGINE_FD_2</t>
  </si>
  <si>
    <t>MC_Fail_ENGINE_FD_2</t>
  </si>
  <si>
    <t>Pp_MC_Fail_ENGINE_FD_5</t>
  </si>
  <si>
    <t>MC_Fail_ENGINE_FD_5</t>
  </si>
  <si>
    <t>Pp_MC_Fail_PT_TORQUE_FD_1</t>
  </si>
  <si>
    <t>MC_Fail_PT_TORQUE_FD_1</t>
  </si>
  <si>
    <t>Pp_MC_Fail_TRANSM_FD_1</t>
  </si>
  <si>
    <t>MC_Fail_TRANSM_FD_1</t>
  </si>
  <si>
    <t>Pp_MC_Fail_TRANSM_FD_2</t>
  </si>
  <si>
    <t>MC_Fail_TRANSM_FD_2</t>
  </si>
  <si>
    <t>Pp_MC_Fail_TRANSM_FD_4</t>
  </si>
  <si>
    <t>MC_Fail_TRANSM_FD_4</t>
  </si>
  <si>
    <t xml:space="preserve">Pp_Missing_Msg_AXLE_TORQUE_FD_1 </t>
  </si>
  <si>
    <t xml:space="preserve">Missing_Msg_AXLE_TORQUE_FD_1 </t>
  </si>
  <si>
    <t>Pp_Missing_Msg_ENGINE_FD_6</t>
  </si>
  <si>
    <t xml:space="preserve">Missing_Msg_ENGINE_FD_6 </t>
  </si>
  <si>
    <t>LostComm_DTCM</t>
  </si>
  <si>
    <t xml:space="preserve">Pp_Missing_Msg_DRIVETRAIN_FD_3 </t>
  </si>
  <si>
    <t xml:space="preserve">Missing_Msg_DRIVETRAIN_FD_3 </t>
  </si>
  <si>
    <t>Pp_Missing_Msg_ENGINE_FD_1</t>
  </si>
  <si>
    <t>Missing_Msg_ENGINE_FD_1</t>
  </si>
  <si>
    <t xml:space="preserve">Pp_Missing_Msg_ENGINE_FD_2 </t>
  </si>
  <si>
    <t xml:space="preserve">Missing_Msg_ENGINE_FD_2 </t>
  </si>
  <si>
    <t xml:space="preserve">Pp_Missing_Msg_ENGINE_FD_5 </t>
  </si>
  <si>
    <t xml:space="preserve">Missing_Msg_ENGINE_FD_5 </t>
  </si>
  <si>
    <t>LostComm_TCM</t>
  </si>
  <si>
    <t xml:space="preserve">Pp_Missing_Msg_TRANSM_FD_1 </t>
  </si>
  <si>
    <t xml:space="preserve">Missing_Msg_TRANSM_FD_1 </t>
  </si>
  <si>
    <t xml:space="preserve">Pp_Missing_Msg_TRANSM_FD_2 </t>
  </si>
  <si>
    <t>Missing_Msg_TRANSM_FD_2</t>
  </si>
  <si>
    <t xml:space="preserve">Pp_Missing_Msg_TRANSM_FD_4 </t>
  </si>
  <si>
    <t xml:space="preserve">Missing_Msg_TRANSM_FD_4 </t>
  </si>
  <si>
    <t>Pp_PdlPosActual_SNA</t>
  </si>
  <si>
    <t>PdlPosActual_SNA</t>
  </si>
  <si>
    <t>Pp_Total_AxleTorque_Static_SNA</t>
  </si>
  <si>
    <t>PT_TORQUE_FD_1.Total_AxleTorque_Static_SNA</t>
  </si>
  <si>
    <t>Pp_ShiftLeverPosition_SNA</t>
  </si>
  <si>
    <t>ShiftLeverPosition_SNA</t>
  </si>
  <si>
    <t>Pp_TCASERANGESTATUS_SNA</t>
  </si>
  <si>
    <t>TCASERANGESTATUS_SNA</t>
  </si>
  <si>
    <t>Pp_TerrainModeStat_ECM_SNA</t>
  </si>
  <si>
    <t>TerrainModeStat_ECM_SNA</t>
  </si>
  <si>
    <t xml:space="preserve">Pp_Total_AxleTorque_Max_SNA </t>
  </si>
  <si>
    <t xml:space="preserve">Total_AxleTorque_Max_SNA </t>
  </si>
  <si>
    <t xml:space="preserve">Pp_Total_AxleTorque_Min_SNA </t>
  </si>
  <si>
    <t xml:space="preserve">Total_AxleTorque_Min_SNA </t>
  </si>
  <si>
    <t>Pp_TransmissionSailingSts_SNA</t>
  </si>
  <si>
    <t>TransmissionSailingSts_SNA</t>
  </si>
  <si>
    <t>Ethernet Bus 1 - (ENET-AD1 - SGW)</t>
  </si>
  <si>
    <t xml:space="preserve">ADCAM_Active_Fault.ENET_AD1_Link_Status_Error </t>
  </si>
  <si>
    <t>ENET_AD1_Link_Status_Error_SGW</t>
  </si>
  <si>
    <t>Ethernet Bus 4 - (ENET-AD4 - mPAD)</t>
  </si>
  <si>
    <t xml:space="preserve">ADCAM_Active_Fault.ENET_AD4_Link_Status_Error </t>
  </si>
  <si>
    <t>ENET_AD4_Link_Status_Error_mPAD</t>
  </si>
  <si>
    <t>Ethernet Bus 5 - (ENET-AD5 - LRRF)</t>
  </si>
  <si>
    <t xml:space="preserve">ADCAM_Active_Fault.ENET_AD5_Link_Status_Error </t>
  </si>
  <si>
    <t>ENET_AD5_Link_Status_Error_LRRF</t>
  </si>
  <si>
    <t>Pp_MC_Fail_TELEMATIC_FD_11</t>
  </si>
  <si>
    <t>MC_Fail_TELEMATIC_FD_11</t>
  </si>
  <si>
    <t>Steering_Angle_Overtravel</t>
  </si>
  <si>
    <t>ADCAM_Active_DTC.Steering_Angle_Overtravel</t>
  </si>
  <si>
    <t>CADM has determined that the steering wheel angle offeset to be &gt; 12 (calibratable)</t>
  </si>
  <si>
    <t>No_Resp_To_Decel_Req</t>
  </si>
  <si>
    <t>ADCAM_Active_DTC.No_Resp_To_Decel_Req</t>
  </si>
  <si>
    <t>(Brake_Jerk_Req == "Active") AND (Brk_Jrk_Resp == "Not_Executed")) for more than k_brk_jerk_resp time (default 750ms)</t>
  </si>
  <si>
    <t>suppressed For Key Cycle</t>
  </si>
  <si>
    <t>ADAS_FD_INFO.AEB_Type != "None" &amp; ADAS_FD_INFO.Intervention &lt; c_MAX_DECEL_DIFF &amp; BRAKE_FD_1.AEB_Type_Brk = "None" AND BRAKE_FD_1.ExternalBrkRequestDisabled = "No Request"</t>
  </si>
  <si>
    <t>XBW_Rule_Violation</t>
  </si>
  <si>
    <t>ADCAM_Active_DTC.XBW_Rule_Violation</t>
  </si>
  <si>
    <t>ACCFSafe!=0 AND DASEngReqPos= "Not Allowed"</t>
  </si>
  <si>
    <t>ADAS_FD_INFO.LC_Jerk = "REQUESTED" AND BRAKE_FD_1.Brk_Jrk_Resp = "Not_Executed" for more than 750ms (tunable)</t>
  </si>
  <si>
    <t>PCM_Disabled</t>
  </si>
  <si>
    <t>PCM Disabled ECU</t>
  </si>
  <si>
    <t>ADCAM_Active_DTC.PCM_Disabled</t>
  </si>
  <si>
    <t>ECM_LHOM_W == " In_Limp_Home"</t>
  </si>
  <si>
    <t>EngTrqEnblRq_DAS_W == FALSE</t>
  </si>
  <si>
    <t>TCM_Disabled</t>
  </si>
  <si>
    <t>TCM Disabled ECU</t>
  </si>
  <si>
    <t>ADCAM_Active_DTC.TCM_Disabled</t>
  </si>
  <si>
    <t>LimpHomeSts == Active</t>
  </si>
  <si>
    <t>ABS_Disabled</t>
  </si>
  <si>
    <t>ADCAM_Active_DTC.ABS_Disabled</t>
  </si>
  <si>
    <t>DASEngReqPos == " Not_Allowed"</t>
  </si>
  <si>
    <t>ExternalBrkRequestsDisabled == " External System Continuous Off"</t>
  </si>
  <si>
    <t xml:space="preserve">ADCAM_Active_DTC.Control_Module_Programming_Error   </t>
  </si>
  <si>
    <t>EyeQ_SB_Failure</t>
  </si>
  <si>
    <t>PWB_SB_Failure</t>
  </si>
  <si>
    <t>SWP4_SB_Failure</t>
  </si>
  <si>
    <t>SWL1_SB_Failure</t>
  </si>
  <si>
    <t>SWP1_SB_Failure</t>
  </si>
  <si>
    <t>SPW2_SB_Failure</t>
  </si>
  <si>
    <t>SWL2_SB_Failure</t>
  </si>
  <si>
    <t>SWL3_SB_Failure</t>
  </si>
  <si>
    <t xml:space="preserve">ADCAM_Active_Fault.EyeQ_MIPS_Out_of_Range </t>
  </si>
  <si>
    <t xml:space="preserve">SysHw_Flt.EyeQ_MIPS_Out_of_Range </t>
  </si>
  <si>
    <t xml:space="preserve">ADCAM_Active_Fault.EyeQ_VMP_Out_Of_Range </t>
  </si>
  <si>
    <t xml:space="preserve">SysHw_Flt.EyeQ_VMP_Out_Of_Range </t>
  </si>
  <si>
    <t>ADCAM_Active_Fault.EyeQ_Is_Unavailable_Fault</t>
  </si>
  <si>
    <t>EyeQ_Is_Unavailable_Fault</t>
  </si>
  <si>
    <t>ADCAM_Active_Fault.EyeQ_E2E_Failure_Count</t>
  </si>
  <si>
    <t>Repeated_Comm_Flt.EyeQ_E2E_Failure_Count == 3</t>
  </si>
  <si>
    <t>ADCAM_Active_Fault.EyeQ_Imager_Out_Of_Range </t>
  </si>
  <si>
    <t>EyeQ_Imager_Out_Of_Range </t>
  </si>
  <si>
    <t>Partial_Blockage_Fault &amp;&amp; k_Partial_Blockage_Flag</t>
  </si>
  <si>
    <t>Vision_FrozenWindshield_Fault &amp;&amp; k_FrozenWindshiled_Flag</t>
  </si>
  <si>
    <t>MRR_RL_RADAR_TD_Blockage_Flt.MRR_RL_CAN_BLOCKAGE_TD</t>
  </si>
  <si>
    <t>MRR_RR_RADAR_TD_Blockage_Flt.MRR_RR_CAN_BLOCKAGE_TD</t>
  </si>
  <si>
    <t>MRR_FL_RADAR_TD_Blockage_Flt.MRR_FL_CAN_BLOCKAGE_TD</t>
  </si>
  <si>
    <t>MRR_FR_RADAR_TD_Blockage_Flt.MRR_FR_CAN_BLOCKAGE_TD</t>
  </si>
  <si>
    <t>Repeated_Comm_Flt.EyeQ_Core_Dump_Fault_Count == 3</t>
  </si>
  <si>
    <t>ADCAM_Active_Fault.EyeQ_Init_Timeout</t>
  </si>
  <si>
    <t>Repeated_Comm_Flt.EyeQ_Init_Timeout_Fault_Count == 3</t>
  </si>
  <si>
    <t>ADCAM_Active_DTC.LRCF_Internal_Performance</t>
  </si>
  <si>
    <t>LostComm_LRCF == FALSE &amp;&amp; FWC_ImagerFuseID_Mismatch_Fault</t>
  </si>
  <si>
    <t>Left Front Radar VIN Mismatch</t>
  </si>
  <si>
    <t>ADCAM_Active_DTC.MRRFL_Vin_Mismatch</t>
  </si>
  <si>
    <t>MRR_FL_VINSignalCompare_Flt.MRR_FL_CF_VIN_SIG_COMPARE_FLT</t>
  </si>
  <si>
    <t>Right Front Radar VIN Mismatch</t>
  </si>
  <si>
    <t>ADCAM_Active_DTC.MRRFR_Vin_Mismatch</t>
  </si>
  <si>
    <t>MRR_FR_VINSignalCompare_Flt.MRR_FR_CF_VIN_SIG_COMPARE_FLT</t>
  </si>
  <si>
    <t>Left Rear Radar VIN Mismatch</t>
  </si>
  <si>
    <t>ADCAM_Active_DTC.MRRRL_Vin_Mismatch</t>
  </si>
  <si>
    <t>MRR_RL_VINSignalCompare_Flt.MRR_RL_CF_VIN_SIG_COMPARE_FLT</t>
  </si>
  <si>
    <t>Right Rear Radar VIN Mismatch</t>
  </si>
  <si>
    <t>ADCAM_Active_DTC.MRRRR_Vin_Mismatch</t>
  </si>
  <si>
    <t>MRR_RR_VINSignalCompare_Flt.MRR_RR_CF_VIN_SIG_COMPARE_FLT</t>
  </si>
  <si>
    <t>Left Front Radar Implausibile Data from ADCAM</t>
  </si>
  <si>
    <t>ADCAM_Active_DTC.MRRFL_Signal_Invalid</t>
  </si>
  <si>
    <t>MRR_FL_RADAR_E2E_Flt.MRR_FL_CF_PCAN_DRANGE_CHECK_FLT</t>
  </si>
  <si>
    <t>MRR_FL_RADAR_E2E_Flt.MRR_FL_CF_CRCADCAMSIGACTLVAL_FLT</t>
  </si>
  <si>
    <t>MRR_FL_RADAR_E2E_Flt.MRR_FL_CF_MCADCAMSGNLACTLVAL_FLT</t>
  </si>
  <si>
    <t>MRR_FL_RADAR_E2E_Flt.MRR_FL_CF_CRC_RDRCFGPARAM_FLT</t>
  </si>
  <si>
    <t>MRR_FL_RADAR_E2E_Flt.MRR_FL_CF_CRC_TRIGCONTROL_FLT</t>
  </si>
  <si>
    <t>MRR_FL_RADAR_E2E_Flt.MRR_FL_CF_MC_TRIGCONTROL_FLT</t>
  </si>
  <si>
    <t>MRR_FL_RADAR_E2E_Flt.MRR_FL_CF_CRC_VEHICLESTATE_FLT</t>
  </si>
  <si>
    <t>MRR_FL_RADAR_E2E_Flt.MRR_FL_CF_MC_VEHICLESTATE_FLT</t>
  </si>
  <si>
    <t>MRR_FL_RADAR_E2E_Flt.MRR_FL_CF_CRC_ANGLEADJTABLE_FLT</t>
  </si>
  <si>
    <t>MRR_FL_RADAR_E2E_Flt.MRR_FL_CF_MC_ANGLEADJTABLE_FLT</t>
  </si>
  <si>
    <t>MRR_FL_RADAR_E2E_Flt.MRR_FL_CF_ADCAMTRACKSCHANGE_FLT</t>
  </si>
  <si>
    <t>MRR_FL_RADAR_E2E_Flt.MRR_FL_CF_EXTERNAL_WATCHDOG_FLT</t>
  </si>
  <si>
    <t>MRR_FL_RADAR_E2E_Flt.MRR_FL_CF_FACTORY_ALIGNMENT_MODE</t>
  </si>
  <si>
    <t>MRR_FL_RADAR_E2E_Flt.MRR_FL_CF_I2C_FAULT</t>
  </si>
  <si>
    <t>MRR_FL_RADAR_E2E_Flt.MRR_FL_CF_LOOP_BANDWIDTH_OOR</t>
  </si>
  <si>
    <t>MRR_FL_RADAR_E2E_Flt.MRR_FL_CF_TMU_MODULE_FAULT</t>
  </si>
  <si>
    <t>Right Front Radar Implausibile Data from ADCAM</t>
  </si>
  <si>
    <t>ADCAM_Active_DTC.MRRFR_Signal_Invalid</t>
  </si>
  <si>
    <t>MRR_FR_RADAR_E2E_Flt.MRR_FR_CF_PCAN_DRANGE_CHECK_FLT</t>
  </si>
  <si>
    <t>MRR_FR_RADAR_E2E_Flt.MRR_FR_CF_CRCADCAMSIGACTLVAL_FLT</t>
  </si>
  <si>
    <t>MRR_FR_RADAR_E2E_Flt.MRR_FR_CF_MCADCAMSGNLACTLVAL_FLT</t>
  </si>
  <si>
    <t>MRR_FR_RADAR_E2E_Flt.MRR_FR_CF_CRC_RDRCFGPARAM_FLT</t>
  </si>
  <si>
    <t>MRR_FR_RADAR_E2E_Flt.MRR_FR_CF_CRC_TRIGCONTROL_FLT</t>
  </si>
  <si>
    <t>MRR_FR_RADAR_E2E_Flt.MRR_FR_CF_MC_TRIGCONTROL_FLT</t>
  </si>
  <si>
    <t>MRR_FR_RADAR_E2E_Flt.MRR_FR_CF_CRC_VEHICLESTATE_FLT</t>
  </si>
  <si>
    <t>MRR_FR_RADAR_E2E_Flt.MRR_FR_CF_MC_VEHICLESTATE_FLT</t>
  </si>
  <si>
    <t>MRR_FR_RADAR_E2E_Flt.MRR_FR_CF_CRC_ANGLEADJTABLE_FLT</t>
  </si>
  <si>
    <t>MRR_FR_RADAR_E2E_Flt.MRR_FR_CF_MC_ANGLEADJTABLE_FLT</t>
  </si>
  <si>
    <t>MRR_FR_RADAR_E2E_Flt.MRR_FR_CF_ADCAMTRACKSCHANGE_FLT</t>
  </si>
  <si>
    <t>MRR_FR_RADAR_E2E_Flt.MRR_FR_CF_EXTERNAL_WATCHDOG_FLT</t>
  </si>
  <si>
    <t>MRR_FR_RADAR_E2E_Flt.MRR_FR_CF_FACTORY_ALIGNMENT_MODE</t>
  </si>
  <si>
    <t>MRR_FR_RADAR_E2E_Flt.MRR_FR_CF_I2C_FAULT</t>
  </si>
  <si>
    <t>MRR_FR_RADAR_E2E_Flt.MRR_FR_CF_LOOP_BANDWIDTH_OOR</t>
  </si>
  <si>
    <t>MRR_FR_RADAR_E2E_Flt.MRR_FR_CF_TMU_MODULE_FAULT</t>
  </si>
  <si>
    <t>Left Rear Radar Implausibile Data from ADCAM</t>
  </si>
  <si>
    <t>ADCAM_Active_DTC.MRRRL_Signal_Invalid</t>
  </si>
  <si>
    <t>MRR_RL_RADAR_E2E_Flt.MRR_RL_CF_PCAN_DRANGE_CHECK_FLT</t>
  </si>
  <si>
    <t>MRR_RL_RADAR_E2E_Flt.MRR_RL_CF_CRCADCAMSIGACTLVAL_FLT</t>
  </si>
  <si>
    <t>MRR_RL_RADAR_E2E_Flt.MRR_RL_CF_MCADCAMSGNLACTLVAL_FLT</t>
  </si>
  <si>
    <t>MRR_RL_RADAR_E2E_Flt.MRR_RL_CF_CRC_RDRCFGPARAM_FLT</t>
  </si>
  <si>
    <t>MRR_RL_RADAR_E2E_Flt.MRR_RL_CF_CRC_TRIGCONTROL_FLT</t>
  </si>
  <si>
    <t>MRR_RL_RADAR_E2E_Flt.MRR_RL_CF_MC_TRIGCONTROL_FLT</t>
  </si>
  <si>
    <t>MRR_RL_RADAR_E2E_Flt.MRR_RL_CF_CRC_VEHICLESTATE_FLT</t>
  </si>
  <si>
    <t>MRR_RL_RADAR_E2E_Flt.MRR_RL_CF_MC_VEHICLESTATE_FLT</t>
  </si>
  <si>
    <t>MRR_RL_RADAR_E2E_Flt.MRR_RL_CF_CRC_ANGLEADJTABLE_FLT</t>
  </si>
  <si>
    <t>MRR_RL_RADAR_E2E_Flt.MRR_RL_CF_MC_ANGLEADJTABLE_FLT</t>
  </si>
  <si>
    <t>MRR_RL_RADAR_E2E_Flt.MRR_RL_CF_ADCAMTRACKSCHANGE_FLT</t>
  </si>
  <si>
    <t>MRR_RL_RADAR_E2E_Flt.MRR_RL_CF_EXTERNAL_WATCHDOG_FLT</t>
  </si>
  <si>
    <t>MRR_RL_RADAR_E2E_Flt.MRR_RL_CF_FACTORY_ALIGNMENT_MODE</t>
  </si>
  <si>
    <t>MRR_RL_RADAR_E2E_Flt.MRR_RL_CF_I2C_FAULT</t>
  </si>
  <si>
    <t>MRR_RL_RADAR_E2E_Flt.MRR_RL_CF_LOOP_BANDWIDTH_OOR</t>
  </si>
  <si>
    <t>MRR_RL_RADAR_E2E_Flt.MRR_RL_CF_TMU_MODULE_FAULT</t>
  </si>
  <si>
    <t>Right Rear Radar Implausibile Data from ADCAM</t>
  </si>
  <si>
    <t>ADCAM_Active_DTC.MRRRR_Signal_Invalid</t>
  </si>
  <si>
    <t>MRR_RR_RADAR_E2E_Flt.MRR_RR_CF_PCAN_DRANGE_CHECK_FLT</t>
  </si>
  <si>
    <t>MRR_RR_RADAR_E2E_Flt.MRR_RR_CF_CRCADCAMSIGACTLVAL_FLT</t>
  </si>
  <si>
    <t>MRR_RR_RADAR_E2E_Flt.MRR_RR_CF_MCADCAMSGNLACTLVAL_FLT</t>
  </si>
  <si>
    <t>MRR_RR_RADAR_E2E_Flt.MRR_RR_CF_CRC_RDRCFGPARAM_FLT</t>
  </si>
  <si>
    <t>MRR_RR_RADAR_E2E_Flt.MRR_RR_CF_CRC_TRIGCONTROL_FLT</t>
  </si>
  <si>
    <t>MRR_RR_RADAR_E2E_Flt.MRR_RR_CF_MC_TRIGCONTROL_FLT</t>
  </si>
  <si>
    <t>MRR_RR_RADAR_E2E_Flt.MRR_RR_CF_CRC_VEHICLESTATE_FLT</t>
  </si>
  <si>
    <t>MRR_RR_RADAR_E2E_Flt.MRR_RR_CF_MC_VEHICLESTATE_FLT</t>
  </si>
  <si>
    <t>MRR_RR_RADAR_E2E_Flt.MRR_RR_CF_CRC_ANGLEADJTABLE_FLT</t>
  </si>
  <si>
    <t>MRR_RR_RADAR_E2E_Flt.MRR_RR_CF_MC_ANGLEADJTABLE_FLT</t>
  </si>
  <si>
    <t>MRR_RR_RADAR_E2E_Flt.MRR_RR_CF_ADCAMTRACKSCHANGE_FLT</t>
  </si>
  <si>
    <t>MRR_RR_RADAR_E2E_Flt.MRR_RR_CF_EXTERNAL_WATCHDOG_FLT</t>
  </si>
  <si>
    <t>MRR_RR_RADAR_E2E_Flt.MRR_RR_CF_FACTORY_ALIGNMENT_MODE</t>
  </si>
  <si>
    <t>MRR_RR_RADAR_E2E_Flt.MRR_RR_CF_I2C_FAULT</t>
  </si>
  <si>
    <t>MRR_RR_RADAR_E2E_Flt.MRR_RR_CF_LOOP_BANDWIDTH_OOR</t>
  </si>
  <si>
    <t>MRR_RR_RADAR_E2E_Flt.MRR_RR_CF_TMU_MODULE_FAULT</t>
  </si>
  <si>
    <t>Left Front Radar Lost Comm with ADCAM</t>
  </si>
  <si>
    <t>ADCAM_Active_DTC.MRRFL_Missing_Msg</t>
  </si>
  <si>
    <t>MRR_FL_RADAR_Com_Flt.MRR_FL_CF_TO_VEHICLESTATE_FLT</t>
  </si>
  <si>
    <t>MRR_FL_RADAR_Com_Flt.MRR_FL_CF_TO_TRIGCONTROL_FLT</t>
  </si>
  <si>
    <t>MRR_FL_RADAR_Com_Flt.MRR_FL_CF_TO_ADCAMSWVERSION_FLT</t>
  </si>
  <si>
    <t>MRR_FL_RADAR_Com_Flt.MRR_FL_CF_TO_ANGLEADJTABLE_FLT</t>
  </si>
  <si>
    <t>MRR_FL_RADAR_Com_Flt.MRR_FL_CF_TO_ADCAMTRACKSCHANGE_FLT</t>
  </si>
  <si>
    <t>MRR_FL_RADAR_Com_Flt.MRR_FL_CF_TO_SATADCAMVIN_FLT</t>
  </si>
  <si>
    <t>MRR_FL_RADAR_Com_Flt.MRR_FL_CF_TO_RDRCFGPARAM_FLT</t>
  </si>
  <si>
    <t>Right Front Radar Lost Comm with ADCAM</t>
  </si>
  <si>
    <t>ADCAM_Active_DTC.MRRFR_Missing_Msg</t>
  </si>
  <si>
    <t>MRR_FR_RADAR_Com_Flt.MRR_FR_CF_TO_VEHICLESTATE_FLT</t>
  </si>
  <si>
    <t>MRR_FR_RADAR_Com_Flt.MRR_FR_CF_TO_TRIGCONTROL_FLT</t>
  </si>
  <si>
    <t>MRR_FR_RADAR_Com_Flt.MRR_FR_CF_TO_ADCAMSWVERSION_FLT</t>
  </si>
  <si>
    <t>MRR_FR_RADAR_Com_Flt.MRR_FR_CF_TO_ANGLEADJTABLE_FLT</t>
  </si>
  <si>
    <t>MRR_FR_RADAR_Com_Flt.MRR_FR_CF_TO_ADCAMTRACKSCHANGE_FLT</t>
  </si>
  <si>
    <t>MRR_FR_RADAR_Com_Flt.MRR_FR_CF_TO_SATADCAMVIN_FLT</t>
  </si>
  <si>
    <t>MRR_FR_RADAR_Com_Flt.MRR_FR_CF_TO_RDRCFGPARAM_FLT</t>
  </si>
  <si>
    <t>Left Rear Radar Lost Comm with ADCAM</t>
  </si>
  <si>
    <t>ADCAM_Active_DTC.MRRRL_Missing_Msg</t>
  </si>
  <si>
    <t>MRR_RL_RADAR_Com_Flt.MRR_RL_CF_TO_VEHICLESTATE_FLT</t>
  </si>
  <si>
    <t>MRR_RL_RADAR_Com_Flt.MRR_RL_CF_TO_TRIGCONTROL_FLT</t>
  </si>
  <si>
    <t>MRR_RL_RADAR_Com_Flt.MRR_RL_CF_TO_ADCAMSWVERSION_FLT</t>
  </si>
  <si>
    <t>MRR_RL_RADAR_Com_Flt.MRR_RL_CF_TO_ANGLEADJTABLE_FLT</t>
  </si>
  <si>
    <t>MRR_RL_RADAR_Com_Flt.MRR_RL_CF_TO_ADCAMTRACKSCHANGE_FLT</t>
  </si>
  <si>
    <t>MRR_RL_RADAR_Com_Flt.MRR_RL_CF_TO_SATADCAMVIN_FLT</t>
  </si>
  <si>
    <t>MRR_RL_RADAR_Com_Flt.MRR_RL_CF_TO_RDRCFGPARAM_FLT</t>
  </si>
  <si>
    <t>Right Rear Radar Lost Comm with ADCAM</t>
  </si>
  <si>
    <t>ADCAM_Active_DTC.MRRRR_Missing_Msg</t>
  </si>
  <si>
    <t>MRR_RR_RADAR_Com_Flt.MRR_RR_CF_TO_VEHICLESTATE_FLT</t>
  </si>
  <si>
    <t>MRR_RR_RADAR_Com_Flt.MRR_RR_CF_TO_TRIGCONTROL_FLT</t>
  </si>
  <si>
    <t>MRR_RR_RADAR_Com_Flt.MRR_RR_CF_TO_ADCAMSWVERSION_FLT</t>
  </si>
  <si>
    <t>MRR_RR_RADAR_Com_Flt.MRR_RR_CF_TO_ANGLEADJTABLE_FLT</t>
  </si>
  <si>
    <t>MRR_RR_RADAR_Com_Flt.MRR_RR_CF_TO_ADCAMTRACKSCHANGE_FLT</t>
  </si>
  <si>
    <t>MRR_RR_RADAR_Com_Flt.MRR_RR_CF_TO_SATADCAMVIN_FLT</t>
  </si>
  <si>
    <t>MRR_RR_RADAR_Com_Flt.MRR_RR_CF_TO_RDRCFGPARAM_FLT</t>
  </si>
  <si>
    <t>Left Front Radar Voltage below Threshold</t>
  </si>
  <si>
    <t>ADCAM_Active_DTC.MRRFL_Voltage_Below_Threshold</t>
  </si>
  <si>
    <t>MRR_FL_BatteryLow_Flt.MRR_FL_PF_BATTERY_LOW_FAULT</t>
  </si>
  <si>
    <t>Right Front Radar Voltage below Threshold</t>
  </si>
  <si>
    <t>ADCAM_Active_DTC.MRRFR_Voltage_Below_Threshold</t>
  </si>
  <si>
    <t>MRR_FR_BatteryLow_Flt.MRR_FR_PF_BATTERY_LOW_FAULT</t>
  </si>
  <si>
    <t>Left Rear Radar Voltage below Threshold</t>
  </si>
  <si>
    <t>ADCAM_Active_DTC.MRRRL_Voltage_Below_Threshold</t>
  </si>
  <si>
    <t>MRR_RL_BatteryLow_Flt.MRR_RL_PF_BATTERY_LOW_FAULT</t>
  </si>
  <si>
    <t>Right Rear Radar Voltage below Threshold</t>
  </si>
  <si>
    <t>ADCAM_Active_DTC.MRRRR_Voltage_Below_Threshold</t>
  </si>
  <si>
    <t>MRR_RR_BatteryLow_Flt.MRR_RR_PF_BATTERY_LOW_FAULT</t>
  </si>
  <si>
    <t>Left Front Radar Voltage above Threshold</t>
  </si>
  <si>
    <t>ADCAM_Active_DTC.MRRFL_Voltage_Above_Threshold</t>
  </si>
  <si>
    <t>MRR_FL_BatteryHigh_Flt.MRR_FL_PF_BATTERY_HIGH_FAULT</t>
  </si>
  <si>
    <t>Right Front Radar Voltage above Threshold</t>
  </si>
  <si>
    <t>ADCAM_Active_DTC.MRRFR_Voltage_Above_Threshold</t>
  </si>
  <si>
    <t>MRR_FR_BatteryHigh_Flt.MRR_FR_PF_BATTERY_HIGH_FAULT</t>
  </si>
  <si>
    <t>Left Rear Radar Voltage above Threshold</t>
  </si>
  <si>
    <t>ADCAM_Active_DTC.MRRRL_Voltage_Above_Threshold</t>
  </si>
  <si>
    <t>MRR_RL_BatteryHigh_Flt.MRR_RL_PF_BATTERY_HIGH_FAULT</t>
  </si>
  <si>
    <t>Right Rear Radar Voltage above Threshold</t>
  </si>
  <si>
    <t>ADCAM_Active_DTC.MRRRR_Voltage_Above_Threshold</t>
  </si>
  <si>
    <t>MRR_RR_BatteryHigh_Flt.MRR_RR_PF_BATTERY_HIGH_FAULT</t>
  </si>
  <si>
    <t>Pp_VehicleSpeedVSOSig_SNA</t>
  </si>
  <si>
    <t>VehicleSpeedVSOSig_SNA</t>
  </si>
  <si>
    <t xml:space="preserve">Pp_LwsAngle_SNA </t>
  </si>
  <si>
    <t xml:space="preserve">LwsAngle_SNA </t>
  </si>
  <si>
    <t xml:space="preserve">Pp_LongAcceleration_SNA </t>
  </si>
  <si>
    <t xml:space="preserve">LongAcceleration_SNA </t>
  </si>
  <si>
    <t>Suppress</t>
  </si>
  <si>
    <t xml:space="preserve">Pp_LatAcceleration_SNA </t>
  </si>
  <si>
    <t xml:space="preserve">LatAcceleration_SNA </t>
  </si>
  <si>
    <t xml:space="preserve">Pp_YawRate_SNA </t>
  </si>
  <si>
    <t xml:space="preserve">YawRate_SNA </t>
  </si>
  <si>
    <t>SysRam_Flt.EyeQ_DDR_Fault</t>
  </si>
  <si>
    <t>Pp_RRCC_Cancel_Req == "Request continuous off"</t>
  </si>
  <si>
    <t>RRCC_Cancel_Req == "Request continuous off"</t>
  </si>
  <si>
    <t>Pp_ExternalTemperature_SNA</t>
  </si>
  <si>
    <t>BCM_FD_9.ExternalTemperature_SNA</t>
  </si>
  <si>
    <t>Pp_HDCFnRqstSts_SNA</t>
  </si>
  <si>
    <t>BCM_FD_9.HDCFnRqstSts_SNA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</si>
</sst>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70">
    <font>
      <sz val="11"/>
      <color theme="1"/>
      <name val="Calibri"/>
      <family val="2"/>
      <scheme val="minor"/>
    </font>
    <font>
      <u/>
      <sz val="11"/>
      <color theme="10"/>
      <name val="Calibri"/>
      <family val="2"/>
      <scheme val="minor"/>
    </font>
    <font>
      <b/>
      <sz val="10"/>
      <color theme="3"/>
      <name val="Arial"/>
      <family val="2"/>
    </font>
    <font>
      <b/>
      <u/>
      <sz val="10"/>
      <color theme="3"/>
      <name val="Arial"/>
      <family val="2"/>
    </font>
    <font>
      <b/>
      <sz val="10"/>
      <color theme="4"/>
      <name val="Arial"/>
      <family val="2"/>
    </font>
    <font>
      <b/>
      <u/>
      <sz val="10"/>
      <name val="Arial"/>
      <family val="2"/>
    </font>
    <font>
      <b/>
      <sz val="10"/>
      <name val="Arial"/>
      <family val="2"/>
    </font>
    <font>
      <b/>
      <sz val="10"/>
      <color theme="1"/>
      <name val="Arial"/>
      <family val="2"/>
    </font>
    <font>
      <sz val="8"/>
      <color theme="0" tint="-0.14999847407452621"/>
      <name val="Arial"/>
      <family val="2"/>
    </font>
    <font>
      <sz val="8"/>
      <name val="Arial"/>
      <family val="2"/>
    </font>
    <font>
      <sz val="8"/>
      <color theme="1"/>
      <name val="Arial"/>
      <family val="2"/>
    </font>
    <font>
      <sz val="8"/>
      <color rgb="FF000000"/>
      <name val="Arial"/>
      <family val="2"/>
    </font>
    <font>
      <b/>
      <sz val="8"/>
      <color rgb="FF000000"/>
      <name val="Arial"/>
      <family val="2"/>
    </font>
    <font>
      <sz val="10"/>
      <name val="Arial"/>
      <family val="2"/>
    </font>
    <font>
      <b/>
      <sz val="8"/>
      <color theme="1"/>
      <name val="Arial"/>
      <family val="2"/>
    </font>
    <font>
      <b/>
      <sz val="8"/>
      <color rgb="FF4F81BD"/>
      <name val="Arial"/>
      <family val="2"/>
    </font>
    <font>
      <sz val="8"/>
      <color theme="4"/>
      <name val="Arial"/>
      <family val="2"/>
    </font>
    <font>
      <sz val="8"/>
      <color rgb="FF1F497D"/>
      <name val="Arial"/>
      <family val="2"/>
    </font>
    <font>
      <b/>
      <sz val="8"/>
      <color theme="4"/>
      <name val="Arial"/>
      <family val="2"/>
    </font>
    <font>
      <b/>
      <sz val="8"/>
      <color rgb="FF1F497D"/>
      <name val="Arial"/>
      <family val="2"/>
    </font>
    <font>
      <b/>
      <sz val="8"/>
      <name val="Arial"/>
      <family val="2"/>
    </font>
    <font>
      <sz val="10"/>
      <color rgb="FF000000"/>
      <name val="Calibri"/>
      <family val="2"/>
    </font>
    <font>
      <b/>
      <sz val="8"/>
      <color rgb="FF0070C0"/>
      <name val="Arial"/>
      <family val="2"/>
    </font>
    <font>
      <b/>
      <sz val="8"/>
      <color theme="3"/>
      <name val="Arial"/>
      <family val="2"/>
    </font>
    <font>
      <sz val="8"/>
      <color rgb="FF4F81BD"/>
      <name val="Arial"/>
      <family val="2"/>
    </font>
    <font>
      <strike/>
      <sz val="8"/>
      <color rgb="FF000000"/>
      <name val="Arial"/>
      <family val="2"/>
    </font>
    <font>
      <b/>
      <strike/>
      <sz val="8"/>
      <color rgb="FF000000"/>
      <name val="Arial"/>
      <family val="2"/>
    </font>
    <font>
      <b/>
      <sz val="8"/>
      <color rgb="FF974706"/>
      <name val="Arial"/>
      <family val="2"/>
    </font>
    <font>
      <b/>
      <strike/>
      <sz val="8"/>
      <color rgb="FF4F81BD"/>
      <name val="Arial"/>
      <family val="2"/>
    </font>
    <font>
      <sz val="8"/>
      <color rgb="FF000000"/>
      <name val="Arial"/>
    </font>
    <font>
      <b/>
      <sz val="8"/>
      <color rgb="FF4F81BD"/>
      <name val="Arial"/>
    </font>
    <font>
      <b/>
      <sz val="8"/>
      <color rgb="FF000000"/>
      <name val="Arial"/>
    </font>
    <font>
      <sz val="8"/>
      <color rgb="FF4F81BD"/>
      <name val="Arial"/>
    </font>
    <font>
      <b/>
      <sz val="8"/>
      <color rgb="FF1F497D"/>
      <name val="Arial"/>
    </font>
    <font>
      <sz val="10"/>
      <color rgb="FF000000"/>
      <name val="Arial"/>
      <family val="2"/>
    </font>
    <font>
      <sz val="8"/>
      <color rgb="FF000000"/>
      <name val="Arial Regular"/>
    </font>
    <font>
      <sz val="8"/>
      <color theme="1"/>
      <name val="Arial Regular"/>
      <charset val="1"/>
    </font>
    <font>
      <b/>
      <sz val="11"/>
      <color rgb="FF0000FF"/>
      <name val="Arial"/>
      <family val="2"/>
    </font>
    <font>
      <b/>
      <sz val="11"/>
      <color rgb="FFFF0000"/>
      <name val="Arial"/>
      <family val="2"/>
    </font>
    <font>
      <u/>
      <sz val="10"/>
      <color indexed="12"/>
      <name val="Arial"/>
      <family val="2"/>
    </font>
    <font>
      <b/>
      <u/>
      <sz val="10"/>
      <color indexed="12"/>
      <name val="Arial"/>
      <family val="2"/>
    </font>
    <font>
      <b/>
      <u/>
      <sz val="10"/>
      <color rgb="FFFF0000"/>
      <name val="Arial"/>
      <family val="2"/>
    </font>
    <font>
      <sz val="10"/>
      <color indexed="12"/>
      <name val="Arial"/>
      <family val="2"/>
    </font>
    <font>
      <b/>
      <sz val="10"/>
      <color indexed="12"/>
      <name val="Arial"/>
      <family val="2"/>
    </font>
    <font>
      <sz val="10"/>
      <name val="Calibri"/>
      <family val="2"/>
      <scheme val="minor"/>
    </font>
    <font>
      <sz val="11"/>
      <color rgb="FF000000"/>
      <name val="Calibri"/>
      <family val="2"/>
    </font>
    <font>
      <sz val="9"/>
      <name val="CorpoS"/>
    </font>
    <font>
      <sz val="9"/>
      <color rgb="FFFF0000"/>
      <name val="CorpoS"/>
    </font>
    <font>
      <sz val="10"/>
      <name val="Arial"/>
    </font>
    <font>
      <b/>
      <sz val="9"/>
      <name val="CorpoS"/>
    </font>
    <font>
      <b/>
      <sz val="9"/>
      <color rgb="FF0000FF"/>
      <name val="Arial"/>
      <family val="2"/>
    </font>
    <font>
      <b/>
      <sz val="9"/>
      <color rgb="FFFF0000"/>
      <name val="Arial"/>
      <family val="2"/>
    </font>
    <font>
      <b/>
      <u/>
      <sz val="9"/>
      <color indexed="12"/>
      <name val="Arial"/>
      <family val="2"/>
    </font>
    <font>
      <b/>
      <u/>
      <sz val="9"/>
      <color rgb="FFFF0000"/>
      <name val="Arial"/>
      <family val="2"/>
    </font>
    <font>
      <sz val="9"/>
      <color indexed="12"/>
      <name val="Arial"/>
      <family val="2"/>
    </font>
    <font>
      <u/>
      <sz val="10"/>
      <color theme="10"/>
      <name val="Arial"/>
      <family val="2"/>
    </font>
    <font>
      <b/>
      <u/>
      <sz val="9"/>
      <color theme="10"/>
      <name val="Arial"/>
      <family val="2"/>
    </font>
    <font>
      <sz val="12"/>
      <name val="Tahoma"/>
      <family val="2"/>
    </font>
    <font>
      <sz val="12"/>
      <name val="Arial"/>
      <family val="2"/>
    </font>
    <font>
      <sz val="9"/>
      <color theme="1"/>
      <name val="Arial"/>
      <family val="2"/>
    </font>
    <font>
      <sz val="12"/>
      <color theme="1"/>
      <name val="Tahoma"/>
      <family val="2"/>
    </font>
    <font>
      <sz val="12"/>
      <color theme="1"/>
      <name val="Arial"/>
      <family val="2"/>
    </font>
    <font>
      <sz val="12"/>
      <name val="CorpoS"/>
    </font>
    <font>
      <sz val="8"/>
      <color theme="1"/>
      <name val="CorpoS"/>
    </font>
    <font>
      <sz val="12"/>
      <color rgb="FF002060"/>
      <name val="Tahoma"/>
      <family val="2"/>
    </font>
    <font>
      <sz val="12"/>
      <color rgb="FFFF0000"/>
      <name val="Tahoma"/>
      <family val="2"/>
    </font>
    <font>
      <sz val="12"/>
      <color theme="1"/>
      <name val="CorpoS"/>
    </font>
    <font>
      <strike/>
      <sz val="12"/>
      <name val="Tahoma"/>
      <family val="2"/>
    </font>
    <font>
      <b/>
      <sz val="12"/>
      <color rgb="FF00B050"/>
      <name val="Tahoma"/>
      <family val="2"/>
    </font>
    <font>
      <sz val="8"/>
      <name val="CorpoS"/>
    </font>
  </fonts>
  <fills count="10">
    <fill>
      <patternFill patternType="none"/>
    </fill>
    <fill>
      <patternFill patternType="gray125"/>
    </fill>
    <fill>
      <patternFill patternType="solid">
        <fgColor theme="1"/>
        <bgColor indexed="64"/>
      </patternFill>
    </fill>
    <fill>
      <patternFill patternType="solid">
        <fgColor theme="9"/>
        <bgColor indexed="64"/>
      </patternFill>
    </fill>
    <fill>
      <patternFill patternType="solid">
        <fgColor rgb="FFFFFF00"/>
        <bgColor indexed="64"/>
      </patternFill>
    </fill>
    <fill>
      <patternFill patternType="solid">
        <fgColor rgb="FFFF0000"/>
        <bgColor indexed="64"/>
      </patternFill>
    </fill>
    <fill>
      <patternFill patternType="solid">
        <fgColor rgb="FFCCCCFF"/>
        <bgColor indexed="64"/>
      </patternFill>
    </fill>
    <fill>
      <patternFill patternType="solid">
        <fgColor indexed="31"/>
        <bgColor indexed="64"/>
      </patternFill>
    </fill>
    <fill>
      <patternFill patternType="solid">
        <fgColor rgb="FFFFFF99"/>
        <bgColor indexed="64"/>
      </patternFill>
    </fill>
    <fill>
      <patternFill patternType="solid">
        <fgColor theme="0"/>
        <bgColor indexed="64"/>
      </patternFill>
    </fill>
  </fills>
  <borders count="3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thin">
        <color theme="1"/>
      </bottom>
      <diagonal/>
    </border>
    <border>
      <left style="thin">
        <color indexed="64"/>
      </left>
      <right style="thin">
        <color theme="1"/>
      </right>
      <top style="thin">
        <color indexed="64"/>
      </top>
      <bottom style="medium">
        <color theme="1"/>
      </bottom>
      <diagonal/>
    </border>
    <border>
      <left style="thin">
        <color indexed="64"/>
      </left>
      <right/>
      <top style="thin">
        <color theme="1"/>
      </top>
      <bottom/>
      <diagonal/>
    </border>
    <border>
      <left style="thin">
        <color theme="1"/>
      </left>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indexed="64"/>
      </right>
      <top style="thin">
        <color rgb="FF000000"/>
      </top>
      <bottom style="thin">
        <color rgb="FF000000"/>
      </bottom>
      <diagonal/>
    </border>
    <border>
      <left/>
      <right style="thin">
        <color indexed="64"/>
      </right>
      <top style="thin">
        <color indexed="64"/>
      </top>
      <bottom/>
      <diagonal/>
    </border>
    <border>
      <left/>
      <right/>
      <top style="thin">
        <color indexed="64"/>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theme="1"/>
      </bottom>
      <diagonal/>
    </border>
    <border>
      <left style="thin">
        <color rgb="FF000000"/>
      </left>
      <right style="thin">
        <color indexed="64"/>
      </right>
      <top/>
      <bottom style="thin">
        <color rgb="FF000000"/>
      </bottom>
      <diagonal/>
    </border>
    <border>
      <left/>
      <right style="thin">
        <color indexed="64"/>
      </right>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style="thin">
        <color indexed="64"/>
      </top>
      <bottom/>
      <diagonal/>
    </border>
    <border>
      <left style="thin">
        <color indexed="64"/>
      </left>
      <right style="thin">
        <color indexed="64"/>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style="thin">
        <color rgb="FF000000"/>
      </right>
      <top/>
      <bottom style="thin">
        <color rgb="FF000000"/>
      </bottom>
      <diagonal/>
    </border>
    <border>
      <left style="thin">
        <color indexed="64"/>
      </left>
      <right style="thin">
        <color indexed="64"/>
      </right>
      <top/>
      <bottom style="thin">
        <color rgb="FF000000"/>
      </bottom>
      <diagonal/>
    </border>
    <border>
      <left/>
      <right style="thin">
        <color indexed="64"/>
      </right>
      <top/>
      <bottom style="thin">
        <color indexed="64"/>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indexed="64"/>
      </right>
      <top style="thin">
        <color rgb="FF000000"/>
      </top>
      <bottom/>
      <diagonal/>
    </border>
    <border>
      <left/>
      <right/>
      <top/>
      <bottom style="thin">
        <color rgb="FF000000"/>
      </bottom>
      <diagonal/>
    </border>
    <border>
      <left/>
      <right style="thin">
        <color indexed="64"/>
      </right>
      <top/>
      <bottom style="thin">
        <color rgb="FF000000"/>
      </bottom>
      <diagonal/>
    </border>
    <border>
      <left style="thin">
        <color indexed="64"/>
      </left>
      <right style="thin">
        <color theme="1"/>
      </right>
      <top style="thin">
        <color indexed="64"/>
      </top>
      <bottom style="thin">
        <color theme="1"/>
      </bottom>
      <diagonal/>
    </border>
    <border>
      <left style="thin">
        <color rgb="FF000000"/>
      </left>
      <right style="thin">
        <color indexed="64"/>
      </right>
      <top style="thin">
        <color rgb="FF000000"/>
      </top>
      <bottom style="thin">
        <color theme="1"/>
      </bottom>
      <diagonal/>
    </border>
    <border>
      <left style="thin">
        <color indexed="64"/>
      </left>
      <right/>
      <top style="thin">
        <color indexed="64"/>
      </top>
      <bottom style="thin">
        <color rgb="FF000000"/>
      </bottom>
      <diagonal/>
    </border>
    <border>
      <left style="thin">
        <color theme="1"/>
      </left>
      <right style="thin">
        <color theme="1"/>
      </right>
      <top style="thin">
        <color indexed="64"/>
      </top>
      <bottom style="thin">
        <color theme="1"/>
      </bottom>
      <diagonal/>
    </border>
    <border>
      <left style="thin">
        <color indexed="64"/>
      </left>
      <right/>
      <top/>
      <bottom style="thin">
        <color indexed="64"/>
      </bottom>
      <diagonal/>
    </border>
  </borders>
  <cellStyleXfs count="8">
    <xf numFmtId="0" fontId="0" fillId="0" borderId="0"/>
    <xf numFmtId="0" fontId="1" fillId="0" borderId="0" applyNumberFormat="0" applyFill="0" applyBorder="0" applyAlignment="0" applyProtection="0"/>
    <xf numFmtId="0" fontId="13" fillId="0" borderId="0"/>
    <xf numFmtId="0" fontId="13" fillId="0" borderId="0"/>
    <xf numFmtId="0" fontId="39" fillId="0" borderId="0" applyNumberFormat="0" applyFill="0" applyBorder="0" applyAlignment="0" applyProtection="0">
      <alignment vertical="top"/>
      <protection locked="0"/>
    </xf>
    <xf numFmtId="0" fontId="48" fillId="0" borderId="0"/>
    <xf numFmtId="0" fontId="55" fillId="0" borderId="0" applyNumberFormat="0" applyFill="0" applyBorder="0" applyAlignment="0" applyProtection="0"/>
    <xf numFmtId="0" fontId="13" fillId="0" borderId="0"/>
  </cellStyleXfs>
  <cellXfs count="428">
    <xf numFmtId="0" fontId="0" fillId="0" borderId="0" xfId="0"/>
    <xf numFmtId="0" fontId="0" fillId="0" borderId="4" xfId="0" applyBorder="1" applyAlignment="1">
      <alignment vertical="center"/>
    </xf>
    <xf numFmtId="0" fontId="3" fillId="0" borderId="4" xfId="1" applyFont="1" applyFill="1" applyBorder="1" applyAlignment="1" applyProtection="1">
      <alignment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wrapText="1"/>
    </xf>
    <xf numFmtId="0" fontId="3" fillId="0" borderId="4" xfId="1" applyFont="1" applyFill="1" applyBorder="1" applyAlignment="1" applyProtection="1">
      <alignment horizontal="center" vertical="center" wrapText="1"/>
    </xf>
    <xf numFmtId="0" fontId="3" fillId="0" borderId="1" xfId="1" applyFont="1" applyFill="1" applyBorder="1" applyAlignment="1" applyProtection="1">
      <alignment horizontal="center" vertical="center" wrapText="1"/>
    </xf>
    <xf numFmtId="0" fontId="3" fillId="0" borderId="1" xfId="1" applyFont="1" applyFill="1" applyBorder="1" applyAlignment="1" applyProtection="1">
      <alignment horizontal="center" vertical="center" textRotation="90" wrapText="1"/>
    </xf>
    <xf numFmtId="0" fontId="4" fillId="0" borderId="4" xfId="0" applyFont="1" applyBorder="1" applyAlignment="1">
      <alignment horizontal="center" vertical="center" wrapText="1"/>
    </xf>
    <xf numFmtId="0" fontId="5" fillId="2" borderId="8" xfId="1" applyFont="1" applyFill="1" applyBorder="1" applyAlignment="1" applyProtection="1">
      <alignment horizontal="center" vertical="center" wrapText="1"/>
    </xf>
    <xf numFmtId="0" fontId="5" fillId="0" borderId="3" xfId="1" applyFont="1" applyFill="1" applyBorder="1" applyAlignment="1" applyProtection="1">
      <alignment vertical="center" wrapText="1"/>
    </xf>
    <xf numFmtId="0" fontId="5" fillId="2" borderId="3" xfId="1" applyFont="1" applyFill="1" applyBorder="1" applyAlignment="1" applyProtection="1">
      <alignment vertical="center" wrapText="1"/>
    </xf>
    <xf numFmtId="0" fontId="6" fillId="2" borderId="9" xfId="1" applyFont="1" applyFill="1" applyBorder="1" applyAlignment="1" applyProtection="1">
      <alignment horizontal="center" vertical="center" wrapText="1"/>
    </xf>
    <xf numFmtId="0" fontId="5" fillId="2" borderId="9" xfId="1" applyNumberFormat="1" applyFont="1" applyFill="1" applyBorder="1" applyAlignment="1" applyProtection="1">
      <alignment horizontal="center" vertical="center" wrapText="1"/>
    </xf>
    <xf numFmtId="0" fontId="5" fillId="2" borderId="9" xfId="1" applyFont="1" applyFill="1" applyBorder="1" applyAlignment="1" applyProtection="1">
      <alignment horizontal="center" vertical="center" wrapText="1"/>
    </xf>
    <xf numFmtId="0" fontId="7" fillId="2" borderId="3"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9" xfId="0" applyFont="1" applyFill="1" applyBorder="1" applyAlignment="1">
      <alignment horizontal="center" vertical="center"/>
    </xf>
    <xf numFmtId="0" fontId="5" fillId="2" borderId="9" xfId="1" applyFont="1" applyFill="1" applyBorder="1" applyAlignment="1" applyProtection="1">
      <alignment horizontal="left" vertical="center" wrapText="1"/>
    </xf>
    <xf numFmtId="0" fontId="7" fillId="2" borderId="9" xfId="0" applyFont="1" applyFill="1" applyBorder="1" applyAlignment="1">
      <alignment horizontal="center" vertical="center" wrapText="1"/>
    </xf>
    <xf numFmtId="0" fontId="5" fillId="0" borderId="3" xfId="1" applyFont="1" applyFill="1" applyBorder="1" applyAlignment="1" applyProtection="1">
      <alignment horizontal="center" vertical="center" wrapText="1"/>
    </xf>
    <xf numFmtId="0" fontId="5" fillId="2" borderId="3" xfId="1" applyFont="1" applyFill="1" applyBorder="1" applyAlignment="1" applyProtection="1">
      <alignment horizontal="center" vertical="center" wrapText="1"/>
    </xf>
    <xf numFmtId="0" fontId="5" fillId="2" borderId="0" xfId="1" applyFont="1" applyFill="1" applyAlignment="1" applyProtection="1">
      <alignment horizontal="center" vertical="center" wrapText="1"/>
    </xf>
    <xf numFmtId="0" fontId="8" fillId="3" borderId="0" xfId="0" applyFont="1" applyFill="1" applyAlignment="1">
      <alignment horizontal="center" vertical="center"/>
    </xf>
    <xf numFmtId="0" fontId="9" fillId="0" borderId="11" xfId="0" applyFont="1" applyBorder="1" applyAlignment="1">
      <alignment vertical="center" wrapText="1"/>
    </xf>
    <xf numFmtId="0" fontId="10" fillId="0" borderId="11" xfId="0" applyFont="1" applyBorder="1" applyAlignment="1">
      <alignment horizontal="left" vertical="center" wrapText="1"/>
    </xf>
    <xf numFmtId="0" fontId="10" fillId="0" borderId="11"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11" xfId="0" applyFont="1" applyBorder="1" applyAlignment="1">
      <alignment horizontal="center" vertical="center"/>
    </xf>
    <xf numFmtId="0" fontId="11" fillId="4" borderId="11" xfId="0" applyFont="1" applyFill="1" applyBorder="1" applyAlignment="1">
      <alignment vertical="center" wrapText="1"/>
    </xf>
    <xf numFmtId="0" fontId="11" fillId="0" borderId="11" xfId="0" applyFont="1" applyBorder="1" applyAlignment="1">
      <alignment vertical="center" wrapText="1"/>
    </xf>
    <xf numFmtId="0" fontId="11" fillId="0" borderId="11" xfId="0" applyFont="1" applyBorder="1" applyAlignment="1">
      <alignment horizontal="left" vertical="center" wrapText="1"/>
    </xf>
    <xf numFmtId="0" fontId="9" fillId="0" borderId="0" xfId="0" applyFont="1" applyAlignment="1">
      <alignment vertical="center"/>
    </xf>
    <xf numFmtId="0" fontId="9" fillId="0" borderId="14" xfId="0" applyFont="1" applyBorder="1" applyAlignment="1">
      <alignment vertical="center" wrapText="1"/>
    </xf>
    <xf numFmtId="0" fontId="10" fillId="0" borderId="14" xfId="0" applyFont="1" applyBorder="1" applyAlignment="1">
      <alignment horizontal="left" vertical="center" wrapText="1"/>
    </xf>
    <xf numFmtId="0" fontId="10" fillId="0" borderId="14" xfId="0" applyFont="1" applyBorder="1" applyAlignment="1">
      <alignment horizontal="center" vertical="center" wrapText="1"/>
    </xf>
    <xf numFmtId="0" fontId="12" fillId="0" borderId="11" xfId="0" applyFont="1" applyBorder="1" applyAlignment="1">
      <alignment vertical="center" wrapText="1"/>
    </xf>
    <xf numFmtId="0" fontId="10" fillId="0" borderId="0" xfId="0" applyFont="1" applyAlignment="1">
      <alignment horizontal="center" vertical="center" wrapText="1"/>
    </xf>
    <xf numFmtId="0" fontId="10" fillId="0" borderId="15" xfId="0" applyFont="1" applyBorder="1" applyAlignment="1">
      <alignment horizontal="left" vertical="center" wrapText="1"/>
    </xf>
    <xf numFmtId="0" fontId="10" fillId="0" borderId="3" xfId="0" applyFont="1" applyBorder="1" applyAlignment="1">
      <alignment horizontal="center" vertical="center" wrapText="1"/>
    </xf>
    <xf numFmtId="0" fontId="10" fillId="0" borderId="3" xfId="0" applyFont="1" applyBorder="1" applyAlignment="1">
      <alignment horizontal="left" vertical="center" wrapText="1"/>
    </xf>
    <xf numFmtId="0" fontId="10" fillId="0" borderId="3" xfId="0" applyFont="1" applyBorder="1" applyAlignment="1">
      <alignment horizontal="center" vertical="center"/>
    </xf>
    <xf numFmtId="0" fontId="10" fillId="0" borderId="16" xfId="0" applyFont="1" applyBorder="1" applyAlignment="1">
      <alignment horizontal="center" vertical="center" wrapText="1"/>
    </xf>
    <xf numFmtId="0" fontId="11" fillId="4" borderId="17" xfId="0" applyFont="1" applyFill="1" applyBorder="1" applyAlignment="1">
      <alignment vertical="center" wrapText="1"/>
    </xf>
    <xf numFmtId="0" fontId="8" fillId="0" borderId="0" xfId="0" applyFont="1" applyAlignment="1">
      <alignment horizontal="center" vertical="center"/>
    </xf>
    <xf numFmtId="0" fontId="9" fillId="0" borderId="11" xfId="0" applyFont="1" applyBorder="1" applyAlignment="1">
      <alignment horizontal="left" vertical="center" wrapText="1"/>
    </xf>
    <xf numFmtId="0" fontId="9" fillId="0" borderId="11" xfId="0" applyFont="1" applyBorder="1" applyAlignment="1">
      <alignment horizontal="center" vertical="center"/>
    </xf>
    <xf numFmtId="0" fontId="10" fillId="0" borderId="11" xfId="2" applyFont="1" applyBorder="1" applyAlignment="1">
      <alignment horizontal="left" vertical="center" wrapText="1"/>
    </xf>
    <xf numFmtId="0" fontId="11" fillId="0" borderId="11" xfId="0" quotePrefix="1" applyFont="1" applyBorder="1" applyAlignment="1">
      <alignment horizontal="center" vertical="center" wrapText="1"/>
    </xf>
    <xf numFmtId="0" fontId="10" fillId="0" borderId="11" xfId="0" applyFont="1" applyBorder="1" applyAlignment="1">
      <alignment vertical="center" wrapText="1"/>
    </xf>
    <xf numFmtId="0" fontId="9" fillId="0" borderId="11" xfId="0" applyFont="1" applyBorder="1" applyAlignment="1">
      <alignment horizontal="center" vertical="center" wrapText="1"/>
    </xf>
    <xf numFmtId="0" fontId="14" fillId="0" borderId="11" xfId="0" applyFont="1" applyBorder="1" applyAlignment="1">
      <alignment horizontal="left" vertical="center" wrapText="1"/>
    </xf>
    <xf numFmtId="0" fontId="11" fillId="0" borderId="11" xfId="0" applyFont="1" applyBorder="1" applyAlignment="1">
      <alignment horizontal="center" vertical="center" wrapText="1"/>
    </xf>
    <xf numFmtId="0" fontId="10" fillId="0" borderId="0" xfId="0" applyFont="1" applyAlignment="1">
      <alignment horizontal="left" vertical="center" wrapText="1"/>
    </xf>
    <xf numFmtId="0" fontId="10" fillId="0" borderId="0" xfId="0" applyFont="1" applyAlignment="1">
      <alignment vertical="center" wrapText="1"/>
    </xf>
    <xf numFmtId="0" fontId="11" fillId="0" borderId="0" xfId="0" applyFont="1" applyAlignment="1">
      <alignment wrapText="1"/>
    </xf>
    <xf numFmtId="0" fontId="10" fillId="0" borderId="11" xfId="0" quotePrefix="1" applyFont="1" applyBorder="1" applyAlignment="1">
      <alignment horizontal="center" vertical="center" wrapText="1"/>
    </xf>
    <xf numFmtId="0" fontId="20" fillId="0" borderId="11" xfId="0" applyFont="1" applyBorder="1" applyAlignment="1">
      <alignment horizontal="center" vertical="center"/>
    </xf>
    <xf numFmtId="0" fontId="21" fillId="0" borderId="11" xfId="0" applyFont="1" applyBorder="1"/>
    <xf numFmtId="0" fontId="11" fillId="0" borderId="11" xfId="0" applyFont="1" applyBorder="1" applyAlignment="1">
      <alignment horizontal="center" vertical="center"/>
    </xf>
    <xf numFmtId="0" fontId="11" fillId="0" borderId="11" xfId="0" applyFont="1" applyBorder="1" applyAlignment="1">
      <alignment wrapText="1"/>
    </xf>
    <xf numFmtId="0" fontId="11" fillId="0" borderId="3" xfId="2" applyFont="1" applyBorder="1" applyAlignment="1">
      <alignment horizontal="left" vertical="center" wrapText="1"/>
    </xf>
    <xf numFmtId="0" fontId="11" fillId="0" borderId="3" xfId="0" applyFont="1" applyBorder="1" applyAlignment="1">
      <alignment vertical="center" wrapText="1"/>
    </xf>
    <xf numFmtId="0" fontId="11" fillId="0" borderId="3" xfId="0" applyFont="1" applyBorder="1" applyAlignment="1">
      <alignment horizontal="left" vertical="center" wrapText="1"/>
    </xf>
    <xf numFmtId="0" fontId="11" fillId="0" borderId="11" xfId="2" applyFont="1" applyBorder="1" applyAlignment="1">
      <alignment horizontal="left" vertical="center" wrapText="1"/>
    </xf>
    <xf numFmtId="0" fontId="20" fillId="0" borderId="11" xfId="0" applyFont="1" applyBorder="1" applyAlignment="1">
      <alignment horizontal="center" vertical="center" wrapText="1"/>
    </xf>
    <xf numFmtId="6" fontId="10" fillId="0" borderId="11" xfId="0" applyNumberFormat="1" applyFont="1" applyBorder="1" applyAlignment="1">
      <alignment horizontal="center" vertical="center" wrapText="1"/>
    </xf>
    <xf numFmtId="0" fontId="23" fillId="0" borderId="11" xfId="0" applyFont="1" applyBorder="1" applyAlignment="1">
      <alignment horizontal="left" vertical="center" wrapText="1"/>
    </xf>
    <xf numFmtId="0" fontId="11" fillId="0" borderId="0" xfId="0" applyFont="1" applyAlignment="1">
      <alignment horizontal="left" vertical="center" wrapText="1"/>
    </xf>
    <xf numFmtId="0" fontId="10" fillId="0" borderId="4" xfId="0" applyFont="1" applyBorder="1" applyAlignment="1">
      <alignment horizontal="center" vertical="center" wrapText="1"/>
    </xf>
    <xf numFmtId="49" fontId="9" fillId="0" borderId="11" xfId="0" applyNumberFormat="1" applyFont="1" applyBorder="1" applyAlignment="1">
      <alignment horizontal="left" vertical="center" wrapText="1"/>
    </xf>
    <xf numFmtId="0" fontId="10" fillId="0" borderId="11" xfId="2" applyFont="1" applyBorder="1" applyAlignment="1">
      <alignment horizontal="center" vertical="center" wrapText="1"/>
    </xf>
    <xf numFmtId="0" fontId="10" fillId="0" borderId="0" xfId="0" applyFont="1" applyAlignment="1">
      <alignment horizontal="center" vertical="center"/>
    </xf>
    <xf numFmtId="0" fontId="12" fillId="0" borderId="11" xfId="0" applyFont="1" applyBorder="1" applyAlignment="1">
      <alignment horizontal="left" vertical="center" wrapText="1"/>
    </xf>
    <xf numFmtId="0" fontId="10" fillId="4" borderId="11" xfId="0" applyFont="1" applyFill="1" applyBorder="1" applyAlignment="1">
      <alignment horizontal="center" vertical="center" wrapText="1"/>
    </xf>
    <xf numFmtId="6" fontId="11" fillId="0" borderId="11" xfId="0" applyNumberFormat="1" applyFont="1" applyBorder="1" applyAlignment="1">
      <alignment vertical="center" wrapText="1"/>
    </xf>
    <xf numFmtId="0" fontId="9" fillId="4" borderId="11" xfId="0" applyFont="1" applyFill="1" applyBorder="1" applyAlignment="1">
      <alignment wrapText="1"/>
    </xf>
    <xf numFmtId="0" fontId="10" fillId="4" borderId="11" xfId="0" applyFont="1" applyFill="1" applyBorder="1" applyAlignment="1">
      <alignment horizontal="left" vertical="center" wrapText="1"/>
    </xf>
    <xf numFmtId="0" fontId="11" fillId="0" borderId="11" xfId="0" applyFont="1" applyBorder="1"/>
    <xf numFmtId="0" fontId="29" fillId="0" borderId="11" xfId="0" applyFont="1" applyBorder="1" applyAlignment="1">
      <alignment vertical="center" wrapText="1"/>
    </xf>
    <xf numFmtId="0" fontId="10" fillId="0" borderId="3" xfId="2" applyFont="1" applyBorder="1" applyAlignment="1">
      <alignment horizontal="left" vertical="center" wrapText="1"/>
    </xf>
    <xf numFmtId="0" fontId="10" fillId="0" borderId="3" xfId="0" applyFont="1" applyBorder="1" applyAlignment="1">
      <alignment vertical="center" wrapText="1"/>
    </xf>
    <xf numFmtId="0" fontId="11" fillId="0" borderId="17" xfId="0" applyFont="1" applyBorder="1" applyAlignment="1">
      <alignment wrapText="1"/>
    </xf>
    <xf numFmtId="0" fontId="9" fillId="0" borderId="11" xfId="0" applyFont="1" applyBorder="1" applyAlignment="1">
      <alignment wrapText="1"/>
    </xf>
    <xf numFmtId="0" fontId="21" fillId="0" borderId="11" xfId="0" applyFont="1" applyBorder="1" applyAlignment="1">
      <alignment wrapText="1"/>
    </xf>
    <xf numFmtId="0" fontId="9" fillId="0" borderId="3" xfId="0" applyFont="1" applyBorder="1" applyAlignment="1">
      <alignment wrapText="1"/>
    </xf>
    <xf numFmtId="0" fontId="9" fillId="0" borderId="3" xfId="0" applyFont="1" applyBorder="1" applyAlignment="1">
      <alignment horizontal="center" vertical="center" wrapText="1"/>
    </xf>
    <xf numFmtId="0" fontId="10" fillId="0" borderId="17" xfId="0" applyFont="1" applyBorder="1" applyAlignment="1">
      <alignment horizontal="left" vertical="center" wrapText="1"/>
    </xf>
    <xf numFmtId="0" fontId="9" fillId="0" borderId="11" xfId="0" applyFont="1" applyBorder="1" applyAlignment="1">
      <alignment vertical="center"/>
    </xf>
    <xf numFmtId="0" fontId="14" fillId="0" borderId="11" xfId="0" applyFont="1" applyBorder="1" applyAlignment="1">
      <alignment horizontal="center" vertical="center" wrapText="1"/>
    </xf>
    <xf numFmtId="0" fontId="10" fillId="0" borderId="3" xfId="0" applyFont="1" applyBorder="1" applyAlignment="1" applyProtection="1">
      <alignment horizontal="left" vertical="center" wrapText="1"/>
      <protection locked="0"/>
    </xf>
    <xf numFmtId="0" fontId="9" fillId="0" borderId="11" xfId="0" applyFont="1" applyBorder="1"/>
    <xf numFmtId="0" fontId="14" fillId="0" borderId="11" xfId="0" applyFont="1" applyBorder="1" applyAlignment="1">
      <alignment horizontal="center" vertical="center"/>
    </xf>
    <xf numFmtId="0" fontId="14" fillId="0" borderId="3" xfId="0" applyFont="1" applyBorder="1" applyAlignment="1">
      <alignment horizontal="center" vertical="center"/>
    </xf>
    <xf numFmtId="0" fontId="11" fillId="0" borderId="17" xfId="0" applyFont="1" applyBorder="1" applyAlignment="1">
      <alignment horizontal="left" vertical="center" wrapText="1"/>
    </xf>
    <xf numFmtId="0" fontId="9" fillId="0" borderId="4" xfId="0" applyFont="1" applyBorder="1" applyAlignment="1">
      <alignment wrapText="1"/>
    </xf>
    <xf numFmtId="0" fontId="29" fillId="0" borderId="11" xfId="0" applyFont="1" applyBorder="1" applyAlignment="1">
      <alignment horizontal="left" vertical="center" wrapText="1"/>
    </xf>
    <xf numFmtId="0" fontId="8" fillId="0" borderId="18" xfId="0" applyFont="1" applyBorder="1" applyAlignment="1">
      <alignment horizontal="center" vertical="center"/>
    </xf>
    <xf numFmtId="6" fontId="10" fillId="0" borderId="11" xfId="0" applyNumberFormat="1" applyFont="1" applyBorder="1" applyAlignment="1">
      <alignment horizontal="center" vertical="center"/>
    </xf>
    <xf numFmtId="0" fontId="9" fillId="0" borderId="11" xfId="0" applyFont="1" applyBorder="1" applyAlignment="1" applyProtection="1">
      <alignment horizontal="left" vertical="center" wrapText="1"/>
      <protection locked="0"/>
    </xf>
    <xf numFmtId="0" fontId="10" fillId="0" borderId="11" xfId="0" applyFont="1" applyBorder="1" applyAlignment="1">
      <alignment horizontal="left" vertical="center"/>
    </xf>
    <xf numFmtId="0" fontId="11" fillId="4" borderId="11" xfId="0" applyFont="1" applyFill="1" applyBorder="1" applyAlignment="1">
      <alignment horizontal="left" vertical="center" wrapText="1"/>
    </xf>
    <xf numFmtId="6" fontId="10" fillId="0" borderId="11" xfId="0" quotePrefix="1" applyNumberFormat="1" applyFont="1" applyBorder="1" applyAlignment="1">
      <alignment vertical="center" wrapText="1"/>
    </xf>
    <xf numFmtId="0" fontId="10" fillId="0" borderId="19" xfId="0" applyFont="1" applyBorder="1" applyAlignment="1">
      <alignment horizontal="left" vertical="center" wrapText="1"/>
    </xf>
    <xf numFmtId="0" fontId="11" fillId="0" borderId="0" xfId="0" applyFont="1" applyAlignment="1">
      <alignment horizontal="center" vertical="center" wrapText="1"/>
    </xf>
    <xf numFmtId="0" fontId="34" fillId="0" borderId="11" xfId="0" applyFont="1" applyBorder="1" applyAlignment="1">
      <alignment vertical="center" wrapText="1"/>
    </xf>
    <xf numFmtId="49" fontId="9" fillId="0" borderId="11" xfId="0" applyNumberFormat="1" applyFont="1" applyBorder="1" applyAlignment="1">
      <alignment vertical="center" wrapText="1"/>
    </xf>
    <xf numFmtId="0" fontId="11" fillId="0" borderId="14" xfId="0" applyFont="1" applyBorder="1" applyAlignment="1">
      <alignment vertical="center" wrapText="1"/>
    </xf>
    <xf numFmtId="0" fontId="11" fillId="0" borderId="20" xfId="0" applyFont="1" applyBorder="1" applyAlignment="1">
      <alignment horizontal="left" vertical="center" wrapText="1"/>
    </xf>
    <xf numFmtId="0" fontId="11" fillId="0" borderId="3"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3" xfId="2" applyFont="1" applyBorder="1" applyAlignment="1">
      <alignment horizontal="center" vertical="center" wrapText="1"/>
    </xf>
    <xf numFmtId="0" fontId="11" fillId="0" borderId="6" xfId="0" applyFont="1" applyBorder="1" applyAlignment="1">
      <alignment horizontal="left" vertical="center" wrapText="1"/>
    </xf>
    <xf numFmtId="0" fontId="10" fillId="0" borderId="6"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3" xfId="0" applyFont="1" applyBorder="1" applyAlignment="1">
      <alignment horizontal="center" vertical="center"/>
    </xf>
    <xf numFmtId="0" fontId="11" fillId="0" borderId="17" xfId="0" applyFont="1" applyBorder="1" applyAlignment="1">
      <alignment vertical="center" wrapText="1"/>
    </xf>
    <xf numFmtId="0" fontId="10" fillId="0" borderId="6" xfId="0" applyFont="1" applyBorder="1" applyAlignment="1">
      <alignment horizontal="left" vertical="center" wrapText="1"/>
    </xf>
    <xf numFmtId="0" fontId="11" fillId="0" borderId="6" xfId="0" applyFont="1" applyBorder="1" applyAlignment="1">
      <alignment vertical="center" wrapText="1"/>
    </xf>
    <xf numFmtId="0" fontId="10" fillId="0" borderId="6" xfId="0" applyFont="1" applyBorder="1" applyAlignment="1">
      <alignment vertical="center" wrapText="1"/>
    </xf>
    <xf numFmtId="0" fontId="9" fillId="0" borderId="20" xfId="0" applyFont="1" applyBorder="1" applyAlignment="1">
      <alignment horizontal="left" vertical="center" wrapText="1"/>
    </xf>
    <xf numFmtId="0" fontId="9" fillId="0" borderId="14" xfId="0" applyFont="1" applyBorder="1" applyAlignment="1">
      <alignment horizontal="center" vertical="center"/>
    </xf>
    <xf numFmtId="0" fontId="11" fillId="0" borderId="3" xfId="0" applyFont="1" applyBorder="1" applyAlignment="1">
      <alignment vertical="center"/>
    </xf>
    <xf numFmtId="0" fontId="10" fillId="0" borderId="17" xfId="0" applyFont="1" applyBorder="1" applyAlignment="1">
      <alignment vertical="center" wrapText="1"/>
    </xf>
    <xf numFmtId="0" fontId="11" fillId="0" borderId="0" xfId="0" applyFont="1" applyAlignment="1">
      <alignment vertical="center" wrapText="1"/>
    </xf>
    <xf numFmtId="0" fontId="9" fillId="0" borderId="14" xfId="0" applyFont="1" applyBorder="1" applyAlignment="1">
      <alignment horizontal="center" vertical="center" wrapText="1"/>
    </xf>
    <xf numFmtId="0" fontId="9" fillId="0" borderId="0" xfId="0" applyFont="1" applyAlignment="1">
      <alignment horizontal="left" vertical="center" wrapText="1"/>
    </xf>
    <xf numFmtId="0" fontId="10" fillId="0" borderId="14" xfId="0" applyFont="1" applyBorder="1" applyAlignment="1">
      <alignment horizontal="center" vertical="center"/>
    </xf>
    <xf numFmtId="49" fontId="9" fillId="0" borderId="11" xfId="0" quotePrefix="1" applyNumberFormat="1" applyFont="1" applyBorder="1" applyAlignment="1">
      <alignment vertical="center" wrapText="1"/>
    </xf>
    <xf numFmtId="49" fontId="9" fillId="0" borderId="0" xfId="0" applyNumberFormat="1" applyFont="1" applyAlignment="1">
      <alignment horizontal="left" vertical="center" wrapText="1"/>
    </xf>
    <xf numFmtId="0" fontId="11" fillId="0" borderId="21" xfId="0" applyFont="1" applyBorder="1" applyAlignment="1">
      <alignment horizontal="left" vertical="center" wrapText="1"/>
    </xf>
    <xf numFmtId="0" fontId="10" fillId="0" borderId="3" xfId="2" applyFont="1" applyBorder="1" applyAlignment="1">
      <alignment horizontal="center" vertical="center" wrapText="1"/>
    </xf>
    <xf numFmtId="0" fontId="10" fillId="0" borderId="22" xfId="0" applyFont="1" applyBorder="1" applyAlignment="1">
      <alignment horizontal="center" vertical="center" wrapText="1"/>
    </xf>
    <xf numFmtId="0" fontId="10" fillId="0" borderId="4" xfId="0" applyFont="1" applyBorder="1" applyAlignment="1">
      <alignment horizontal="left" vertical="center" wrapText="1"/>
    </xf>
    <xf numFmtId="0" fontId="10" fillId="0" borderId="23" xfId="0" applyFont="1" applyBorder="1" applyAlignment="1">
      <alignment horizontal="left" vertical="center" wrapText="1"/>
    </xf>
    <xf numFmtId="0" fontId="10" fillId="0" borderId="24" xfId="0" applyFont="1" applyBorder="1" applyAlignment="1">
      <alignment horizontal="center" vertical="center" wrapText="1"/>
    </xf>
    <xf numFmtId="0" fontId="10" fillId="0" borderId="5" xfId="0" applyFont="1" applyBorder="1" applyAlignment="1">
      <alignment horizontal="center" vertical="center"/>
    </xf>
    <xf numFmtId="0" fontId="10" fillId="0" borderId="5" xfId="0" applyFont="1" applyBorder="1" applyAlignment="1">
      <alignment horizontal="center" vertical="center" wrapText="1"/>
    </xf>
    <xf numFmtId="0" fontId="11" fillId="0" borderId="25" xfId="0" applyFont="1" applyBorder="1" applyAlignment="1">
      <alignment vertical="center" wrapText="1"/>
    </xf>
    <xf numFmtId="0" fontId="10" fillId="0" borderId="25" xfId="0" applyFont="1" applyBorder="1" applyAlignment="1">
      <alignment horizontal="center" vertical="center" wrapText="1"/>
    </xf>
    <xf numFmtId="0" fontId="10" fillId="0" borderId="25" xfId="0" applyFont="1" applyBorder="1" applyAlignment="1">
      <alignment horizontal="left" vertical="center" wrapText="1"/>
    </xf>
    <xf numFmtId="0" fontId="9" fillId="0" borderId="21" xfId="0" applyFont="1" applyBorder="1" applyAlignment="1">
      <alignment horizontal="left" vertical="center" wrapText="1"/>
    </xf>
    <xf numFmtId="0" fontId="10" fillId="0" borderId="26"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28"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left" vertical="center" wrapText="1"/>
    </xf>
    <xf numFmtId="0" fontId="10" fillId="0" borderId="29" xfId="0" applyFont="1" applyBorder="1" applyAlignment="1">
      <alignment horizontal="center" vertical="center" wrapText="1"/>
    </xf>
    <xf numFmtId="0" fontId="11" fillId="0" borderId="30" xfId="0" applyFont="1" applyBorder="1" applyAlignment="1">
      <alignment vertical="center" wrapText="1"/>
    </xf>
    <xf numFmtId="0" fontId="11" fillId="0" borderId="31" xfId="0" applyFont="1" applyBorder="1" applyAlignment="1">
      <alignment horizontal="left" vertical="center" wrapText="1"/>
    </xf>
    <xf numFmtId="0" fontId="11" fillId="0" borderId="30" xfId="0" applyFont="1" applyBorder="1" applyAlignment="1">
      <alignment horizontal="center" vertical="center" wrapText="1"/>
    </xf>
    <xf numFmtId="0" fontId="11" fillId="0" borderId="30" xfId="0" applyFont="1" applyBorder="1" applyAlignment="1">
      <alignment horizontal="left" vertical="center" wrapText="1"/>
    </xf>
    <xf numFmtId="0" fontId="9" fillId="0" borderId="30" xfId="0" applyFont="1" applyBorder="1" applyAlignment="1">
      <alignment vertical="center" wrapText="1"/>
    </xf>
    <xf numFmtId="0" fontId="9" fillId="0" borderId="31" xfId="0" applyFont="1" applyBorder="1" applyAlignment="1">
      <alignment horizontal="left" vertical="center" wrapText="1"/>
    </xf>
    <xf numFmtId="0" fontId="9" fillId="0" borderId="30" xfId="0" applyFont="1" applyBorder="1" applyAlignment="1">
      <alignment horizontal="center" vertical="center"/>
    </xf>
    <xf numFmtId="0" fontId="10" fillId="0" borderId="30" xfId="0" quotePrefix="1" applyFont="1" applyBorder="1" applyAlignment="1">
      <alignment horizontal="center" vertical="center" wrapText="1"/>
    </xf>
    <xf numFmtId="0" fontId="11" fillId="0" borderId="0" xfId="0" applyFont="1" applyAlignment="1">
      <alignment horizontal="center" vertical="center"/>
    </xf>
    <xf numFmtId="0" fontId="11" fillId="0" borderId="32" xfId="0" applyFont="1" applyBorder="1" applyAlignment="1">
      <alignment vertical="center" wrapText="1"/>
    </xf>
    <xf numFmtId="0" fontId="11" fillId="0" borderId="33" xfId="0" applyFont="1" applyBorder="1" applyAlignment="1">
      <alignment horizontal="left" vertical="center" wrapText="1"/>
    </xf>
    <xf numFmtId="0" fontId="11" fillId="0" borderId="32" xfId="0" applyFont="1" applyBorder="1" applyAlignment="1">
      <alignment horizontal="center" vertical="center" wrapText="1"/>
    </xf>
    <xf numFmtId="0" fontId="11" fillId="0" borderId="32" xfId="0" applyFont="1" applyBorder="1" applyAlignment="1">
      <alignment horizontal="left" vertical="center" wrapText="1"/>
    </xf>
    <xf numFmtId="0" fontId="34" fillId="0" borderId="3" xfId="0" applyFont="1" applyBorder="1" applyAlignment="1">
      <alignment vertical="center" wrapText="1"/>
    </xf>
    <xf numFmtId="0" fontId="9" fillId="0" borderId="30" xfId="0" applyFont="1" applyBorder="1" applyAlignment="1">
      <alignment vertical="center"/>
    </xf>
    <xf numFmtId="0" fontId="9" fillId="0" borderId="30" xfId="0" applyFont="1" applyBorder="1" applyAlignment="1">
      <alignment horizontal="left" vertical="center" wrapText="1"/>
    </xf>
    <xf numFmtId="0" fontId="10" fillId="0" borderId="30" xfId="0" applyFont="1" applyBorder="1" applyAlignment="1">
      <alignment horizontal="center" vertical="center" wrapText="1"/>
    </xf>
    <xf numFmtId="6" fontId="10" fillId="0" borderId="30" xfId="0" applyNumberFormat="1" applyFont="1" applyBorder="1" applyAlignment="1">
      <alignment horizontal="center" vertical="center" wrapText="1"/>
    </xf>
    <xf numFmtId="0" fontId="10" fillId="0" borderId="30" xfId="0" applyFont="1" applyBorder="1" applyAlignment="1">
      <alignment vertical="center" wrapText="1"/>
    </xf>
    <xf numFmtId="0" fontId="10" fillId="0" borderId="30" xfId="0" applyFont="1" applyBorder="1" applyAlignment="1">
      <alignment horizontal="left" vertical="center" wrapText="1"/>
    </xf>
    <xf numFmtId="0" fontId="10" fillId="0" borderId="31" xfId="0" applyFont="1" applyBorder="1" applyAlignment="1">
      <alignment horizontal="left" vertical="center" wrapText="1"/>
    </xf>
    <xf numFmtId="0" fontId="10" fillId="0" borderId="30" xfId="0" applyFont="1" applyBorder="1" applyAlignment="1">
      <alignment horizontal="center" vertical="center"/>
    </xf>
    <xf numFmtId="0" fontId="9" fillId="0" borderId="30" xfId="0" applyFont="1" applyBorder="1" applyAlignment="1">
      <alignment horizontal="center" vertical="center" wrapText="1"/>
    </xf>
    <xf numFmtId="0" fontId="9" fillId="0" borderId="17" xfId="0" applyFont="1" applyBorder="1" applyAlignment="1">
      <alignment vertical="center" wrapText="1"/>
    </xf>
    <xf numFmtId="0" fontId="9" fillId="5" borderId="30" xfId="0" applyFont="1" applyFill="1" applyBorder="1" applyAlignment="1">
      <alignment vertical="center"/>
    </xf>
    <xf numFmtId="0" fontId="9" fillId="5" borderId="30" xfId="0" applyFont="1" applyFill="1" applyBorder="1" applyAlignment="1">
      <alignment horizontal="left" vertical="center" wrapText="1"/>
    </xf>
    <xf numFmtId="0" fontId="9" fillId="5" borderId="31" xfId="0" applyFont="1" applyFill="1" applyBorder="1" applyAlignment="1">
      <alignment horizontal="left" vertical="center" wrapText="1"/>
    </xf>
    <xf numFmtId="0" fontId="9" fillId="5" borderId="3" xfId="0" applyFont="1" applyFill="1" applyBorder="1" applyAlignment="1">
      <alignment horizontal="center" vertical="center" wrapText="1"/>
    </xf>
    <xf numFmtId="0" fontId="10" fillId="5" borderId="30"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10" fillId="5" borderId="3" xfId="0" applyFont="1" applyFill="1" applyBorder="1" applyAlignment="1">
      <alignment horizontal="left" vertical="center" wrapText="1"/>
    </xf>
    <xf numFmtId="6" fontId="10" fillId="5" borderId="30" xfId="0" applyNumberFormat="1" applyFont="1" applyFill="1" applyBorder="1" applyAlignment="1">
      <alignment horizontal="center" vertical="center" wrapText="1"/>
    </xf>
    <xf numFmtId="0" fontId="10" fillId="5" borderId="3" xfId="0" applyFont="1" applyFill="1" applyBorder="1" applyAlignment="1">
      <alignment horizontal="center" vertical="center"/>
    </xf>
    <xf numFmtId="0" fontId="11" fillId="5" borderId="30" xfId="0" applyFont="1" applyFill="1" applyBorder="1" applyAlignment="1">
      <alignment horizontal="left" vertical="center" wrapText="1"/>
    </xf>
    <xf numFmtId="0" fontId="11" fillId="5" borderId="3" xfId="0" applyFont="1" applyFill="1" applyBorder="1" applyAlignment="1">
      <alignment vertical="center" wrapText="1"/>
    </xf>
    <xf numFmtId="0" fontId="11" fillId="5" borderId="11" xfId="0" applyFont="1" applyFill="1" applyBorder="1" applyAlignment="1">
      <alignment horizontal="left" vertical="center" wrapText="1"/>
    </xf>
    <xf numFmtId="0" fontId="10" fillId="5" borderId="16" xfId="0" applyFont="1" applyFill="1" applyBorder="1" applyAlignment="1">
      <alignment horizontal="center" vertical="center" wrapText="1"/>
    </xf>
    <xf numFmtId="0" fontId="11" fillId="5" borderId="17" xfId="0" applyFont="1" applyFill="1" applyBorder="1" applyAlignment="1">
      <alignment vertical="center" wrapText="1"/>
    </xf>
    <xf numFmtId="0" fontId="9" fillId="5" borderId="0" xfId="0" applyFont="1" applyFill="1" applyAlignment="1">
      <alignment vertical="center"/>
    </xf>
    <xf numFmtId="0" fontId="10" fillId="4" borderId="3" xfId="0" applyFont="1" applyFill="1" applyBorder="1" applyAlignment="1">
      <alignment vertical="center" wrapText="1"/>
    </xf>
    <xf numFmtId="0" fontId="11" fillId="4" borderId="3"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1" fillId="0" borderId="16" xfId="0" applyFont="1" applyBorder="1" applyAlignment="1">
      <alignment horizontal="center" vertical="center" wrapText="1"/>
    </xf>
    <xf numFmtId="0" fontId="11" fillId="5" borderId="3" xfId="0" applyFont="1" applyFill="1" applyBorder="1" applyAlignment="1">
      <alignment horizontal="left" vertical="center" wrapText="1"/>
    </xf>
    <xf numFmtId="0" fontId="10" fillId="5" borderId="3" xfId="0" applyFont="1" applyFill="1" applyBorder="1" applyAlignment="1">
      <alignment vertical="center" wrapText="1"/>
    </xf>
    <xf numFmtId="0" fontId="10" fillId="5" borderId="17" xfId="0" applyFont="1" applyFill="1" applyBorder="1" applyAlignment="1">
      <alignment vertical="center" wrapText="1"/>
    </xf>
    <xf numFmtId="0" fontId="11" fillId="0" borderId="16" xfId="0" applyFont="1" applyBorder="1" applyAlignment="1">
      <alignment wrapText="1"/>
    </xf>
    <xf numFmtId="0" fontId="10" fillId="0" borderId="34" xfId="0" applyFont="1" applyBorder="1" applyAlignment="1">
      <alignment horizontal="left" vertical="center" wrapText="1"/>
    </xf>
    <xf numFmtId="0" fontId="10" fillId="0" borderId="5" xfId="0" applyFont="1" applyBorder="1" applyAlignment="1">
      <alignment vertical="center" wrapText="1"/>
    </xf>
    <xf numFmtId="0" fontId="9" fillId="0" borderId="19" xfId="0" applyFont="1" applyBorder="1" applyAlignment="1">
      <alignment vertical="center" wrapText="1"/>
    </xf>
    <xf numFmtId="0" fontId="10" fillId="0" borderId="35" xfId="0" applyFont="1" applyBorder="1" applyAlignment="1">
      <alignment horizontal="left" vertical="center" wrapText="1"/>
    </xf>
    <xf numFmtId="0" fontId="10" fillId="0" borderId="34" xfId="0" applyFont="1" applyBorder="1" applyAlignment="1">
      <alignment horizontal="center" vertical="center" wrapText="1"/>
    </xf>
    <xf numFmtId="0" fontId="11" fillId="0" borderId="19" xfId="0" applyFont="1" applyBorder="1" applyAlignment="1">
      <alignment horizontal="center" vertical="center" wrapText="1"/>
    </xf>
    <xf numFmtId="0" fontId="10" fillId="0" borderId="34" xfId="2" applyFont="1" applyBorder="1" applyAlignment="1">
      <alignment horizontal="left" vertical="center" wrapText="1"/>
    </xf>
    <xf numFmtId="0" fontId="10" fillId="0" borderId="36" xfId="0" applyFont="1" applyBorder="1" applyAlignment="1">
      <alignment horizontal="left" vertical="center" wrapText="1"/>
    </xf>
    <xf numFmtId="0" fontId="9" fillId="0" borderId="19" xfId="0" applyFont="1" applyBorder="1" applyAlignment="1">
      <alignment horizontal="center" vertical="center" wrapText="1"/>
    </xf>
    <xf numFmtId="0" fontId="10" fillId="0" borderId="34" xfId="0" applyFont="1" applyBorder="1" applyAlignment="1">
      <alignment horizontal="center" vertical="center"/>
    </xf>
    <xf numFmtId="0" fontId="11" fillId="0" borderId="19" xfId="0" applyFont="1" applyBorder="1" applyAlignment="1">
      <alignment vertical="center" wrapText="1"/>
    </xf>
    <xf numFmtId="0" fontId="11" fillId="0" borderId="34" xfId="0" applyFont="1" applyBorder="1" applyAlignment="1">
      <alignment vertical="center" wrapText="1"/>
    </xf>
    <xf numFmtId="0" fontId="10" fillId="0" borderId="37" xfId="0" applyFont="1" applyBorder="1" applyAlignment="1">
      <alignment horizontal="left"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0" fillId="0" borderId="5" xfId="0" applyFont="1" applyBorder="1" applyAlignment="1">
      <alignment horizontal="left" vertical="center" wrapText="1"/>
    </xf>
    <xf numFmtId="0" fontId="9" fillId="0" borderId="5" xfId="0" applyFont="1" applyBorder="1" applyAlignment="1">
      <alignment horizontal="center" vertical="center" wrapText="1"/>
    </xf>
    <xf numFmtId="0" fontId="10" fillId="0" borderId="4" xfId="0" applyFont="1" applyBorder="1" applyAlignment="1">
      <alignment horizontal="center" vertical="center"/>
    </xf>
    <xf numFmtId="0" fontId="11" fillId="0" borderId="5" xfId="0" applyFont="1" applyBorder="1" applyAlignment="1">
      <alignment vertical="center" wrapText="1"/>
    </xf>
    <xf numFmtId="0" fontId="10" fillId="0" borderId="13" xfId="0" applyFont="1" applyBorder="1" applyAlignment="1">
      <alignment horizontal="left" vertical="center" wrapText="1"/>
    </xf>
    <xf numFmtId="0" fontId="10" fillId="0" borderId="6" xfId="0" applyFont="1" applyBorder="1" applyAlignment="1">
      <alignment horizontal="center" vertical="center"/>
    </xf>
    <xf numFmtId="0" fontId="11" fillId="0" borderId="28" xfId="0" applyFont="1" applyBorder="1" applyAlignment="1">
      <alignment vertical="center" wrapText="1"/>
    </xf>
    <xf numFmtId="0" fontId="10" fillId="0" borderId="28" xfId="0" applyFont="1" applyBorder="1" applyAlignment="1">
      <alignment horizontal="left" vertical="center" wrapText="1"/>
    </xf>
    <xf numFmtId="0" fontId="11" fillId="0" borderId="29" xfId="0" applyFont="1" applyBorder="1" applyAlignment="1">
      <alignment horizontal="left" vertical="center" wrapText="1"/>
    </xf>
    <xf numFmtId="0" fontId="11" fillId="0" borderId="28" xfId="0" applyFont="1" applyBorder="1" applyAlignment="1">
      <alignment horizontal="center" vertical="center" wrapText="1"/>
    </xf>
    <xf numFmtId="49" fontId="9" fillId="0" borderId="30" xfId="0" applyNumberFormat="1" applyFont="1" applyBorder="1" applyAlignment="1">
      <alignment horizontal="left" vertical="center" wrapText="1"/>
    </xf>
    <xf numFmtId="0" fontId="35" fillId="0" borderId="17" xfId="0" applyFont="1" applyBorder="1" applyAlignment="1">
      <alignment vertical="center" wrapText="1"/>
    </xf>
    <xf numFmtId="6" fontId="10" fillId="0" borderId="3" xfId="0" applyNumberFormat="1" applyFont="1" applyBorder="1" applyAlignment="1">
      <alignment horizontal="left" vertical="center" wrapText="1"/>
    </xf>
    <xf numFmtId="6" fontId="10" fillId="0" borderId="3" xfId="0" applyNumberFormat="1" applyFont="1" applyBorder="1" applyAlignment="1">
      <alignment horizontal="center" vertical="center" wrapText="1"/>
    </xf>
    <xf numFmtId="0" fontId="36" fillId="0" borderId="11" xfId="0" applyFont="1" applyBorder="1" applyAlignment="1">
      <alignment horizontal="left" vertical="center" wrapText="1"/>
    </xf>
    <xf numFmtId="0" fontId="36" fillId="0" borderId="17" xfId="0" applyFont="1" applyBorder="1" applyAlignment="1">
      <alignment vertical="center" wrapText="1"/>
    </xf>
    <xf numFmtId="0" fontId="36" fillId="0" borderId="11" xfId="0" applyFont="1" applyBorder="1" applyAlignment="1">
      <alignment horizontal="center" vertical="center" wrapText="1"/>
    </xf>
    <xf numFmtId="0" fontId="9" fillId="0" borderId="0" xfId="0" applyFont="1" applyAlignment="1">
      <alignment vertical="center" wrapText="1"/>
    </xf>
    <xf numFmtId="0" fontId="9" fillId="0" borderId="0" xfId="0" applyFont="1" applyAlignment="1">
      <alignment horizontal="center" vertical="center"/>
    </xf>
    <xf numFmtId="0" fontId="10" fillId="0" borderId="31" xfId="0" applyFont="1" applyBorder="1" applyAlignment="1">
      <alignment vertical="center" wrapText="1"/>
    </xf>
    <xf numFmtId="0" fontId="9" fillId="0" borderId="3" xfId="0" applyFont="1" applyBorder="1" applyAlignment="1">
      <alignment vertical="center" wrapText="1"/>
    </xf>
    <xf numFmtId="0" fontId="10" fillId="0" borderId="16" xfId="0" applyFont="1" applyBorder="1" applyAlignment="1">
      <alignment vertical="center" wrapText="1"/>
    </xf>
    <xf numFmtId="0" fontId="0" fillId="0" borderId="0" xfId="0" applyAlignment="1">
      <alignment vertical="center"/>
    </xf>
    <xf numFmtId="0" fontId="0" fillId="0" borderId="0" xfId="0" applyAlignment="1">
      <alignment horizontal="center" vertical="center"/>
    </xf>
    <xf numFmtId="0" fontId="40" fillId="7" borderId="4" xfId="4" applyFont="1" applyFill="1" applyBorder="1" applyAlignment="1" applyProtection="1">
      <alignment horizontal="center" vertical="center" wrapText="1"/>
    </xf>
    <xf numFmtId="0" fontId="43" fillId="7" borderId="4" xfId="4" applyFont="1" applyFill="1" applyBorder="1" applyAlignment="1" applyProtection="1">
      <alignment horizontal="center" vertical="center" wrapText="1"/>
    </xf>
    <xf numFmtId="0" fontId="42" fillId="7" borderId="4" xfId="4" applyFont="1" applyFill="1" applyBorder="1" applyAlignment="1" applyProtection="1">
      <alignment horizontal="center" vertical="center" wrapText="1"/>
    </xf>
    <xf numFmtId="0" fontId="0" fillId="0" borderId="4" xfId="0" applyBorder="1" applyAlignment="1">
      <alignment horizontal="center" vertical="center" wrapText="1"/>
    </xf>
    <xf numFmtId="0" fontId="0" fillId="0" borderId="4" xfId="0" applyBorder="1" applyAlignment="1">
      <alignment horizontal="left" vertical="top" wrapText="1"/>
    </xf>
    <xf numFmtId="0" fontId="0" fillId="0" borderId="4" xfId="0" applyBorder="1" applyAlignment="1">
      <alignment horizontal="center" vertical="center"/>
    </xf>
    <xf numFmtId="0" fontId="0" fillId="0" borderId="4" xfId="0" applyBorder="1" applyAlignment="1">
      <alignment vertical="center" wrapText="1"/>
    </xf>
    <xf numFmtId="0" fontId="0" fillId="0" borderId="4" xfId="0" applyBorder="1" applyProtection="1">
      <protection locked="0"/>
    </xf>
    <xf numFmtId="0" fontId="0" fillId="0" borderId="0" xfId="0" applyAlignment="1">
      <alignment vertical="center" wrapText="1"/>
    </xf>
    <xf numFmtId="0" fontId="44" fillId="0" borderId="0" xfId="0" applyFont="1" applyAlignment="1">
      <alignment vertical="center" wrapText="1"/>
    </xf>
    <xf numFmtId="0" fontId="45" fillId="0" borderId="4" xfId="0" applyFont="1" applyBorder="1" applyAlignment="1">
      <alignment wrapText="1"/>
    </xf>
    <xf numFmtId="0" fontId="45" fillId="0" borderId="5" xfId="0" applyFont="1" applyBorder="1" applyAlignment="1">
      <alignment wrapText="1"/>
    </xf>
    <xf numFmtId="0" fontId="6" fillId="0" borderId="0" xfId="0" applyFont="1" applyAlignment="1">
      <alignment horizontal="left" vertical="center" wrapText="1"/>
    </xf>
    <xf numFmtId="0" fontId="0" fillId="0" borderId="0" xfId="0" applyAlignment="1">
      <alignment wrapText="1"/>
    </xf>
    <xf numFmtId="0" fontId="0" fillId="0" borderId="4" xfId="0" applyBorder="1" applyAlignment="1">
      <alignment wrapText="1"/>
    </xf>
    <xf numFmtId="0" fontId="0" fillId="0" borderId="4" xfId="0" applyBorder="1"/>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2" xfId="0" applyBorder="1" applyAlignment="1">
      <alignment horizontal="center" vertical="center" wrapText="1"/>
    </xf>
    <xf numFmtId="0" fontId="0" fillId="0" borderId="11" xfId="0" applyBorder="1" applyAlignment="1">
      <alignment horizontal="center" vertical="center" wrapText="1"/>
    </xf>
    <xf numFmtId="0" fontId="0" fillId="0" borderId="11" xfId="0" applyBorder="1" applyAlignment="1">
      <alignment horizontal="left" vertical="top"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6" xfId="0" applyBorder="1" applyAlignment="1">
      <alignment horizontal="left" vertical="top" wrapText="1"/>
    </xf>
    <xf numFmtId="0" fontId="45" fillId="0" borderId="4" xfId="0" applyFont="1" applyBorder="1" applyAlignment="1">
      <alignment horizontal="left" vertical="top" wrapText="1"/>
    </xf>
    <xf numFmtId="0" fontId="45" fillId="0" borderId="5" xfId="0" applyFont="1" applyBorder="1" applyAlignment="1">
      <alignment horizontal="center" vertical="center" wrapText="1"/>
    </xf>
    <xf numFmtId="0" fontId="45" fillId="0" borderId="28" xfId="0" applyFont="1" applyBorder="1" applyAlignment="1">
      <alignment wrapText="1"/>
    </xf>
    <xf numFmtId="0" fontId="45" fillId="0" borderId="5" xfId="0" applyFont="1" applyBorder="1" applyAlignment="1">
      <alignment horizontal="center" wrapText="1"/>
    </xf>
    <xf numFmtId="0" fontId="45" fillId="0" borderId="0" xfId="0" applyFont="1" applyAlignment="1">
      <alignment wrapText="1"/>
    </xf>
    <xf numFmtId="0" fontId="45" fillId="0" borderId="6" xfId="0" applyFont="1" applyBorder="1" applyAlignment="1">
      <alignment wrapText="1"/>
    </xf>
    <xf numFmtId="0" fontId="45" fillId="0" borderId="28" xfId="0" applyFont="1" applyBorder="1" applyAlignment="1">
      <alignment horizontal="center" vertical="center" wrapText="1"/>
    </xf>
    <xf numFmtId="0" fontId="45" fillId="0" borderId="28" xfId="0" applyFont="1" applyBorder="1" applyAlignment="1">
      <alignment horizontal="center"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 vertical="center" wrapText="1"/>
    </xf>
    <xf numFmtId="0" fontId="46" fillId="0" borderId="4" xfId="3" applyFont="1" applyBorder="1" applyAlignment="1">
      <alignment horizontal="left" vertical="top" wrapText="1"/>
    </xf>
    <xf numFmtId="0" fontId="48" fillId="0" borderId="0" xfId="5"/>
    <xf numFmtId="0" fontId="49" fillId="0" borderId="4" xfId="3" applyFont="1" applyBorder="1" applyAlignment="1">
      <alignment horizontal="left" vertical="top" wrapText="1"/>
    </xf>
    <xf numFmtId="0" fontId="46" fillId="0" borderId="4" xfId="3" applyFont="1" applyBorder="1" applyAlignment="1">
      <alignment horizontal="center" vertical="top" wrapText="1"/>
    </xf>
    <xf numFmtId="0" fontId="56" fillId="7" borderId="4" xfId="6" applyFont="1" applyFill="1" applyBorder="1" applyAlignment="1" applyProtection="1">
      <alignment horizontal="center" vertical="top" textRotation="90" wrapText="1"/>
    </xf>
    <xf numFmtId="0" fontId="49" fillId="7" borderId="4" xfId="3" applyFont="1" applyFill="1" applyBorder="1" applyAlignment="1">
      <alignment horizontal="center" vertical="top" textRotation="90" wrapText="1"/>
    </xf>
    <xf numFmtId="0" fontId="52" fillId="7" borderId="4" xfId="4" applyFont="1" applyFill="1" applyBorder="1" applyAlignment="1" applyProtection="1">
      <alignment horizontal="center" vertical="top" wrapText="1"/>
    </xf>
    <xf numFmtId="0" fontId="56" fillId="7" borderId="4" xfId="6" applyFont="1" applyFill="1" applyBorder="1" applyAlignment="1" applyProtection="1">
      <alignment horizontal="center" vertical="top" wrapText="1"/>
    </xf>
    <xf numFmtId="0" fontId="53" fillId="7" borderId="4" xfId="6" applyFont="1" applyFill="1" applyBorder="1" applyAlignment="1" applyProtection="1">
      <alignment horizontal="center" vertical="top" wrapText="1"/>
    </xf>
    <xf numFmtId="49" fontId="57" fillId="0" borderId="1" xfId="5" applyNumberFormat="1" applyFont="1" applyBorder="1" applyAlignment="1">
      <alignment horizontal="center" vertical="center" wrapText="1"/>
    </xf>
    <xf numFmtId="0" fontId="57" fillId="0" borderId="1" xfId="5" applyFont="1" applyBorder="1" applyAlignment="1">
      <alignment horizontal="left" vertical="center" wrapText="1"/>
    </xf>
    <xf numFmtId="0" fontId="58" fillId="0" borderId="1" xfId="5" applyFont="1" applyBorder="1" applyAlignment="1" applyProtection="1">
      <alignment horizontal="center" vertical="center" wrapText="1"/>
      <protection locked="0"/>
    </xf>
    <xf numFmtId="0" fontId="57" fillId="0" borderId="1" xfId="5" applyFont="1" applyBorder="1" applyAlignment="1">
      <alignment horizontal="center" vertical="center" wrapText="1"/>
    </xf>
    <xf numFmtId="0" fontId="58" fillId="0" borderId="1" xfId="5" applyFont="1" applyBorder="1" applyAlignment="1">
      <alignment horizontal="center" vertical="center" wrapText="1"/>
    </xf>
    <xf numFmtId="0" fontId="57" fillId="0" borderId="1" xfId="3" applyFont="1" applyBorder="1" applyAlignment="1">
      <alignment horizontal="center" vertical="center" wrapText="1"/>
    </xf>
    <xf numFmtId="0" fontId="57" fillId="0" borderId="4" xfId="5" applyFont="1" applyBorder="1" applyAlignment="1">
      <alignment horizontal="left" vertical="center" wrapText="1"/>
    </xf>
    <xf numFmtId="0" fontId="58" fillId="0" borderId="1" xfId="3" applyFont="1" applyBorder="1" applyAlignment="1">
      <alignment horizontal="center" vertical="center" wrapText="1"/>
    </xf>
    <xf numFmtId="0" fontId="58" fillId="0" borderId="1" xfId="3" applyFont="1" applyBorder="1" applyAlignment="1" applyProtection="1">
      <alignment horizontal="center" vertical="center" wrapText="1"/>
      <protection locked="0"/>
    </xf>
    <xf numFmtId="0" fontId="57" fillId="0" borderId="1" xfId="5" applyFont="1" applyBorder="1" applyAlignment="1">
      <alignment horizontal="center" vertical="top" wrapText="1"/>
    </xf>
    <xf numFmtId="0" fontId="10" fillId="0" borderId="0" xfId="5" applyFont="1" applyAlignment="1" applyProtection="1">
      <alignment horizontal="center" vertical="center" wrapText="1"/>
      <protection locked="0"/>
    </xf>
    <xf numFmtId="0" fontId="59" fillId="0" borderId="0" xfId="5" applyFont="1" applyAlignment="1" applyProtection="1">
      <alignment horizontal="center" vertical="center" wrapText="1"/>
      <protection locked="0"/>
    </xf>
    <xf numFmtId="0" fontId="10" fillId="0" borderId="0" xfId="5" applyFont="1" applyAlignment="1">
      <alignment horizontal="center" vertical="center" wrapText="1"/>
    </xf>
    <xf numFmtId="49" fontId="60" fillId="0" borderId="4" xfId="5" applyNumberFormat="1" applyFont="1" applyBorder="1" applyAlignment="1">
      <alignment horizontal="center" vertical="center" wrapText="1"/>
    </xf>
    <xf numFmtId="0" fontId="60" fillId="0" borderId="4" xfId="5" applyFont="1" applyBorder="1" applyAlignment="1">
      <alignment horizontal="left" vertical="center" wrapText="1"/>
    </xf>
    <xf numFmtId="0" fontId="61" fillId="0" borderId="4" xfId="5" applyFont="1" applyBorder="1" applyAlignment="1" applyProtection="1">
      <alignment horizontal="center" vertical="center" wrapText="1"/>
      <protection locked="0"/>
    </xf>
    <xf numFmtId="0" fontId="60" fillId="0" borderId="4" xfId="5" applyFont="1" applyBorder="1" applyAlignment="1">
      <alignment horizontal="center" vertical="center" wrapText="1"/>
    </xf>
    <xf numFmtId="0" fontId="61" fillId="0" borderId="4" xfId="5" applyFont="1" applyBorder="1" applyAlignment="1">
      <alignment horizontal="center" vertical="center" wrapText="1"/>
    </xf>
    <xf numFmtId="0" fontId="57" fillId="0" borderId="4" xfId="3" applyFont="1" applyBorder="1" applyAlignment="1">
      <alignment horizontal="center" vertical="center" wrapText="1"/>
    </xf>
    <xf numFmtId="0" fontId="57" fillId="0" borderId="4" xfId="5" applyFont="1" applyBorder="1" applyAlignment="1">
      <alignment horizontal="center" vertical="center" wrapText="1"/>
    </xf>
    <xf numFmtId="0" fontId="57" fillId="0" borderId="4" xfId="5" applyFont="1" applyBorder="1" applyAlignment="1">
      <alignment vertical="center" wrapText="1"/>
    </xf>
    <xf numFmtId="0" fontId="58" fillId="0" borderId="4" xfId="3" applyFont="1" applyBorder="1" applyAlignment="1">
      <alignment horizontal="center" vertical="center" wrapText="1"/>
    </xf>
    <xf numFmtId="0" fontId="58" fillId="0" borderId="4" xfId="3" applyFont="1" applyBorder="1" applyAlignment="1" applyProtection="1">
      <alignment horizontal="center" vertical="center" wrapText="1"/>
      <protection locked="0"/>
    </xf>
    <xf numFmtId="0" fontId="58" fillId="0" borderId="4" xfId="5" applyFont="1" applyBorder="1" applyAlignment="1" applyProtection="1">
      <alignment horizontal="center" vertical="center" wrapText="1"/>
      <protection locked="0"/>
    </xf>
    <xf numFmtId="0" fontId="62" fillId="0" borderId="4" xfId="5" applyFont="1" applyBorder="1" applyAlignment="1" applyProtection="1">
      <alignment vertical="top" wrapText="1"/>
      <protection locked="0"/>
    </xf>
    <xf numFmtId="0" fontId="57" fillId="0" borderId="4" xfId="5" applyFont="1" applyBorder="1" applyAlignment="1">
      <alignment vertical="top" wrapText="1"/>
    </xf>
    <xf numFmtId="0" fontId="63" fillId="0" borderId="0" xfId="5" applyFont="1" applyAlignment="1" applyProtection="1">
      <alignment vertical="top" wrapText="1"/>
      <protection locked="0"/>
    </xf>
    <xf numFmtId="0" fontId="63" fillId="0" borderId="0" xfId="5" applyFont="1" applyAlignment="1">
      <alignment vertical="top" wrapText="1"/>
    </xf>
    <xf numFmtId="0" fontId="64" fillId="0" borderId="4" xfId="3" applyFont="1" applyBorder="1" applyAlignment="1">
      <alignment horizontal="left" vertical="center" wrapText="1"/>
    </xf>
    <xf numFmtId="0" fontId="60" fillId="0" borderId="4" xfId="3" applyFont="1" applyBorder="1" applyAlignment="1">
      <alignment horizontal="left" vertical="center" wrapText="1"/>
    </xf>
    <xf numFmtId="0" fontId="57" fillId="0" borderId="4" xfId="7" quotePrefix="1" applyFont="1" applyBorder="1" applyAlignment="1" applyProtection="1">
      <alignment horizontal="left" vertical="center" wrapText="1"/>
      <protection locked="0"/>
    </xf>
    <xf numFmtId="0" fontId="57" fillId="0" borderId="4" xfId="3" applyFont="1" applyBorder="1" applyAlignment="1">
      <alignment horizontal="left" vertical="center" wrapText="1"/>
    </xf>
    <xf numFmtId="0" fontId="57" fillId="0" borderId="4" xfId="3" applyFont="1" applyBorder="1" applyAlignment="1">
      <alignment vertical="center" wrapText="1"/>
    </xf>
    <xf numFmtId="0" fontId="64" fillId="0" borderId="4" xfId="5" applyFont="1" applyBorder="1" applyAlignment="1">
      <alignment horizontal="left" vertical="center" wrapText="1"/>
    </xf>
    <xf numFmtId="0" fontId="64" fillId="0" borderId="4" xfId="5" applyFont="1" applyBorder="1" applyAlignment="1">
      <alignment vertical="center" wrapText="1"/>
    </xf>
    <xf numFmtId="49" fontId="60" fillId="0" borderId="4" xfId="5" applyNumberFormat="1" applyFont="1" applyBorder="1" applyAlignment="1">
      <alignment horizontal="left" vertical="center" wrapText="1"/>
    </xf>
    <xf numFmtId="0" fontId="60" fillId="0" borderId="4" xfId="3" applyFont="1" applyBorder="1" applyAlignment="1" applyProtection="1">
      <alignment horizontal="left" vertical="center" wrapText="1"/>
      <protection locked="0"/>
    </xf>
    <xf numFmtId="0" fontId="64" fillId="0" borderId="4" xfId="7" applyFont="1" applyBorder="1" applyAlignment="1" applyProtection="1">
      <alignment horizontal="left" vertical="center" wrapText="1"/>
      <protection locked="0"/>
    </xf>
    <xf numFmtId="0" fontId="57" fillId="0" borderId="4" xfId="7" applyFont="1" applyBorder="1" applyAlignment="1">
      <alignment horizontal="center" vertical="center" wrapText="1"/>
    </xf>
    <xf numFmtId="0" fontId="64" fillId="0" borderId="4" xfId="7" applyFont="1" applyBorder="1" applyAlignment="1" applyProtection="1">
      <alignment vertical="center" wrapText="1"/>
      <protection locked="0"/>
    </xf>
    <xf numFmtId="0" fontId="60" fillId="0" borderId="4" xfId="7" quotePrefix="1" applyFont="1" applyBorder="1" applyAlignment="1" applyProtection="1">
      <alignment horizontal="left" vertical="center" wrapText="1"/>
      <protection locked="0"/>
    </xf>
    <xf numFmtId="0" fontId="57" fillId="0" borderId="4" xfId="7" applyFont="1" applyBorder="1" applyAlignment="1" applyProtection="1">
      <alignment horizontal="left" vertical="center" wrapText="1"/>
      <protection locked="0"/>
    </xf>
    <xf numFmtId="0" fontId="57" fillId="0" borderId="4" xfId="7" applyFont="1" applyBorder="1" applyAlignment="1" applyProtection="1">
      <alignment horizontal="center" vertical="center" wrapText="1"/>
      <protection locked="0"/>
    </xf>
    <xf numFmtId="0" fontId="57" fillId="0" borderId="4" xfId="7" applyFont="1" applyBorder="1" applyAlignment="1" applyProtection="1">
      <alignment vertical="center" wrapText="1"/>
      <protection locked="0"/>
    </xf>
    <xf numFmtId="49" fontId="60" fillId="9" borderId="4" xfId="5" applyNumberFormat="1" applyFont="1" applyFill="1" applyBorder="1" applyAlignment="1">
      <alignment horizontal="center" vertical="center" wrapText="1"/>
    </xf>
    <xf numFmtId="0" fontId="60" fillId="9" borderId="4" xfId="5" applyFont="1" applyFill="1" applyBorder="1" applyAlignment="1">
      <alignment horizontal="left" vertical="center" wrapText="1"/>
    </xf>
    <xf numFmtId="0" fontId="61" fillId="9" borderId="4" xfId="5" applyFont="1" applyFill="1" applyBorder="1" applyAlignment="1" applyProtection="1">
      <alignment horizontal="center" vertical="center" wrapText="1"/>
      <protection locked="0"/>
    </xf>
    <xf numFmtId="0" fontId="60" fillId="9" borderId="4" xfId="5" applyFont="1" applyFill="1" applyBorder="1" applyAlignment="1">
      <alignment horizontal="center" vertical="center" wrapText="1"/>
    </xf>
    <xf numFmtId="0" fontId="61" fillId="9" borderId="4" xfId="5" applyFont="1" applyFill="1" applyBorder="1" applyAlignment="1">
      <alignment horizontal="center" vertical="center" wrapText="1"/>
    </xf>
    <xf numFmtId="0" fontId="57" fillId="9" borderId="4" xfId="5" applyFont="1" applyFill="1" applyBorder="1" applyAlignment="1">
      <alignment horizontal="center" vertical="center" wrapText="1"/>
    </xf>
    <xf numFmtId="0" fontId="58" fillId="9" borderId="4" xfId="3" applyFont="1" applyFill="1" applyBorder="1" applyAlignment="1">
      <alignment horizontal="center" vertical="center" wrapText="1"/>
    </xf>
    <xf numFmtId="0" fontId="58" fillId="9" borderId="4" xfId="3" applyFont="1" applyFill="1" applyBorder="1" applyAlignment="1" applyProtection="1">
      <alignment horizontal="center" vertical="center" wrapText="1"/>
      <protection locked="0"/>
    </xf>
    <xf numFmtId="0" fontId="58" fillId="9" borderId="4" xfId="5" applyFont="1" applyFill="1" applyBorder="1" applyAlignment="1" applyProtection="1">
      <alignment horizontal="center" vertical="center" wrapText="1"/>
      <protection locked="0"/>
    </xf>
    <xf numFmtId="0" fontId="62" fillId="9" borderId="4" xfId="5" applyFont="1" applyFill="1" applyBorder="1" applyAlignment="1" applyProtection="1">
      <alignment vertical="top" wrapText="1"/>
      <protection locked="0"/>
    </xf>
    <xf numFmtId="0" fontId="57" fillId="9" borderId="4" xfId="5" applyFont="1" applyFill="1" applyBorder="1" applyAlignment="1">
      <alignment vertical="top" wrapText="1"/>
    </xf>
    <xf numFmtId="0" fontId="60" fillId="9" borderId="6" xfId="5" applyFont="1" applyFill="1" applyBorder="1" applyAlignment="1">
      <alignment horizontal="center" vertical="center"/>
    </xf>
    <xf numFmtId="0" fontId="60" fillId="9" borderId="28" xfId="5" applyFont="1" applyFill="1" applyBorder="1" applyAlignment="1">
      <alignment vertical="center"/>
    </xf>
    <xf numFmtId="0" fontId="60" fillId="0" borderId="4" xfId="5" applyFont="1" applyBorder="1" applyAlignment="1">
      <alignment horizontal="center" vertical="center"/>
    </xf>
    <xf numFmtId="0" fontId="60" fillId="0" borderId="5" xfId="5" applyFont="1" applyBorder="1" applyAlignment="1">
      <alignment vertical="center"/>
    </xf>
    <xf numFmtId="0" fontId="60" fillId="0" borderId="6" xfId="5" applyFont="1" applyBorder="1" applyAlignment="1">
      <alignment horizontal="center" vertical="center"/>
    </xf>
    <xf numFmtId="0" fontId="60" fillId="0" borderId="28" xfId="5" applyFont="1" applyBorder="1" applyAlignment="1">
      <alignment vertical="center"/>
    </xf>
    <xf numFmtId="0" fontId="57" fillId="0" borderId="4" xfId="5" quotePrefix="1" applyFont="1" applyBorder="1" applyAlignment="1">
      <alignment horizontal="left" vertical="center" wrapText="1"/>
    </xf>
    <xf numFmtId="0" fontId="60" fillId="0" borderId="4" xfId="5" quotePrefix="1" applyFont="1" applyBorder="1" applyAlignment="1">
      <alignment horizontal="left" vertical="center" wrapText="1"/>
    </xf>
    <xf numFmtId="0" fontId="60" fillId="0" borderId="4" xfId="7" applyFont="1" applyBorder="1" applyAlignment="1" applyProtection="1">
      <alignment horizontal="left" vertical="center" wrapText="1"/>
      <protection locked="0"/>
    </xf>
    <xf numFmtId="0" fontId="57" fillId="0" borderId="4" xfId="5" quotePrefix="1" applyFont="1" applyBorder="1" applyAlignment="1" applyProtection="1">
      <alignment horizontal="center" vertical="center" wrapText="1"/>
      <protection locked="0"/>
    </xf>
    <xf numFmtId="0" fontId="57" fillId="0" borderId="4" xfId="7" quotePrefix="1" applyFont="1" applyBorder="1" applyAlignment="1" applyProtection="1">
      <alignment horizontal="center" vertical="center" wrapText="1"/>
      <protection locked="0"/>
    </xf>
    <xf numFmtId="0" fontId="57" fillId="0" borderId="4" xfId="5" quotePrefix="1" applyFont="1" applyBorder="1" applyAlignment="1" applyProtection="1">
      <alignment vertical="center" wrapText="1"/>
      <protection locked="0"/>
    </xf>
    <xf numFmtId="0" fontId="60" fillId="0" borderId="4" xfId="3" quotePrefix="1" applyFont="1" applyBorder="1" applyAlignment="1">
      <alignment horizontal="left" vertical="center" wrapText="1"/>
    </xf>
    <xf numFmtId="0" fontId="66" fillId="0" borderId="4" xfId="5" applyFont="1" applyBorder="1" applyAlignment="1">
      <alignment horizontal="left" vertical="top" wrapText="1"/>
    </xf>
    <xf numFmtId="0" fontId="66" fillId="0" borderId="4" xfId="5" applyFont="1" applyBorder="1" applyAlignment="1">
      <alignment vertical="top" wrapText="1"/>
    </xf>
    <xf numFmtId="0" fontId="60" fillId="0" borderId="4" xfId="5" applyFont="1" applyBorder="1" applyAlignment="1" applyProtection="1">
      <alignment horizontal="center" vertical="center" wrapText="1"/>
      <protection locked="0"/>
    </xf>
    <xf numFmtId="0" fontId="62" fillId="0" borderId="4" xfId="5" applyFont="1" applyBorder="1" applyAlignment="1">
      <alignment vertical="top" wrapText="1"/>
    </xf>
    <xf numFmtId="0" fontId="67" fillId="0" borderId="4" xfId="5" applyFont="1" applyBorder="1" applyAlignment="1">
      <alignment horizontal="center" vertical="center" wrapText="1"/>
    </xf>
    <xf numFmtId="49" fontId="57" fillId="0" borderId="4" xfId="5" applyNumberFormat="1" applyFont="1" applyBorder="1" applyAlignment="1">
      <alignment horizontal="center" vertical="center" wrapText="1"/>
    </xf>
    <xf numFmtId="0" fontId="62" fillId="0" borderId="4" xfId="5" applyFont="1" applyBorder="1" applyAlignment="1">
      <alignment horizontal="left" vertical="top" wrapText="1"/>
    </xf>
    <xf numFmtId="0" fontId="57" fillId="0" borderId="4" xfId="5" applyFont="1" applyBorder="1" applyAlignment="1" applyProtection="1">
      <alignment horizontal="center" vertical="center" wrapText="1"/>
      <protection locked="0"/>
    </xf>
    <xf numFmtId="0" fontId="60" fillId="0" borderId="4" xfId="7" applyFont="1" applyBorder="1" applyAlignment="1">
      <alignment horizontal="center" vertical="center" wrapText="1"/>
    </xf>
    <xf numFmtId="0" fontId="60" fillId="0" borderId="4" xfId="3" applyFont="1" applyBorder="1" applyAlignment="1">
      <alignment horizontal="center" vertical="center" wrapText="1"/>
    </xf>
    <xf numFmtId="0" fontId="60" fillId="0" borderId="4" xfId="5" applyFont="1" applyBorder="1" applyAlignment="1">
      <alignment vertical="center" wrapText="1"/>
    </xf>
    <xf numFmtId="0" fontId="61" fillId="0" borderId="4" xfId="3" applyFont="1" applyBorder="1" applyAlignment="1">
      <alignment horizontal="center" vertical="center" wrapText="1"/>
    </xf>
    <xf numFmtId="0" fontId="60" fillId="0" borderId="4" xfId="5" applyFont="1" applyBorder="1" applyAlignment="1">
      <alignment vertical="top" wrapText="1"/>
    </xf>
    <xf numFmtId="49" fontId="61" fillId="0" borderId="4" xfId="5" applyNumberFormat="1" applyFont="1" applyBorder="1" applyAlignment="1">
      <alignment horizontal="center" vertical="center" wrapText="1"/>
    </xf>
    <xf numFmtId="0" fontId="61" fillId="0" borderId="4" xfId="5" applyFont="1" applyBorder="1" applyAlignment="1">
      <alignment horizontal="left" vertical="center" wrapText="1"/>
    </xf>
    <xf numFmtId="0" fontId="58" fillId="0" borderId="4" xfId="5" applyFont="1" applyBorder="1" applyAlignment="1">
      <alignment horizontal="center" vertical="center" wrapText="1"/>
    </xf>
    <xf numFmtId="0" fontId="57" fillId="0" borderId="4" xfId="5" applyFont="1" applyBorder="1" applyAlignment="1" applyProtection="1">
      <alignment horizontal="left" vertical="center" wrapText="1"/>
      <protection locked="0"/>
    </xf>
    <xf numFmtId="49" fontId="60" fillId="0" borderId="1" xfId="5" applyNumberFormat="1" applyFont="1" applyBorder="1" applyAlignment="1">
      <alignment horizontal="center" vertical="center" wrapText="1"/>
    </xf>
    <xf numFmtId="0" fontId="60" fillId="0" borderId="1" xfId="5" applyFont="1" applyBorder="1" applyAlignment="1">
      <alignment horizontal="left" vertical="center" wrapText="1"/>
    </xf>
    <xf numFmtId="0" fontId="60" fillId="0" borderId="1" xfId="5" applyFont="1" applyBorder="1" applyAlignment="1">
      <alignment horizontal="center" vertical="center" wrapText="1"/>
    </xf>
    <xf numFmtId="0" fontId="66" fillId="0" borderId="1" xfId="5" applyFont="1" applyBorder="1" applyAlignment="1">
      <alignment horizontal="left" vertical="top" wrapText="1"/>
    </xf>
    <xf numFmtId="0" fontId="66" fillId="0" borderId="1" xfId="5" applyFont="1" applyBorder="1" applyAlignment="1">
      <alignment vertical="top" wrapText="1"/>
    </xf>
    <xf numFmtId="0" fontId="60" fillId="0" borderId="1" xfId="3" applyFont="1" applyBorder="1" applyAlignment="1" applyProtection="1">
      <alignment horizontal="left" vertical="center" wrapText="1"/>
      <protection locked="0"/>
    </xf>
    <xf numFmtId="0" fontId="60" fillId="0" borderId="1" xfId="7" quotePrefix="1" applyFont="1" applyBorder="1" applyAlignment="1" applyProtection="1">
      <alignment horizontal="left" vertical="center" wrapText="1"/>
      <protection locked="0"/>
    </xf>
    <xf numFmtId="0" fontId="60" fillId="0" borderId="1" xfId="5" applyFont="1" applyBorder="1" applyAlignment="1" applyProtection="1">
      <alignment horizontal="center" vertical="center" wrapText="1"/>
      <protection locked="0"/>
    </xf>
    <xf numFmtId="0" fontId="57" fillId="0" borderId="1" xfId="5" applyFont="1" applyBorder="1" applyAlignment="1">
      <alignment horizontal="left" vertical="top" wrapText="1"/>
    </xf>
    <xf numFmtId="0" fontId="57" fillId="0" borderId="1" xfId="7" applyFont="1" applyBorder="1" applyAlignment="1" applyProtection="1">
      <alignment horizontal="left" vertical="center" wrapText="1"/>
      <protection locked="0"/>
    </xf>
    <xf numFmtId="0" fontId="57" fillId="0" borderId="1" xfId="7" applyFont="1" applyBorder="1" applyAlignment="1" applyProtection="1">
      <alignment horizontal="center" vertical="center" wrapText="1"/>
      <protection locked="0"/>
    </xf>
    <xf numFmtId="0" fontId="62" fillId="0" borderId="1" xfId="5" applyFont="1" applyBorder="1" applyAlignment="1">
      <alignment vertical="center" wrapText="1"/>
    </xf>
    <xf numFmtId="0" fontId="58" fillId="0" borderId="1" xfId="3" applyFont="1" applyBorder="1" applyAlignment="1">
      <alignment horizontal="left" vertical="center" wrapText="1"/>
    </xf>
    <xf numFmtId="0" fontId="62" fillId="0" borderId="1" xfId="5" applyFont="1" applyBorder="1" applyAlignment="1">
      <alignment vertical="top" wrapText="1"/>
    </xf>
    <xf numFmtId="49" fontId="58" fillId="0" borderId="1" xfId="5" applyNumberFormat="1" applyFont="1" applyBorder="1" applyAlignment="1">
      <alignment horizontal="center" vertical="center" wrapText="1"/>
    </xf>
    <xf numFmtId="49" fontId="66" fillId="0" borderId="1" xfId="5" applyNumberFormat="1" applyFont="1" applyBorder="1" applyAlignment="1">
      <alignment horizontal="center" vertical="center" wrapText="1"/>
    </xf>
    <xf numFmtId="0" fontId="66" fillId="0" borderId="1" xfId="5" applyFont="1" applyBorder="1" applyAlignment="1">
      <alignment horizontal="left" vertical="center" wrapText="1"/>
    </xf>
    <xf numFmtId="0" fontId="61" fillId="0" borderId="1" xfId="5" applyFont="1" applyBorder="1" applyAlignment="1" applyProtection="1">
      <alignment horizontal="center" vertical="center" wrapText="1"/>
      <protection locked="0"/>
    </xf>
    <xf numFmtId="0" fontId="66" fillId="0" borderId="1" xfId="5" applyFont="1" applyBorder="1" applyAlignment="1">
      <alignment horizontal="center" vertical="center" wrapText="1"/>
    </xf>
    <xf numFmtId="0" fontId="61" fillId="0" borderId="1" xfId="5" applyFont="1" applyBorder="1" applyAlignment="1">
      <alignment vertical="center"/>
    </xf>
    <xf numFmtId="0" fontId="66" fillId="0" borderId="1" xfId="5" applyFont="1" applyBorder="1" applyAlignment="1">
      <alignment vertical="center" wrapText="1"/>
    </xf>
    <xf numFmtId="0" fontId="62" fillId="0" borderId="1" xfId="5" applyFont="1" applyBorder="1" applyAlignment="1">
      <alignment horizontal="left" vertical="center" wrapText="1"/>
    </xf>
    <xf numFmtId="49" fontId="58" fillId="0" borderId="4" xfId="5" applyNumberFormat="1" applyFont="1" applyBorder="1" applyAlignment="1">
      <alignment horizontal="center" vertical="center" wrapText="1"/>
    </xf>
    <xf numFmtId="49" fontId="58" fillId="0" borderId="4" xfId="3" applyNumberFormat="1" applyFont="1" applyBorder="1" applyAlignment="1">
      <alignment horizontal="center" vertical="center" wrapText="1"/>
    </xf>
    <xf numFmtId="49" fontId="58" fillId="0" borderId="4" xfId="3" applyNumberFormat="1" applyFont="1" applyBorder="1" applyAlignment="1">
      <alignment horizontal="left" vertical="center" wrapText="1"/>
    </xf>
    <xf numFmtId="0" fontId="62" fillId="0" borderId="4" xfId="3" applyFont="1" applyBorder="1" applyAlignment="1">
      <alignment horizontal="center" vertical="center" wrapText="1"/>
    </xf>
    <xf numFmtId="0" fontId="62" fillId="0" borderId="1" xfId="3" applyFont="1" applyBorder="1" applyAlignment="1">
      <alignment horizontal="center" vertical="center" wrapText="1"/>
    </xf>
    <xf numFmtId="49" fontId="57" fillId="0" borderId="4" xfId="3" applyNumberFormat="1" applyFont="1" applyBorder="1" applyAlignment="1">
      <alignment horizontal="center" vertical="center" wrapText="1"/>
    </xf>
    <xf numFmtId="49" fontId="57" fillId="0" borderId="4" xfId="3" applyNumberFormat="1" applyFont="1" applyBorder="1" applyAlignment="1">
      <alignment horizontal="left" vertical="center" wrapText="1"/>
    </xf>
    <xf numFmtId="0" fontId="66" fillId="0" borderId="0" xfId="5" applyFont="1" applyAlignment="1">
      <alignment vertical="top" wrapText="1"/>
    </xf>
    <xf numFmtId="0" fontId="63" fillId="0" borderId="0" xfId="5" applyFont="1" applyAlignment="1">
      <alignment horizontal="left" vertical="top" wrapText="1"/>
    </xf>
    <xf numFmtId="0" fontId="69" fillId="0" borderId="0" xfId="5" applyFont="1" applyAlignment="1">
      <alignment vertical="top" wrapText="1"/>
    </xf>
    <xf numFmtId="0" fontId="69" fillId="0" borderId="0" xfId="5" applyFont="1" applyAlignment="1">
      <alignment horizontal="center" vertical="top" wrapText="1"/>
    </xf>
    <xf numFmtId="0" fontId="3" fillId="0" borderId="3" xfId="1" applyFont="1" applyFill="1" applyBorder="1" applyAlignment="1" applyProtection="1">
      <alignment horizontal="center" vertical="center" wrapText="1"/>
    </xf>
    <xf numFmtId="0" fontId="3" fillId="0" borderId="1" xfId="1" applyFont="1" applyFill="1" applyBorder="1" applyAlignment="1" applyProtection="1">
      <alignment horizontal="center" vertical="center" wrapText="1"/>
    </xf>
    <xf numFmtId="0" fontId="3" fillId="0" borderId="7" xfId="1" applyFont="1" applyFill="1" applyBorder="1" applyAlignment="1" applyProtection="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2" xfId="1" applyFont="1" applyFill="1" applyBorder="1" applyAlignment="1" applyProtection="1">
      <alignment horizontal="center" vertical="center" wrapText="1"/>
    </xf>
    <xf numFmtId="0" fontId="2" fillId="0" borderId="1" xfId="1" applyFont="1" applyFill="1" applyBorder="1" applyAlignment="1" applyProtection="1">
      <alignment horizontal="center" vertical="center" wrapText="1"/>
    </xf>
    <xf numFmtId="0" fontId="2" fillId="0" borderId="0" xfId="0" applyFont="1" applyAlignment="1">
      <alignment vertical="center"/>
    </xf>
    <xf numFmtId="0" fontId="3" fillId="0" borderId="1" xfId="1" applyNumberFormat="1" applyFont="1" applyFill="1" applyBorder="1" applyAlignment="1" applyProtection="1">
      <alignment horizontal="center" vertical="center" textRotation="90" wrapText="1"/>
    </xf>
    <xf numFmtId="0" fontId="3" fillId="0" borderId="1" xfId="1" applyFont="1" applyFill="1" applyBorder="1" applyAlignment="1" applyProtection="1">
      <alignment horizontal="center" vertical="center" textRotation="90" wrapText="1"/>
    </xf>
    <xf numFmtId="0" fontId="2" fillId="0" borderId="1" xfId="0" applyFont="1" applyBorder="1" applyAlignment="1">
      <alignment horizontal="center" vertical="center" textRotation="90" wrapText="1"/>
    </xf>
    <xf numFmtId="0" fontId="56" fillId="7" borderId="4" xfId="6" applyFont="1" applyFill="1" applyBorder="1" applyAlignment="1" applyProtection="1">
      <alignment horizontal="center" vertical="top" textRotation="90" wrapText="1"/>
    </xf>
    <xf numFmtId="0" fontId="56" fillId="6" borderId="4" xfId="6" applyFont="1" applyFill="1" applyBorder="1" applyAlignment="1" applyProtection="1">
      <alignment horizontal="center" vertical="top" textRotation="90" wrapText="1"/>
    </xf>
    <xf numFmtId="0" fontId="52" fillId="7" borderId="4" xfId="4" applyFont="1" applyFill="1" applyBorder="1" applyAlignment="1" applyProtection="1">
      <alignment horizontal="center" vertical="top" textRotation="90" wrapText="1"/>
    </xf>
    <xf numFmtId="0" fontId="46" fillId="8" borderId="4" xfId="3" applyFont="1" applyFill="1" applyBorder="1" applyAlignment="1">
      <alignment horizontal="left" vertical="top" wrapText="1"/>
    </xf>
    <xf numFmtId="0" fontId="46" fillId="0" borderId="4" xfId="3" applyFont="1" applyBorder="1" applyAlignment="1">
      <alignment horizontal="center" vertical="top" wrapText="1"/>
    </xf>
    <xf numFmtId="0" fontId="50" fillId="6" borderId="4" xfId="3" applyFont="1" applyFill="1" applyBorder="1" applyAlignment="1">
      <alignment horizontal="center" vertical="top" wrapText="1"/>
    </xf>
    <xf numFmtId="0" fontId="40" fillId="7" borderId="4" xfId="4" applyFont="1" applyFill="1" applyBorder="1" applyAlignment="1" applyProtection="1">
      <alignment horizontal="center" vertical="center" textRotation="90" wrapText="1"/>
    </xf>
    <xf numFmtId="0" fontId="37" fillId="6" borderId="4" xfId="3" applyFont="1" applyFill="1" applyBorder="1" applyAlignment="1">
      <alignment horizontal="center" vertical="center" wrapText="1"/>
    </xf>
    <xf numFmtId="0" fontId="48" fillId="0" borderId="28" xfId="5" applyBorder="1"/>
    <xf numFmtId="0" fontId="48" fillId="0" borderId="6" xfId="5" applyBorder="1"/>
    <xf numFmtId="0" fontId="48" fillId="0" borderId="38" xfId="5" applyBorder="1"/>
    <xf numFmtId="0" fontId="48" fillId="0" borderId="5" xfId="5" applyBorder="1"/>
    <xf numFmtId="0" fontId="48" fillId="0" borderId="4" xfId="5" applyBorder="1"/>
    <xf numFmtId="0" fontId="48" fillId="0" borderId="2" xfId="5" applyBorder="1"/>
    <xf numFmtId="0" fontId="13" fillId="0" borderId="4" xfId="5" applyFont="1" applyBorder="1"/>
    <xf numFmtId="0" fontId="13" fillId="0" borderId="2" xfId="5" applyFont="1" applyBorder="1"/>
    <xf numFmtId="0" fontId="48" fillId="0" borderId="16" xfId="5" applyBorder="1"/>
    <xf numFmtId="0" fontId="48" fillId="0" borderId="1" xfId="5" applyBorder="1"/>
    <xf numFmtId="0" fontId="48" fillId="0" borderId="3" xfId="5" applyBorder="1"/>
  </cellXfs>
  <cellStyles count="8">
    <cellStyle name="Hyperlink" xfId="1" builtinId="8"/>
    <cellStyle name="Hyperlink 2" xfId="4" xr:uid="{0C5ED8DD-E31D-487E-A545-93CD3133522F}"/>
    <cellStyle name="Hyperlink 3" xfId="6" xr:uid="{16F09BF2-617E-4643-B255-74E986F0204F}"/>
    <cellStyle name="Normal" xfId="0" builtinId="0"/>
    <cellStyle name="Normal 13" xfId="7" xr:uid="{F590C40A-1A73-4086-90AC-DB31B06AFCD2}"/>
    <cellStyle name="Normal 2" xfId="5" xr:uid="{9586AB29-340B-43B9-9636-64F38194A9B5}"/>
    <cellStyle name="Normal 2 2" xfId="3" xr:uid="{2894D954-3A5A-46A2-9046-0F8529498FD3}"/>
    <cellStyle name="Normal 91" xfId="2" xr:uid="{A81C1270-A007-40F6-AB14-83FCA2A2BAD5}"/>
  </cellStyles>
  <dxfs count="62">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rgb="FF00B05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al2uos/Downloads/IBS_Issue/MY26/BCM_Var0004_Ver00_DtcCriteria_Aptiv14_IBS_Issue.xlsm" TargetMode="External"/><Relationship Id="rId2" Type="http://schemas.openxmlformats.org/officeDocument/2006/relationships/externalLinkPath" Target="file:///C:\Users\al2uos\Downloads\IBS_Issue\MY26\BCM_Var0004_Ver00_DtcCriteria_Aptiv14_IBS_Issue.xlsm" TargetMode="External"/><Relationship Id="rId1" Type="http://schemas.openxmlformats.org/officeDocument/2006/relationships/externalLinkPath" Target="/Users/al2uos/Downloads/IBS_Issue/MY26/BCM_Var0004_Ver00_DtcCriteria_Aptiv14_IBS_Issu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hange Log"/>
      <sheetName val="Stella Large"/>
      <sheetName val="Import DTCs CDD"/>
      <sheetName val="DTC Table"/>
      <sheetName val="Functional change impact"/>
      <sheetName val="Change Log Summary"/>
      <sheetName val="Summary SWF"/>
      <sheetName val="Definitions"/>
      <sheetName val="BCM_Var0004_Ver00_DtcCriteria_A"/>
    </sheetNames>
    <sheetDataSet>
      <sheetData sheetId="0"/>
      <sheetData sheetId="1"/>
      <sheetData sheetId="2"/>
      <sheetData sheetId="3"/>
      <sheetData sheetId="4"/>
      <sheetData sheetId="5"/>
      <sheetData sheetId="6"/>
      <sheetData sheetId="7">
        <row r="51">
          <cell r="B51" t="str">
            <v>P0</v>
          </cell>
        </row>
        <row r="69">
          <cell r="B69" t="str">
            <v>Brake System</v>
          </cell>
        </row>
        <row r="70">
          <cell r="B70" t="str">
            <v>Climate Control</v>
          </cell>
        </row>
        <row r="71">
          <cell r="B71" t="str">
            <v>ECU Malfunctions</v>
          </cell>
        </row>
        <row r="72">
          <cell r="B72" t="str">
            <v>Information System</v>
          </cell>
        </row>
        <row r="73">
          <cell r="B73" t="str">
            <v>Lighting</v>
          </cell>
        </row>
        <row r="74">
          <cell r="B74" t="str">
            <v>Misc.</v>
          </cell>
        </row>
        <row r="75">
          <cell r="B75" t="str">
            <v>Network Communication</v>
          </cell>
        </row>
        <row r="76">
          <cell r="B76" t="str">
            <v>Network Electrical</v>
          </cell>
        </row>
        <row r="77">
          <cell r="B77" t="str">
            <v>Power Accessory</v>
          </cell>
        </row>
        <row r="78">
          <cell r="B78" t="str">
            <v>Power Distribution</v>
          </cell>
        </row>
        <row r="79">
          <cell r="B79" t="str">
            <v>Powertrain</v>
          </cell>
        </row>
        <row r="80">
          <cell r="B80" t="str">
            <v>Restraint System</v>
          </cell>
        </row>
        <row r="81">
          <cell r="B81" t="str">
            <v>Vehicle Access</v>
          </cell>
        </row>
        <row r="82">
          <cell r="B82" t="str">
            <v>Wipe &amp; Wash</v>
          </cell>
        </row>
      </sheetData>
      <sheetData sheetId="8"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rlo" id="{91779BA3-DE85-438E-98A0-6FCC7845CAB7}">
    <nsvFilter filterId="{00000000-0001-0000-0000-000000000000}" ref="A1:W605" tableId="0"/>
  </namedSheetView>
</namedSheetViews>
</file>

<file path=xl/persons/person.xml><?xml version="1.0" encoding="utf-8"?>
<personList xmlns="http://schemas.microsoft.com/office/spreadsheetml/2018/threadedcomments" xmlns:x="http://schemas.openxmlformats.org/spreadsheetml/2006/main">
  <person displayName="Solis, Jesus Eduardo" id="{75E30A5B-32E3-4570-A1FC-7B63ACA99DFF}" userId="S::jesus.eduardo.solis@aptiv.com::035ba1e9-33e4-4f53-8e30-702dbba3edb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9294FE-E50C-4A71-BF29-2609CCD234D2}" name="Table4" displayName="Table4" ref="A1:R779" totalsRowShown="0" headerRowDxfId="21" headerRowBorderDxfId="19" tableBorderDxfId="20" totalsRowBorderDxfId="18">
  <autoFilter ref="A1:R779" xr:uid="{308CDF5D-8393-4177-866D-D5F1A5F01400}"/>
  <tableColumns count="18">
    <tableColumn id="1" xr3:uid="{9DF3A022-0B33-4F4A-87C6-0719834ABC6E}" name="DTC Name" dataDxfId="17"/>
    <tableColumn id="2" xr3:uid="{E8782FF1-C446-4492-84F4-5FEA75BA8FA7}" name="DTC Description" dataDxfId="16"/>
    <tableColumn id="3" xr3:uid="{7040CA53-424F-417D-85E8-20D566DCE2C6}" name="Inhibit Manager Interface" dataDxfId="15"/>
    <tableColumn id="4" xr3:uid="{B6A5AE13-6F09-45D3-89CC-801C837B8A07}" name="Failure Mode (MediumFault.LowFault)" dataDxfId="14"/>
    <tableColumn id="5" xr3:uid="{100326B2-6D81-4807-99C8-AC375E6A06DF}" name="ACC" dataDxfId="13"/>
    <tableColumn id="18" xr3:uid="{374D9977-802B-41BC-8B73-0546C532B2C7}" name="ADA (L2)" dataDxfId="12"/>
    <tableColumn id="6" xr3:uid="{7E05FB1F-4DD1-4815-8D58-2E9DB5157220}" name="HF-ADA (L2+)" dataDxfId="11"/>
    <tableColumn id="7" xr3:uid="{60D05291-9A12-49CD-A37E-51DCA41D90C7}" name="ALM" dataDxfId="10"/>
    <tableColumn id="8" xr3:uid="{8793AA6A-1969-41C8-9821-3FF229F3825C}" name="DDD" dataDxfId="9"/>
    <tableColumn id="9" xr3:uid="{C25743E5-2491-4C43-948F-CC42E8AD6C25}" name="AHBC" dataDxfId="8"/>
    <tableColumn id="10" xr3:uid="{18A4B658-B58A-4BFC-BD1E-A7913512C6E8}" name="TSI" dataDxfId="7"/>
    <tableColumn id="11" xr3:uid="{8F903C13-FED7-4F90-B1C2-AFEA17BF2E2B}" name="AEB" dataDxfId="6"/>
    <tableColumn id="12" xr3:uid="{6AD4F148-2858-4ED6-808F-EA9DB7EC7F5E}" name="PEB" dataDxfId="5"/>
    <tableColumn id="13" xr3:uid="{DFC30E52-7C20-4CC1-83E7-363D80A653FB}" name="ICA (Crossing)" dataDxfId="4"/>
    <tableColumn id="14" xr3:uid="{EF151F28-5B31-4E18-9376-535054B86A9B}" name="ICA (Oncoming)" dataDxfId="3"/>
    <tableColumn id="15" xr3:uid="{2410E776-0E68-4490-B118-BF0058E39F90}" name="BSD" dataDxfId="2"/>
    <tableColumn id="16" xr3:uid="{72761B2E-65DF-43BE-8286-5934846E34B5}" name="NCC" dataDxfId="1"/>
    <tableColumn id="17" xr3:uid="{1CC594B4-A0E1-40E1-9EEF-1646B67C7C1B}" name="RRCC" dataDxfId="0"/>
  </tableColumns>
  <tableStyleInfo name="TableStyleMedium9" showFirstColumn="0" showLastColumn="0" showRowStripes="1" showColumnStripes="0"/>
</table>
</file>

<file path=xl/theme/theme1.xml><?xml version="1.0" encoding="utf-8"?>
<a:theme xmlns:a="http://schemas.openxmlformats.org/drawingml/2006/main" name="Theme_Criteria_Matrix">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W4" dT="2026-04-01T15:19:23.93" personId="{75E30A5B-32E3-4570-A1FC-7B63ACA99DFF}" id="{56D174E9-0064-4629-B406-D7C64EB6CDEA}">
    <text>KM74 removed per EOI-28559</text>
  </threadedComment>
  <threadedComment ref="AG4" dT="2026-04-01T15:24:36.63" personId="{75E30A5B-32E3-4570-A1FC-7B63ACA99DFF}" id="{1FAFFBBC-2250-4030-AA25-AA8DA8C311D0}">
    <text>KM74 removed per EOI-28559</text>
  </threadedComment>
  <threadedComment ref="W5" dT="2026-04-01T15:19:30.58" personId="{75E30A5B-32E3-4570-A1FC-7B63ACA99DFF}" id="{94FC4FCC-EDA8-44DC-869E-5ADA7038BE65}">
    <text>KM74 removed per EOI-28559</text>
  </threadedComment>
  <threadedComment ref="AG5" dT="2026-04-01T15:24:40.96" personId="{75E30A5B-32E3-4570-A1FC-7B63ACA99DFF}" id="{00BB29AF-C58B-4809-BEB8-6DD73A11BF35}">
    <text>KM74 removed per EOI-28559</text>
  </threadedComment>
  <threadedComment ref="W6" dT="2026-04-01T15:19:36.19" personId="{75E30A5B-32E3-4570-A1FC-7B63ACA99DFF}" id="{E638AC8C-A378-4A9F-A9A6-21E6EABABAC8}">
    <text>KM74 removed per EOI-28559</text>
  </threadedComment>
  <threadedComment ref="AG6" dT="2026-04-01T15:24:45.63" personId="{75E30A5B-32E3-4570-A1FC-7B63ACA99DFF}" id="{8F0F8BA2-C2BD-4EA4-B611-2FEEE7FA1995}">
    <text>KM74 removed per EOI-28559</text>
  </threadedComment>
  <threadedComment ref="W7" dT="2026-04-01T15:19:42.73" personId="{75E30A5B-32E3-4570-A1FC-7B63ACA99DFF}" id="{E9D8036A-E119-4ACC-B1A9-D465A38828A9}">
    <text>KM74 removed per EOI-28559</text>
  </threadedComment>
  <threadedComment ref="AG7" dT="2026-04-01T15:24:51.54" personId="{75E30A5B-32E3-4570-A1FC-7B63ACA99DFF}" id="{08F48910-F4AB-47AB-9669-C9FC59788896}">
    <text>KM74 removed per EOI-28559</text>
  </threadedComment>
  <threadedComment ref="AG96" dT="2026-04-01T15:45:00.72" personId="{75E30A5B-32E3-4570-A1FC-7B63ACA99DFF}" id="{06D8A870-92FB-4004-88CC-F1702B0FD743}">
    <text>26LB and 26EJ removed per EOI-28560</text>
  </threadedComment>
  <threadedComment ref="X103" dT="2026-04-01T16:21:16.74" personId="{75E30A5B-32E3-4570-A1FC-7B63ACA99DFF}" id="{74D57610-A8E3-4ED3-992E-A1652FBB3D85}">
    <text>Change Mature and De-mature threshold per EOI-28614</text>
  </threadedComment>
  <threadedComment ref="AC103" dT="2026-04-01T16:21:22.38" personId="{75E30A5B-32E3-4570-A1FC-7B63ACA99DFF}" id="{30A42169-CAD0-406F-B0B3-F302A6D1E16E}">
    <text>Change Mature and De-mature threshold per EOI-28614</text>
  </threadedComment>
  <threadedComment ref="W216" dT="2026-04-01T17:17:38.16" personId="{75E30A5B-32E3-4570-A1FC-7B63ACA99DFF}" id="{A003E666-BB34-4161-9386-06B8DBFBDA5B}">
    <text>EC1 updated per EOI-32618</text>
  </threadedComment>
  <threadedComment ref="AG254" dT="2026-04-01T15:47:54.64" personId="{75E30A5B-32E3-4570-A1FC-7B63ACA99DFF}" id="{9B5FE2A5-D6FF-4296-A769-63DC446D3969}">
    <text>26LB removed per EOI-28560</text>
  </threadedComment>
  <threadedComment ref="E303" dT="2026-04-01T16:29:42.45" personId="{75E30A5B-32E3-4570-A1FC-7B63ACA99DFF}" id="{D1257429-7E85-4EC4-BAF2-61C970EA8669}">
    <text>Cancelled per EOI-32380</text>
  </threadedComment>
  <threadedComment ref="E313" dT="2026-04-01T16:30:57.43" personId="{75E30A5B-32E3-4570-A1FC-7B63ACA99DFF}" id="{C5B13370-0846-4125-BD15-95EFD03A07EB}">
    <text>Cancelled per EOI-32380</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86F22-6AAB-4BA9-9FBA-22EA75A0AEEE}">
  <dimension ref="B1:AH358"/>
  <sheetViews>
    <sheetView tabSelected="1" topLeftCell="B1" workbookViewId="0">
      <selection activeCell="B4" sqref="B4"/>
    </sheetView>
  </sheetViews>
  <sheetFormatPr defaultRowHeight="14.4"/>
  <cols>
    <col min="1" max="1" width="0" hidden="1" customWidth="1"/>
    <col min="2" max="2" width="4.109375" customWidth="1"/>
    <col min="3" max="3" width="10.88671875" customWidth="1"/>
    <col min="4" max="4" width="10" customWidth="1"/>
    <col min="5" max="5" width="18.33203125" customWidth="1"/>
    <col min="6" max="6" width="18.5546875" customWidth="1"/>
    <col min="7" max="7" width="4.5546875" customWidth="1"/>
    <col min="8" max="8" width="11" customWidth="1"/>
    <col min="9" max="9" width="11.44140625" customWidth="1"/>
    <col min="10" max="10" width="2.33203125" customWidth="1"/>
    <col min="11" max="11" width="11.44140625" customWidth="1"/>
    <col min="12" max="12" width="12.44140625" customWidth="1"/>
    <col min="13" max="13" width="15.6640625" customWidth="1"/>
    <col min="14" max="14" width="14.6640625" customWidth="1"/>
    <col min="15" max="15" width="8.88671875" customWidth="1"/>
    <col min="16" max="16" width="11.33203125" customWidth="1"/>
    <col min="17" max="17" width="16.6640625" customWidth="1"/>
    <col min="18" max="18" width="16.88671875" customWidth="1"/>
    <col min="20" max="20" width="18" customWidth="1"/>
    <col min="21" max="21" width="9.44140625" customWidth="1"/>
    <col min="22" max="22" width="6.109375" customWidth="1"/>
    <col min="23" max="23" width="36.88671875" customWidth="1"/>
    <col min="24" max="24" width="45.109375" customWidth="1"/>
    <col min="25" max="25" width="11.109375" customWidth="1"/>
    <col min="26" max="26" width="8.88671875" customWidth="1"/>
    <col min="27" max="27" width="7.88671875" customWidth="1"/>
    <col min="28" max="28" width="5.88671875" customWidth="1"/>
    <col min="29" max="29" width="39.33203125" customWidth="1"/>
    <col min="30" max="30" width="11.109375" customWidth="1"/>
    <col min="31" max="31" width="39.33203125" customWidth="1"/>
    <col min="32" max="32" width="31.5546875" customWidth="1"/>
    <col min="33" max="34" width="8.88671875" customWidth="1"/>
  </cols>
  <sheetData>
    <row r="1" spans="2:34" ht="25.5" customHeight="1">
      <c r="B1" s="404" t="s">
        <v>0</v>
      </c>
      <c r="C1" s="405" t="s">
        <v>1</v>
      </c>
      <c r="D1" s="405"/>
      <c r="E1" s="404" t="s">
        <v>2</v>
      </c>
      <c r="F1" s="406" t="s">
        <v>3</v>
      </c>
      <c r="G1" s="407" t="s">
        <v>4</v>
      </c>
      <c r="H1" s="403" t="s">
        <v>5</v>
      </c>
      <c r="I1" s="403"/>
      <c r="J1" s="407" t="s">
        <v>6</v>
      </c>
      <c r="K1" s="408" t="s">
        <v>7</v>
      </c>
      <c r="L1" s="408" t="s">
        <v>8</v>
      </c>
      <c r="M1" s="399" t="s">
        <v>9</v>
      </c>
      <c r="N1" s="399" t="s">
        <v>10</v>
      </c>
      <c r="O1" s="399" t="s">
        <v>11</v>
      </c>
      <c r="P1" s="399" t="s">
        <v>12</v>
      </c>
      <c r="Q1" s="401" t="s">
        <v>13</v>
      </c>
      <c r="R1" s="402" t="s">
        <v>14</v>
      </c>
      <c r="S1" s="402"/>
      <c r="T1" s="402"/>
      <c r="U1" s="402"/>
      <c r="V1" s="402"/>
      <c r="W1" s="403" t="s">
        <v>15</v>
      </c>
      <c r="X1" s="403"/>
      <c r="Y1" s="403"/>
      <c r="Z1" s="403"/>
      <c r="AA1" s="403"/>
      <c r="AB1" s="403"/>
      <c r="AC1" s="403" t="s">
        <v>16</v>
      </c>
      <c r="AD1" s="403"/>
      <c r="AE1" s="399" t="s">
        <v>17</v>
      </c>
      <c r="AF1" s="398" t="s">
        <v>18</v>
      </c>
      <c r="AG1" s="399" t="s">
        <v>19</v>
      </c>
      <c r="AH1" s="1"/>
    </row>
    <row r="2" spans="2:34" ht="60.75" customHeight="1">
      <c r="B2" s="404"/>
      <c r="C2" s="2" t="s">
        <v>20</v>
      </c>
      <c r="D2" s="2" t="s">
        <v>21</v>
      </c>
      <c r="E2" s="404"/>
      <c r="F2" s="406"/>
      <c r="G2" s="407"/>
      <c r="H2" s="3" t="s">
        <v>22</v>
      </c>
      <c r="I2" s="4" t="s">
        <v>23</v>
      </c>
      <c r="J2" s="407"/>
      <c r="K2" s="408"/>
      <c r="L2" s="408"/>
      <c r="M2" s="399"/>
      <c r="N2" s="399"/>
      <c r="O2" s="399"/>
      <c r="P2" s="399"/>
      <c r="Q2" s="401"/>
      <c r="R2" s="5" t="s">
        <v>24</v>
      </c>
      <c r="S2" s="5" t="s">
        <v>25</v>
      </c>
      <c r="T2" s="5" t="s">
        <v>26</v>
      </c>
      <c r="U2" s="5" t="s">
        <v>27</v>
      </c>
      <c r="V2" s="5" t="s">
        <v>28</v>
      </c>
      <c r="W2" s="6" t="s">
        <v>29</v>
      </c>
      <c r="X2" s="7" t="s">
        <v>30</v>
      </c>
      <c r="Y2" s="7" t="s">
        <v>31</v>
      </c>
      <c r="Z2" s="7" t="s">
        <v>32</v>
      </c>
      <c r="AA2" s="8" t="s">
        <v>33</v>
      </c>
      <c r="AB2" s="8" t="s">
        <v>34</v>
      </c>
      <c r="AC2" s="7" t="s">
        <v>35</v>
      </c>
      <c r="AD2" s="7" t="s">
        <v>36</v>
      </c>
      <c r="AE2" s="399"/>
      <c r="AF2" s="398"/>
      <c r="AG2" s="400"/>
      <c r="AH2" s="9" t="s">
        <v>37</v>
      </c>
    </row>
    <row r="3" spans="2:34" ht="17.25" customHeight="1" thickBot="1">
      <c r="B3" s="10" t="s">
        <v>38</v>
      </c>
      <c r="C3" s="11" t="s">
        <v>39</v>
      </c>
      <c r="D3" s="12" t="s">
        <v>40</v>
      </c>
      <c r="E3" s="13" t="s">
        <v>41</v>
      </c>
      <c r="F3" s="14" t="s">
        <v>42</v>
      </c>
      <c r="G3" s="15" t="s">
        <v>43</v>
      </c>
      <c r="H3" s="16" t="s">
        <v>44</v>
      </c>
      <c r="I3" s="17" t="s">
        <v>45</v>
      </c>
      <c r="J3" s="15" t="s">
        <v>46</v>
      </c>
      <c r="K3" s="18" t="s">
        <v>47</v>
      </c>
      <c r="L3" s="18" t="s">
        <v>48</v>
      </c>
      <c r="M3" s="15" t="s">
        <v>49</v>
      </c>
      <c r="N3" s="15" t="s">
        <v>50</v>
      </c>
      <c r="O3" s="19" t="s">
        <v>51</v>
      </c>
      <c r="P3" s="15" t="s">
        <v>52</v>
      </c>
      <c r="Q3" s="20" t="s">
        <v>53</v>
      </c>
      <c r="R3" s="20" t="s">
        <v>54</v>
      </c>
      <c r="S3" s="20" t="s">
        <v>55</v>
      </c>
      <c r="T3" s="20" t="s">
        <v>56</v>
      </c>
      <c r="U3" s="20" t="s">
        <v>57</v>
      </c>
      <c r="V3" s="20" t="s">
        <v>58</v>
      </c>
      <c r="W3" s="21" t="s">
        <v>59</v>
      </c>
      <c r="X3" s="15" t="s">
        <v>60</v>
      </c>
      <c r="Y3" s="22" t="s">
        <v>61</v>
      </c>
      <c r="Z3" s="22" t="s">
        <v>62</v>
      </c>
      <c r="AA3" s="22" t="s">
        <v>63</v>
      </c>
      <c r="AB3" s="22" t="s">
        <v>64</v>
      </c>
      <c r="AC3" s="15" t="s">
        <v>65</v>
      </c>
      <c r="AD3" s="22" t="s">
        <v>66</v>
      </c>
      <c r="AE3" s="15" t="s">
        <v>67</v>
      </c>
      <c r="AF3" s="15" t="s">
        <v>68</v>
      </c>
      <c r="AG3" s="15" t="s">
        <v>69</v>
      </c>
      <c r="AH3" s="23" t="s">
        <v>70</v>
      </c>
    </row>
    <row r="4" spans="2:34" ht="101.4" customHeight="1">
      <c r="B4" s="24">
        <f t="shared" ref="B4:B67" si="0">ROW()-3</f>
        <v>1</v>
      </c>
      <c r="C4" s="25" t="str">
        <f>"$"&amp;VLOOKUP(LEFT([1]!Table2[[#This Row],[Column2]],2),[1]Definitions!$B$51:$C$66,2,FALSE)&amp;MID([1]!Table2[[#This Row],[Column2]],3,3)&amp;RIGHT([1]!Table2[[#This Row],[Column2]],2)</f>
        <v>$800611</v>
      </c>
      <c r="D4" s="26" t="s">
        <v>71</v>
      </c>
      <c r="E4" s="26" t="s">
        <v>72</v>
      </c>
      <c r="F4" s="27" t="s">
        <v>73</v>
      </c>
      <c r="G4" s="27" t="s">
        <v>74</v>
      </c>
      <c r="H4" s="27" t="s">
        <v>75</v>
      </c>
      <c r="I4" s="28" t="s">
        <v>76</v>
      </c>
      <c r="J4" s="27">
        <v>2</v>
      </c>
      <c r="K4" s="27" t="s">
        <v>77</v>
      </c>
      <c r="L4" s="27" t="s">
        <v>78</v>
      </c>
      <c r="M4" s="27" t="s">
        <v>78</v>
      </c>
      <c r="N4" s="27" t="s">
        <v>79</v>
      </c>
      <c r="O4" s="26" t="s">
        <v>80</v>
      </c>
      <c r="P4" s="26" t="s">
        <v>81</v>
      </c>
      <c r="Q4" s="27" t="s">
        <v>82</v>
      </c>
      <c r="R4" s="29" t="s">
        <v>83</v>
      </c>
      <c r="S4" s="27" t="s">
        <v>84</v>
      </c>
      <c r="T4" s="27" t="s">
        <v>85</v>
      </c>
      <c r="U4" s="30" t="s">
        <v>86</v>
      </c>
      <c r="V4" s="30" t="s">
        <v>87</v>
      </c>
      <c r="W4" s="31" t="s">
        <v>88</v>
      </c>
      <c r="X4" s="32" t="s">
        <v>89</v>
      </c>
      <c r="Y4" s="27">
        <v>5000</v>
      </c>
      <c r="Z4" s="30" t="s">
        <v>90</v>
      </c>
      <c r="AA4" s="27">
        <v>10</v>
      </c>
      <c r="AB4" s="27">
        <v>0</v>
      </c>
      <c r="AC4" s="33" t="s">
        <v>91</v>
      </c>
      <c r="AD4" s="27">
        <v>500</v>
      </c>
      <c r="AE4" s="26" t="s">
        <v>92</v>
      </c>
      <c r="AF4" s="27" t="s">
        <v>93</v>
      </c>
      <c r="AG4" s="31" t="s">
        <v>94</v>
      </c>
      <c r="AH4" s="34" t="s">
        <v>95</v>
      </c>
    </row>
    <row r="5" spans="2:34" ht="112.5" customHeight="1">
      <c r="B5" s="24">
        <f t="shared" si="0"/>
        <v>2</v>
      </c>
      <c r="C5" s="35" t="str">
        <f>"$"&amp;VLOOKUP(LEFT([1]!Table2[[#This Row],[Column2]],2),[1]Definitions!$B$51:$C$66,2,FALSE)&amp;MID([1]!Table2[[#This Row],[Column2]],3,3)&amp;RIGHT([1]!Table2[[#This Row],[Column2]],2)</f>
        <v>$800615</v>
      </c>
      <c r="D5" s="36" t="s">
        <v>96</v>
      </c>
      <c r="E5" s="36" t="s">
        <v>97</v>
      </c>
      <c r="F5" s="37" t="s">
        <v>73</v>
      </c>
      <c r="G5" s="37" t="s">
        <v>74</v>
      </c>
      <c r="H5" s="37" t="s">
        <v>75</v>
      </c>
      <c r="I5" s="37" t="s">
        <v>76</v>
      </c>
      <c r="J5" s="37">
        <v>2</v>
      </c>
      <c r="K5" s="37" t="s">
        <v>77</v>
      </c>
      <c r="L5" s="37" t="s">
        <v>78</v>
      </c>
      <c r="M5" s="37" t="s">
        <v>78</v>
      </c>
      <c r="N5" s="37" t="s">
        <v>79</v>
      </c>
      <c r="O5" s="36" t="s">
        <v>80</v>
      </c>
      <c r="P5" s="36" t="s">
        <v>81</v>
      </c>
      <c r="Q5" s="37" t="s">
        <v>82</v>
      </c>
      <c r="R5" s="27" t="s">
        <v>83</v>
      </c>
      <c r="S5" s="27" t="s">
        <v>84</v>
      </c>
      <c r="T5" s="27" t="s">
        <v>85</v>
      </c>
      <c r="U5" s="30" t="s">
        <v>86</v>
      </c>
      <c r="V5" s="30" t="s">
        <v>87</v>
      </c>
      <c r="W5" s="31" t="s">
        <v>98</v>
      </c>
      <c r="X5" s="38" t="s">
        <v>99</v>
      </c>
      <c r="Y5" s="27">
        <v>5000</v>
      </c>
      <c r="Z5" s="30" t="s">
        <v>100</v>
      </c>
      <c r="AA5" s="27">
        <v>10</v>
      </c>
      <c r="AB5" s="27">
        <v>0</v>
      </c>
      <c r="AC5" s="33" t="s">
        <v>101</v>
      </c>
      <c r="AD5" s="27">
        <v>5000</v>
      </c>
      <c r="AE5" s="26" t="s">
        <v>92</v>
      </c>
      <c r="AF5" s="27" t="s">
        <v>93</v>
      </c>
      <c r="AG5" s="31" t="s">
        <v>102</v>
      </c>
      <c r="AH5" s="34" t="s">
        <v>95</v>
      </c>
    </row>
    <row r="6" spans="2:34" ht="112.5" customHeight="1">
      <c r="B6" s="24">
        <f t="shared" si="0"/>
        <v>3</v>
      </c>
      <c r="C6" s="25" t="str">
        <f>"$"&amp;VLOOKUP(LEFT([1]!Table2[[#This Row],[Column2]],2),[1]Definitions!$B$51:$C$66,2,FALSE)&amp;MID([1]!Table2[[#This Row],[Column2]],3,3)&amp;RIGHT([1]!Table2[[#This Row],[Column2]],2)</f>
        <v>$800711</v>
      </c>
      <c r="D6" s="26" t="s">
        <v>103</v>
      </c>
      <c r="E6" s="26" t="s">
        <v>104</v>
      </c>
      <c r="F6" s="27" t="s">
        <v>73</v>
      </c>
      <c r="G6" s="27" t="s">
        <v>74</v>
      </c>
      <c r="H6" s="27" t="s">
        <v>75</v>
      </c>
      <c r="I6" s="27" t="s">
        <v>76</v>
      </c>
      <c r="J6" s="27">
        <v>2</v>
      </c>
      <c r="K6" s="27" t="s">
        <v>77</v>
      </c>
      <c r="L6" s="27" t="s">
        <v>78</v>
      </c>
      <c r="M6" s="27" t="s">
        <v>78</v>
      </c>
      <c r="N6" s="27" t="s">
        <v>105</v>
      </c>
      <c r="O6" s="26" t="s">
        <v>80</v>
      </c>
      <c r="P6" s="26" t="s">
        <v>81</v>
      </c>
      <c r="Q6" s="27" t="s">
        <v>82</v>
      </c>
      <c r="R6" s="27" t="s">
        <v>106</v>
      </c>
      <c r="S6" s="39" t="s">
        <v>84</v>
      </c>
      <c r="T6" s="27" t="s">
        <v>107</v>
      </c>
      <c r="U6" s="30" t="s">
        <v>108</v>
      </c>
      <c r="V6" s="30" t="s">
        <v>109</v>
      </c>
      <c r="W6" s="31" t="s">
        <v>110</v>
      </c>
      <c r="X6" s="32" t="s">
        <v>89</v>
      </c>
      <c r="Y6" s="27">
        <v>5000</v>
      </c>
      <c r="Z6" s="30" t="s">
        <v>90</v>
      </c>
      <c r="AA6" s="27">
        <v>10</v>
      </c>
      <c r="AB6" s="27">
        <v>0</v>
      </c>
      <c r="AC6" s="33" t="s">
        <v>91</v>
      </c>
      <c r="AD6" s="27">
        <v>500</v>
      </c>
      <c r="AE6" s="26" t="s">
        <v>92</v>
      </c>
      <c r="AF6" s="27" t="s">
        <v>93</v>
      </c>
      <c r="AG6" s="31" t="s">
        <v>111</v>
      </c>
      <c r="AH6" s="34" t="s">
        <v>95</v>
      </c>
    </row>
    <row r="7" spans="2:34" ht="124.5" customHeight="1">
      <c r="B7" s="24">
        <f t="shared" si="0"/>
        <v>4</v>
      </c>
      <c r="C7" s="25" t="str">
        <f>"$"&amp;VLOOKUP(LEFT([1]!Table2[[#This Row],[Column2]],2),[1]Definitions!$B$51:$C$66,2,FALSE)&amp;MID([1]!Table2[[#This Row],[Column2]],3,3)&amp;RIGHT([1]!Table2[[#This Row],[Column2]],2)</f>
        <v>$800715</v>
      </c>
      <c r="D7" s="26" t="s">
        <v>112</v>
      </c>
      <c r="E7" s="40" t="s">
        <v>113</v>
      </c>
      <c r="F7" s="41" t="s">
        <v>73</v>
      </c>
      <c r="G7" s="27" t="s">
        <v>74</v>
      </c>
      <c r="H7" s="27" t="s">
        <v>75</v>
      </c>
      <c r="I7" s="27" t="s">
        <v>76</v>
      </c>
      <c r="J7" s="27">
        <v>2</v>
      </c>
      <c r="K7" s="41" t="s">
        <v>77</v>
      </c>
      <c r="L7" s="41" t="s">
        <v>78</v>
      </c>
      <c r="M7" s="41" t="s">
        <v>78</v>
      </c>
      <c r="N7" s="41" t="s">
        <v>105</v>
      </c>
      <c r="O7" s="42" t="s">
        <v>80</v>
      </c>
      <c r="P7" s="42" t="s">
        <v>81</v>
      </c>
      <c r="Q7" s="41" t="s">
        <v>82</v>
      </c>
      <c r="R7" s="27" t="s">
        <v>106</v>
      </c>
      <c r="S7" s="39" t="s">
        <v>84</v>
      </c>
      <c r="T7" s="27" t="s">
        <v>107</v>
      </c>
      <c r="U7" s="43" t="s">
        <v>108</v>
      </c>
      <c r="V7" s="43" t="s">
        <v>109</v>
      </c>
      <c r="W7" s="31" t="s">
        <v>98</v>
      </c>
      <c r="X7" s="32" t="s">
        <v>114</v>
      </c>
      <c r="Y7" s="41">
        <v>5000</v>
      </c>
      <c r="Z7" s="30" t="s">
        <v>100</v>
      </c>
      <c r="AA7" s="41">
        <v>10</v>
      </c>
      <c r="AB7" s="41">
        <v>0</v>
      </c>
      <c r="AC7" s="33" t="s">
        <v>115</v>
      </c>
      <c r="AD7" s="27">
        <v>5000</v>
      </c>
      <c r="AE7" s="42" t="s">
        <v>92</v>
      </c>
      <c r="AF7" s="44" t="s">
        <v>93</v>
      </c>
      <c r="AG7" s="45" t="s">
        <v>116</v>
      </c>
      <c r="AH7" s="34" t="s">
        <v>95</v>
      </c>
    </row>
    <row r="8" spans="2:34" ht="123.75" customHeight="1">
      <c r="B8" s="46">
        <f t="shared" si="0"/>
        <v>5</v>
      </c>
      <c r="C8" s="25" t="str">
        <f>"$"&amp;VLOOKUP(LEFT([1]!Table2[[#This Row],[Column2]],2),[1]Definitions!$B$51:$C$66,2,FALSE)&amp;MID([1]!Table2[[#This Row],[Column2]],3,3)&amp;RIGHT([1]!Table2[[#This Row],[Column2]],2)</f>
        <v>$800811</v>
      </c>
      <c r="D8" s="47" t="s">
        <v>117</v>
      </c>
      <c r="E8" s="47" t="s">
        <v>118</v>
      </c>
      <c r="F8" s="27" t="s">
        <v>73</v>
      </c>
      <c r="G8" s="48" t="s">
        <v>74</v>
      </c>
      <c r="H8" s="48" t="s">
        <v>75</v>
      </c>
      <c r="I8" s="48" t="s">
        <v>76</v>
      </c>
      <c r="J8" s="48">
        <v>2</v>
      </c>
      <c r="K8" s="27" t="s">
        <v>77</v>
      </c>
      <c r="L8" s="27" t="s">
        <v>119</v>
      </c>
      <c r="M8" s="49" t="s">
        <v>120</v>
      </c>
      <c r="N8" s="27" t="s">
        <v>76</v>
      </c>
      <c r="O8" s="26" t="s">
        <v>121</v>
      </c>
      <c r="P8" s="26" t="s">
        <v>122</v>
      </c>
      <c r="Q8" s="27" t="s">
        <v>82</v>
      </c>
      <c r="R8" s="48" t="s">
        <v>123</v>
      </c>
      <c r="S8" s="27" t="s">
        <v>124</v>
      </c>
      <c r="T8" s="50" t="s">
        <v>125</v>
      </c>
      <c r="U8" s="30" t="s">
        <v>126</v>
      </c>
      <c r="V8" s="30" t="s">
        <v>127</v>
      </c>
      <c r="W8" s="26" t="s">
        <v>128</v>
      </c>
      <c r="X8" s="32" t="s">
        <v>89</v>
      </c>
      <c r="Y8" s="27">
        <v>5000</v>
      </c>
      <c r="Z8" s="30" t="s">
        <v>90</v>
      </c>
      <c r="AA8" s="27">
        <v>10</v>
      </c>
      <c r="AB8" s="27">
        <v>0</v>
      </c>
      <c r="AC8" s="33" t="s">
        <v>91</v>
      </c>
      <c r="AD8" s="27">
        <v>500</v>
      </c>
      <c r="AE8" s="26" t="s">
        <v>92</v>
      </c>
      <c r="AF8" s="27" t="s">
        <v>93</v>
      </c>
      <c r="AG8" s="32" t="s">
        <v>129</v>
      </c>
      <c r="AH8" s="34" t="s">
        <v>95</v>
      </c>
    </row>
    <row r="9" spans="2:34" ht="143.1" customHeight="1">
      <c r="B9" s="46">
        <f t="shared" si="0"/>
        <v>6</v>
      </c>
      <c r="C9" s="25" t="str">
        <f>"$"&amp;VLOOKUP(LEFT([1]!Table2[[#This Row],[Column2]],2),[1]Definitions!$B$51:$C$66,2,FALSE)&amp;MID([1]!Table2[[#This Row],[Column2]],3,3)&amp;RIGHT([1]!Table2[[#This Row],[Column2]],2)</f>
        <v>$800815</v>
      </c>
      <c r="D9" s="33" t="s">
        <v>130</v>
      </c>
      <c r="E9" s="33" t="s">
        <v>131</v>
      </c>
      <c r="F9" s="27" t="s">
        <v>73</v>
      </c>
      <c r="G9" s="30" t="s">
        <v>74</v>
      </c>
      <c r="H9" s="30" t="s">
        <v>75</v>
      </c>
      <c r="I9" s="30" t="s">
        <v>76</v>
      </c>
      <c r="J9" s="30">
        <v>2</v>
      </c>
      <c r="K9" s="27" t="s">
        <v>77</v>
      </c>
      <c r="L9" s="27" t="s">
        <v>119</v>
      </c>
      <c r="M9" s="49" t="s">
        <v>120</v>
      </c>
      <c r="N9" s="27" t="s">
        <v>76</v>
      </c>
      <c r="O9" s="26" t="s">
        <v>121</v>
      </c>
      <c r="P9" s="26" t="s">
        <v>122</v>
      </c>
      <c r="Q9" s="27" t="s">
        <v>82</v>
      </c>
      <c r="R9" s="30" t="s">
        <v>76</v>
      </c>
      <c r="S9" s="27" t="s">
        <v>124</v>
      </c>
      <c r="T9" s="50" t="s">
        <v>125</v>
      </c>
      <c r="U9" s="30" t="s">
        <v>126</v>
      </c>
      <c r="V9" s="30" t="s">
        <v>127</v>
      </c>
      <c r="W9" s="33" t="s">
        <v>132</v>
      </c>
      <c r="X9" s="32" t="s">
        <v>133</v>
      </c>
      <c r="Y9" s="27">
        <v>5000</v>
      </c>
      <c r="Z9" s="30" t="s">
        <v>100</v>
      </c>
      <c r="AA9" s="27">
        <v>10</v>
      </c>
      <c r="AB9" s="27">
        <v>0</v>
      </c>
      <c r="AC9" s="33" t="s">
        <v>134</v>
      </c>
      <c r="AD9" s="27">
        <v>5000</v>
      </c>
      <c r="AE9" s="26" t="s">
        <v>92</v>
      </c>
      <c r="AF9" s="27" t="s">
        <v>93</v>
      </c>
      <c r="AG9" s="32" t="s">
        <v>135</v>
      </c>
      <c r="AH9" s="34" t="s">
        <v>95</v>
      </c>
    </row>
    <row r="10" spans="2:34" ht="135" customHeight="1">
      <c r="B10" s="46">
        <f t="shared" si="0"/>
        <v>7</v>
      </c>
      <c r="C10" s="25" t="str">
        <f>"$"&amp;VLOOKUP(LEFT([1]!Table2[[#This Row],[Column2]],2),[1]Definitions!$B$51:$C$66,2,FALSE)&amp;MID([1]!Table2[[#This Row],[Column2]],3,3)&amp;RIGHT([1]!Table2[[#This Row],[Column2]],2)</f>
        <v>$801611</v>
      </c>
      <c r="D10" s="51" t="s">
        <v>136</v>
      </c>
      <c r="E10" s="26" t="s">
        <v>137</v>
      </c>
      <c r="F10" s="27" t="s">
        <v>138</v>
      </c>
      <c r="G10" s="27" t="s">
        <v>74</v>
      </c>
      <c r="H10" s="27" t="s">
        <v>75</v>
      </c>
      <c r="I10" s="27" t="s">
        <v>76</v>
      </c>
      <c r="J10" s="27">
        <v>2</v>
      </c>
      <c r="K10" s="27" t="s">
        <v>77</v>
      </c>
      <c r="L10" s="27" t="s">
        <v>139</v>
      </c>
      <c r="M10" s="49" t="s">
        <v>140</v>
      </c>
      <c r="N10" s="27" t="s">
        <v>141</v>
      </c>
      <c r="O10" s="26" t="s">
        <v>142</v>
      </c>
      <c r="P10" s="26" t="s">
        <v>143</v>
      </c>
      <c r="Q10" s="27" t="s">
        <v>82</v>
      </c>
      <c r="R10" s="27" t="s">
        <v>144</v>
      </c>
      <c r="S10" s="27" t="s">
        <v>145</v>
      </c>
      <c r="T10" s="27" t="s">
        <v>146</v>
      </c>
      <c r="U10" s="30" t="s">
        <v>147</v>
      </c>
      <c r="V10" s="30" t="s">
        <v>148</v>
      </c>
      <c r="W10" s="32" t="s">
        <v>149</v>
      </c>
      <c r="X10" s="32" t="s">
        <v>150</v>
      </c>
      <c r="Y10" s="27">
        <v>5000</v>
      </c>
      <c r="Z10" s="30" t="s">
        <v>100</v>
      </c>
      <c r="AA10" s="27">
        <v>10</v>
      </c>
      <c r="AB10" s="27">
        <v>0</v>
      </c>
      <c r="AC10" s="33" t="s">
        <v>151</v>
      </c>
      <c r="AD10" s="27">
        <v>5000</v>
      </c>
      <c r="AE10" s="26" t="s">
        <v>92</v>
      </c>
      <c r="AF10" s="27" t="s">
        <v>93</v>
      </c>
      <c r="AG10" s="51" t="s">
        <v>152</v>
      </c>
      <c r="AH10" s="34" t="s">
        <v>95</v>
      </c>
    </row>
    <row r="11" spans="2:34" ht="123.75" customHeight="1">
      <c r="B11" s="46">
        <f t="shared" si="0"/>
        <v>8</v>
      </c>
      <c r="C11" s="25" t="str">
        <f>"$"&amp;VLOOKUP(LEFT([1]!Table2[[#This Row],[Column2]],2),[1]Definitions!$B$51:$C$66,2,FALSE)&amp;MID([1]!Table2[[#This Row],[Column2]],3,3)&amp;RIGHT([1]!Table2[[#This Row],[Column2]],2)</f>
        <v>$810611</v>
      </c>
      <c r="D11" s="25" t="s">
        <v>153</v>
      </c>
      <c r="E11" s="47" t="s">
        <v>154</v>
      </c>
      <c r="F11" s="27" t="s">
        <v>155</v>
      </c>
      <c r="G11" s="48" t="s">
        <v>74</v>
      </c>
      <c r="H11" s="48" t="s">
        <v>75</v>
      </c>
      <c r="I11" s="48" t="s">
        <v>76</v>
      </c>
      <c r="J11" s="48">
        <v>2</v>
      </c>
      <c r="K11" s="27" t="s">
        <v>77</v>
      </c>
      <c r="L11" s="27" t="s">
        <v>156</v>
      </c>
      <c r="M11" s="49" t="s">
        <v>120</v>
      </c>
      <c r="N11" s="27" t="s">
        <v>76</v>
      </c>
      <c r="O11" s="26" t="s">
        <v>121</v>
      </c>
      <c r="P11" s="26" t="s">
        <v>157</v>
      </c>
      <c r="Q11" s="27" t="s">
        <v>82</v>
      </c>
      <c r="R11" s="52" t="s">
        <v>158</v>
      </c>
      <c r="S11" s="27" t="s">
        <v>84</v>
      </c>
      <c r="T11" s="48" t="s">
        <v>159</v>
      </c>
      <c r="U11" s="30" t="s">
        <v>160</v>
      </c>
      <c r="V11" s="30" t="s">
        <v>161</v>
      </c>
      <c r="W11" s="33" t="s">
        <v>162</v>
      </c>
      <c r="X11" s="51" t="s">
        <v>163</v>
      </c>
      <c r="Y11" s="27">
        <v>5000</v>
      </c>
      <c r="Z11" s="30" t="s">
        <v>90</v>
      </c>
      <c r="AA11" s="27">
        <v>10</v>
      </c>
      <c r="AB11" s="27">
        <v>0</v>
      </c>
      <c r="AC11" s="26" t="s">
        <v>164</v>
      </c>
      <c r="AD11" s="27">
        <v>500</v>
      </c>
      <c r="AE11" s="26" t="s">
        <v>165</v>
      </c>
      <c r="AF11" s="27" t="s">
        <v>93</v>
      </c>
      <c r="AG11" s="26" t="s">
        <v>166</v>
      </c>
      <c r="AH11" s="34" t="s">
        <v>95</v>
      </c>
    </row>
    <row r="12" spans="2:34" ht="123.75" customHeight="1">
      <c r="B12" s="46">
        <f t="shared" si="0"/>
        <v>9</v>
      </c>
      <c r="C12" s="25" t="str">
        <f>"$"&amp;VLOOKUP(LEFT([1]!Table2[[#This Row],[Column2]],2),[1]Definitions!$B$51:$C$66,2,FALSE)&amp;MID([1]!Table2[[#This Row],[Column2]],3,3)&amp;RIGHT([1]!Table2[[#This Row],[Column2]],2)</f>
        <v>$810615</v>
      </c>
      <c r="D12" s="25" t="s">
        <v>167</v>
      </c>
      <c r="E12" s="47" t="s">
        <v>168</v>
      </c>
      <c r="F12" s="27" t="s">
        <v>155</v>
      </c>
      <c r="G12" s="48" t="s">
        <v>74</v>
      </c>
      <c r="H12" s="48" t="s">
        <v>75</v>
      </c>
      <c r="I12" s="48" t="s">
        <v>76</v>
      </c>
      <c r="J12" s="48">
        <v>2</v>
      </c>
      <c r="K12" s="27" t="s">
        <v>77</v>
      </c>
      <c r="L12" s="27" t="s">
        <v>156</v>
      </c>
      <c r="M12" s="49" t="s">
        <v>120</v>
      </c>
      <c r="N12" s="27" t="s">
        <v>76</v>
      </c>
      <c r="O12" s="26" t="s">
        <v>121</v>
      </c>
      <c r="P12" s="26" t="s">
        <v>157</v>
      </c>
      <c r="Q12" s="27" t="s">
        <v>82</v>
      </c>
      <c r="R12" s="52" t="s">
        <v>158</v>
      </c>
      <c r="S12" s="27" t="s">
        <v>84</v>
      </c>
      <c r="T12" s="48" t="s">
        <v>159</v>
      </c>
      <c r="U12" s="30" t="s">
        <v>160</v>
      </c>
      <c r="V12" s="30" t="s">
        <v>161</v>
      </c>
      <c r="W12" s="33" t="s">
        <v>162</v>
      </c>
      <c r="X12" s="51" t="s">
        <v>169</v>
      </c>
      <c r="Y12" s="27">
        <v>5000</v>
      </c>
      <c r="Z12" s="30" t="s">
        <v>100</v>
      </c>
      <c r="AA12" s="27">
        <v>10</v>
      </c>
      <c r="AB12" s="27">
        <v>0</v>
      </c>
      <c r="AC12" s="26" t="s">
        <v>170</v>
      </c>
      <c r="AD12" s="27">
        <v>5000</v>
      </c>
      <c r="AE12" s="26" t="s">
        <v>92</v>
      </c>
      <c r="AF12" s="27" t="s">
        <v>93</v>
      </c>
      <c r="AG12" s="26" t="s">
        <v>166</v>
      </c>
      <c r="AH12" s="34" t="s">
        <v>95</v>
      </c>
    </row>
    <row r="13" spans="2:34" ht="112.5" customHeight="1">
      <c r="B13" s="46">
        <f t="shared" si="0"/>
        <v>10</v>
      </c>
      <c r="C13" s="25" t="str">
        <f>"$"&amp;VLOOKUP(LEFT([1]!Table2[[#This Row],[Column2]],2),[1]Definitions!$B$51:$C$66,2,FALSE)&amp;MID([1]!Table2[[#This Row],[Column2]],3,3)&amp;RIGHT([1]!Table2[[#This Row],[Column2]],2)</f>
        <v>$810A11</v>
      </c>
      <c r="D13" s="51" t="s">
        <v>171</v>
      </c>
      <c r="E13" s="26" t="s">
        <v>172</v>
      </c>
      <c r="F13" s="27" t="s">
        <v>155</v>
      </c>
      <c r="G13" s="27" t="s">
        <v>74</v>
      </c>
      <c r="H13" s="27" t="s">
        <v>75</v>
      </c>
      <c r="I13" s="27" t="s">
        <v>76</v>
      </c>
      <c r="J13" s="27">
        <v>2</v>
      </c>
      <c r="K13" s="27" t="s">
        <v>77</v>
      </c>
      <c r="L13" s="27" t="s">
        <v>156</v>
      </c>
      <c r="M13" s="49" t="s">
        <v>173</v>
      </c>
      <c r="N13" s="27" t="s">
        <v>174</v>
      </c>
      <c r="O13" s="26" t="s">
        <v>175</v>
      </c>
      <c r="P13" s="26" t="s">
        <v>176</v>
      </c>
      <c r="Q13" s="27" t="s">
        <v>82</v>
      </c>
      <c r="R13" s="27" t="s">
        <v>177</v>
      </c>
      <c r="S13" s="27" t="s">
        <v>178</v>
      </c>
      <c r="T13" s="27" t="s">
        <v>179</v>
      </c>
      <c r="U13" s="30" t="s">
        <v>180</v>
      </c>
      <c r="V13" s="30" t="s">
        <v>181</v>
      </c>
      <c r="W13" s="51" t="s">
        <v>182</v>
      </c>
      <c r="X13" s="51" t="s">
        <v>183</v>
      </c>
      <c r="Y13" s="27">
        <v>5000</v>
      </c>
      <c r="Z13" s="30" t="s">
        <v>90</v>
      </c>
      <c r="AA13" s="27">
        <v>10</v>
      </c>
      <c r="AB13" s="27">
        <v>0</v>
      </c>
      <c r="AC13" s="26" t="s">
        <v>184</v>
      </c>
      <c r="AD13" s="27">
        <v>500</v>
      </c>
      <c r="AE13" s="26" t="s">
        <v>92</v>
      </c>
      <c r="AF13" s="27" t="s">
        <v>93</v>
      </c>
      <c r="AG13" s="51" t="s">
        <v>185</v>
      </c>
      <c r="AH13" s="34" t="s">
        <v>95</v>
      </c>
    </row>
    <row r="14" spans="2:34" ht="87.75" customHeight="1">
      <c r="B14" s="46">
        <f t="shared" si="0"/>
        <v>11</v>
      </c>
      <c r="C14" s="25" t="str">
        <f>"$"&amp;VLOOKUP(LEFT([1]!Table2[[#This Row],[Column2]],2),[1]Definitions!$B$51:$C$66,2,FALSE)&amp;MID([1]!Table2[[#This Row],[Column2]],3,3)&amp;RIGHT([1]!Table2[[#This Row],[Column2]],2)</f>
        <v>$810A15</v>
      </c>
      <c r="D14" s="51" t="s">
        <v>186</v>
      </c>
      <c r="E14" s="26" t="s">
        <v>187</v>
      </c>
      <c r="F14" s="27" t="s">
        <v>155</v>
      </c>
      <c r="G14" s="27" t="s">
        <v>74</v>
      </c>
      <c r="H14" s="27" t="s">
        <v>75</v>
      </c>
      <c r="I14" s="27" t="s">
        <v>76</v>
      </c>
      <c r="J14" s="27">
        <v>2</v>
      </c>
      <c r="K14" s="27" t="s">
        <v>77</v>
      </c>
      <c r="L14" s="27" t="s">
        <v>156</v>
      </c>
      <c r="M14" s="49" t="s">
        <v>173</v>
      </c>
      <c r="N14" s="27" t="s">
        <v>188</v>
      </c>
      <c r="O14" s="26" t="s">
        <v>189</v>
      </c>
      <c r="P14" s="26" t="s">
        <v>190</v>
      </c>
      <c r="Q14" s="27" t="s">
        <v>82</v>
      </c>
      <c r="R14" s="27" t="s">
        <v>177</v>
      </c>
      <c r="S14" s="27" t="s">
        <v>178</v>
      </c>
      <c r="T14" s="27" t="s">
        <v>179</v>
      </c>
      <c r="U14" s="30" t="s">
        <v>180</v>
      </c>
      <c r="V14" s="30" t="s">
        <v>181</v>
      </c>
      <c r="W14" s="32" t="s">
        <v>191</v>
      </c>
      <c r="X14" s="32" t="s">
        <v>192</v>
      </c>
      <c r="Y14" s="27">
        <v>5000</v>
      </c>
      <c r="Z14" s="30" t="s">
        <v>100</v>
      </c>
      <c r="AA14" s="27">
        <v>10</v>
      </c>
      <c r="AB14" s="27">
        <v>0</v>
      </c>
      <c r="AC14" s="53" t="s">
        <v>170</v>
      </c>
      <c r="AD14" s="27">
        <v>5000</v>
      </c>
      <c r="AE14" s="26" t="s">
        <v>92</v>
      </c>
      <c r="AF14" s="27" t="s">
        <v>93</v>
      </c>
      <c r="AG14" s="51" t="s">
        <v>185</v>
      </c>
      <c r="AH14" s="34" t="s">
        <v>95</v>
      </c>
    </row>
    <row r="15" spans="2:34" ht="108" customHeight="1">
      <c r="B15" s="46">
        <f t="shared" si="0"/>
        <v>12</v>
      </c>
      <c r="C15" s="25" t="str">
        <f>"$"&amp;VLOOKUP(LEFT([1]!Table2[[#This Row],[Column2]],2),[1]Definitions!$B$51:$C$66,2,FALSE)&amp;MID([1]!Table2[[#This Row],[Column2]],3,3)&amp;RIGHT([1]!Table2[[#This Row],[Column2]],2)</f>
        <v>$812200</v>
      </c>
      <c r="D15" s="32" t="s">
        <v>193</v>
      </c>
      <c r="E15" s="33" t="s">
        <v>194</v>
      </c>
      <c r="F15" s="27" t="s">
        <v>73</v>
      </c>
      <c r="G15" s="54" t="s">
        <v>74</v>
      </c>
      <c r="H15" s="54" t="s">
        <v>75</v>
      </c>
      <c r="I15" s="54" t="s">
        <v>76</v>
      </c>
      <c r="J15" s="54">
        <v>2</v>
      </c>
      <c r="K15" s="27" t="s">
        <v>77</v>
      </c>
      <c r="L15" s="27" t="s">
        <v>195</v>
      </c>
      <c r="M15" s="49" t="s">
        <v>196</v>
      </c>
      <c r="N15" s="27" t="s">
        <v>76</v>
      </c>
      <c r="O15" s="26" t="s">
        <v>197</v>
      </c>
      <c r="P15" s="26" t="s">
        <v>198</v>
      </c>
      <c r="Q15" s="27" t="s">
        <v>199</v>
      </c>
      <c r="R15" s="52" t="s">
        <v>200</v>
      </c>
      <c r="S15" s="27" t="s">
        <v>201</v>
      </c>
      <c r="T15" s="52" t="s">
        <v>202</v>
      </c>
      <c r="U15" s="30" t="s">
        <v>202</v>
      </c>
      <c r="V15" s="30" t="s">
        <v>202</v>
      </c>
      <c r="W15" s="32" t="s">
        <v>203</v>
      </c>
      <c r="X15" s="51" t="s">
        <v>204</v>
      </c>
      <c r="Y15" s="27">
        <v>5000</v>
      </c>
      <c r="Z15" s="30" t="s">
        <v>100</v>
      </c>
      <c r="AA15" s="27">
        <v>100</v>
      </c>
      <c r="AB15" s="27">
        <v>0</v>
      </c>
      <c r="AC15" s="26" t="s">
        <v>205</v>
      </c>
      <c r="AD15" s="27">
        <v>1000</v>
      </c>
      <c r="AE15" s="26" t="s">
        <v>206</v>
      </c>
      <c r="AF15" s="27" t="s">
        <v>93</v>
      </c>
      <c r="AG15" s="51" t="s">
        <v>207</v>
      </c>
      <c r="AH15" s="34" t="s">
        <v>208</v>
      </c>
    </row>
    <row r="16" spans="2:34" ht="137.1" customHeight="1">
      <c r="B16" s="46">
        <f t="shared" si="0"/>
        <v>13</v>
      </c>
      <c r="C16" s="25" t="str">
        <f>"$"&amp;VLOOKUP(LEFT([1]!Table2[[#This Row],[Column2]],2),[1]Definitions!$B$51:$C$66,2,FALSE)&amp;MID([1]!Table2[[#This Row],[Column2]],3,3)&amp;RIGHT([1]!Table2[[#This Row],[Column2]],2)</f>
        <v>$812300</v>
      </c>
      <c r="D16" s="32" t="s">
        <v>209</v>
      </c>
      <c r="E16" s="33" t="s">
        <v>210</v>
      </c>
      <c r="F16" s="27" t="s">
        <v>73</v>
      </c>
      <c r="G16" s="54" t="s">
        <v>74</v>
      </c>
      <c r="H16" s="54" t="s">
        <v>75</v>
      </c>
      <c r="I16" s="54" t="s">
        <v>76</v>
      </c>
      <c r="J16" s="54">
        <v>2</v>
      </c>
      <c r="K16" s="27" t="s">
        <v>77</v>
      </c>
      <c r="L16" s="27" t="s">
        <v>195</v>
      </c>
      <c r="M16" s="49" t="s">
        <v>196</v>
      </c>
      <c r="N16" s="27" t="s">
        <v>76</v>
      </c>
      <c r="O16" s="26" t="s">
        <v>197</v>
      </c>
      <c r="P16" s="26" t="s">
        <v>198</v>
      </c>
      <c r="Q16" s="27" t="s">
        <v>199</v>
      </c>
      <c r="R16" s="52" t="s">
        <v>200</v>
      </c>
      <c r="S16" s="27" t="s">
        <v>201</v>
      </c>
      <c r="T16" s="52" t="s">
        <v>202</v>
      </c>
      <c r="U16" s="30" t="s">
        <v>202</v>
      </c>
      <c r="V16" s="30" t="s">
        <v>202</v>
      </c>
      <c r="W16" s="32" t="s">
        <v>203</v>
      </c>
      <c r="X16" s="51" t="s">
        <v>211</v>
      </c>
      <c r="Y16" s="27">
        <v>5000</v>
      </c>
      <c r="Z16" s="30" t="s">
        <v>100</v>
      </c>
      <c r="AA16" s="27">
        <v>100</v>
      </c>
      <c r="AB16" s="27">
        <v>0</v>
      </c>
      <c r="AC16" s="26" t="s">
        <v>212</v>
      </c>
      <c r="AD16" s="27">
        <v>1000</v>
      </c>
      <c r="AE16" s="26" t="s">
        <v>206</v>
      </c>
      <c r="AF16" s="27" t="s">
        <v>93</v>
      </c>
      <c r="AG16" s="51" t="s">
        <v>207</v>
      </c>
      <c r="AH16" s="34" t="s">
        <v>208</v>
      </c>
    </row>
    <row r="17" spans="2:34" ht="141.75" customHeight="1">
      <c r="B17" s="46">
        <f t="shared" si="0"/>
        <v>14</v>
      </c>
      <c r="C17" s="25" t="str">
        <f>"$"&amp;VLOOKUP(LEFT([1]!Table2[[#This Row],[Column2]],2),[1]Definitions!$B$51:$C$66,2,FALSE)&amp;MID([1]!Table2[[#This Row],[Column2]],3,3)&amp;RIGHT([1]!Table2[[#This Row],[Column2]],2)</f>
        <v>$81C508</v>
      </c>
      <c r="D17" s="47" t="s">
        <v>213</v>
      </c>
      <c r="E17" s="47" t="s">
        <v>214</v>
      </c>
      <c r="F17" s="27" t="s">
        <v>199</v>
      </c>
      <c r="G17" s="52" t="s">
        <v>74</v>
      </c>
      <c r="H17" s="52" t="s">
        <v>75</v>
      </c>
      <c r="I17" s="52" t="s">
        <v>76</v>
      </c>
      <c r="J17" s="52">
        <v>2</v>
      </c>
      <c r="K17" s="27" t="s">
        <v>77</v>
      </c>
      <c r="L17" s="27" t="s">
        <v>215</v>
      </c>
      <c r="M17" s="49" t="s">
        <v>216</v>
      </c>
      <c r="N17" s="54" t="s">
        <v>217</v>
      </c>
      <c r="O17" s="26" t="s">
        <v>218</v>
      </c>
      <c r="P17" s="52" t="s">
        <v>219</v>
      </c>
      <c r="Q17" s="27" t="s">
        <v>199</v>
      </c>
      <c r="R17" s="52" t="s">
        <v>201</v>
      </c>
      <c r="S17" s="27" t="s">
        <v>202</v>
      </c>
      <c r="T17" s="52" t="s">
        <v>202</v>
      </c>
      <c r="U17" s="30" t="s">
        <v>202</v>
      </c>
      <c r="V17" s="27" t="s">
        <v>202</v>
      </c>
      <c r="W17" s="32" t="s">
        <v>220</v>
      </c>
      <c r="X17" s="51" t="s">
        <v>221</v>
      </c>
      <c r="Y17" s="27">
        <v>2500</v>
      </c>
      <c r="Z17" s="30" t="s">
        <v>100</v>
      </c>
      <c r="AA17" s="27">
        <v>100</v>
      </c>
      <c r="AB17" s="27">
        <v>0</v>
      </c>
      <c r="AC17" s="27" t="s">
        <v>222</v>
      </c>
      <c r="AD17" s="27">
        <v>500</v>
      </c>
      <c r="AE17" s="26" t="s">
        <v>223</v>
      </c>
      <c r="AF17" s="27" t="s">
        <v>93</v>
      </c>
      <c r="AG17" s="51" t="s">
        <v>224</v>
      </c>
      <c r="AH17" s="34" t="s">
        <v>208</v>
      </c>
    </row>
    <row r="18" spans="2:34" ht="89.25" customHeight="1">
      <c r="B18" s="46">
        <f t="shared" si="0"/>
        <v>15</v>
      </c>
      <c r="C18" s="25" t="str">
        <f>"$"&amp;VLOOKUP(LEFT([1]!Table2[[#This Row],[Column2]],2),[1]Definitions!$B$51:$C$66,2,FALSE)&amp;MID([1]!Table2[[#This Row],[Column2]],3,3)&amp;RIGHT([1]!Table2[[#This Row],[Column2]],2)</f>
        <v>$81C564</v>
      </c>
      <c r="D18" s="25" t="s">
        <v>225</v>
      </c>
      <c r="E18" s="47" t="s">
        <v>226</v>
      </c>
      <c r="F18" s="27" t="s">
        <v>227</v>
      </c>
      <c r="G18" s="52" t="s">
        <v>74</v>
      </c>
      <c r="H18" s="52" t="s">
        <v>75</v>
      </c>
      <c r="I18" s="52" t="s">
        <v>76</v>
      </c>
      <c r="J18" s="52">
        <v>2</v>
      </c>
      <c r="K18" s="27" t="s">
        <v>77</v>
      </c>
      <c r="L18" s="27" t="s">
        <v>228</v>
      </c>
      <c r="M18" s="49" t="s">
        <v>229</v>
      </c>
      <c r="N18" s="27" t="s">
        <v>76</v>
      </c>
      <c r="O18" s="26" t="s">
        <v>230</v>
      </c>
      <c r="P18" s="26" t="s">
        <v>231</v>
      </c>
      <c r="Q18" s="27" t="s">
        <v>199</v>
      </c>
      <c r="R18" s="52" t="s">
        <v>202</v>
      </c>
      <c r="S18" s="27" t="s">
        <v>201</v>
      </c>
      <c r="T18" s="52" t="s">
        <v>202</v>
      </c>
      <c r="U18" s="30" t="s">
        <v>202</v>
      </c>
      <c r="V18" s="30" t="s">
        <v>202</v>
      </c>
      <c r="W18" s="32" t="s">
        <v>232</v>
      </c>
      <c r="X18" s="32" t="s">
        <v>233</v>
      </c>
      <c r="Y18" s="27">
        <v>20000</v>
      </c>
      <c r="Z18" s="30" t="s">
        <v>100</v>
      </c>
      <c r="AA18" s="27">
        <v>100</v>
      </c>
      <c r="AB18" s="27">
        <v>0</v>
      </c>
      <c r="AC18" s="32" t="s">
        <v>234</v>
      </c>
      <c r="AD18" s="27">
        <v>500</v>
      </c>
      <c r="AE18" s="33" t="s">
        <v>235</v>
      </c>
      <c r="AF18" s="27" t="s">
        <v>93</v>
      </c>
      <c r="AG18" s="55" t="s">
        <v>236</v>
      </c>
      <c r="AH18" s="34" t="s">
        <v>208</v>
      </c>
    </row>
    <row r="19" spans="2:34" ht="101.25" customHeight="1">
      <c r="B19" s="46">
        <f t="shared" si="0"/>
        <v>16</v>
      </c>
      <c r="C19" s="25" t="str">
        <f>"$"&amp;VLOOKUP(LEFT([1]!Table2[[#This Row],[Column2]],2),[1]Definitions!$B$51:$C$66,2,FALSE)&amp;MID([1]!Table2[[#This Row],[Column2]],3,3)&amp;RIGHT([1]!Table2[[#This Row],[Column2]],2)</f>
        <v>$81C587</v>
      </c>
      <c r="D19" s="47" t="s">
        <v>237</v>
      </c>
      <c r="E19" s="47" t="s">
        <v>238</v>
      </c>
      <c r="F19" s="27" t="s">
        <v>199</v>
      </c>
      <c r="G19" s="52" t="s">
        <v>74</v>
      </c>
      <c r="H19" s="52" t="s">
        <v>75</v>
      </c>
      <c r="I19" s="52" t="s">
        <v>76</v>
      </c>
      <c r="J19" s="52">
        <v>2</v>
      </c>
      <c r="K19" s="27" t="s">
        <v>77</v>
      </c>
      <c r="L19" s="27" t="s">
        <v>239</v>
      </c>
      <c r="M19" s="49" t="s">
        <v>240</v>
      </c>
      <c r="N19" s="54" t="s">
        <v>241</v>
      </c>
      <c r="O19" s="26" t="s">
        <v>218</v>
      </c>
      <c r="P19" s="52" t="s">
        <v>219</v>
      </c>
      <c r="Q19" s="27" t="s">
        <v>199</v>
      </c>
      <c r="R19" s="52" t="s">
        <v>201</v>
      </c>
      <c r="S19" s="27" t="s">
        <v>202</v>
      </c>
      <c r="T19" s="52" t="s">
        <v>202</v>
      </c>
      <c r="U19" s="30" t="s">
        <v>202</v>
      </c>
      <c r="V19" s="27" t="s">
        <v>202</v>
      </c>
      <c r="W19" s="32" t="s">
        <v>220</v>
      </c>
      <c r="X19" s="51" t="s">
        <v>242</v>
      </c>
      <c r="Y19" s="27">
        <v>2500</v>
      </c>
      <c r="Z19" s="30" t="s">
        <v>100</v>
      </c>
      <c r="AA19" s="27">
        <v>100</v>
      </c>
      <c r="AB19" s="27">
        <v>0</v>
      </c>
      <c r="AC19" s="27" t="s">
        <v>222</v>
      </c>
      <c r="AD19" s="27">
        <v>500</v>
      </c>
      <c r="AE19" s="26" t="s">
        <v>243</v>
      </c>
      <c r="AF19" s="27" t="s">
        <v>93</v>
      </c>
      <c r="AG19" s="56" t="s">
        <v>224</v>
      </c>
      <c r="AH19" s="34" t="s">
        <v>208</v>
      </c>
    </row>
    <row r="20" spans="2:34" ht="122.25" customHeight="1">
      <c r="B20" s="46">
        <f t="shared" si="0"/>
        <v>17</v>
      </c>
      <c r="C20" s="25" t="str">
        <f>"$"&amp;VLOOKUP(LEFT([1]!Table2[[#This Row],[Column2]],2),[1]Definitions!$B$51:$C$66,2,FALSE)&amp;MID([1]!Table2[[#This Row],[Column2]],3,3)&amp;RIGHT([1]!Table2[[#This Row],[Column2]],2)</f>
        <v>$821A87</v>
      </c>
      <c r="D20" s="25" t="s">
        <v>244</v>
      </c>
      <c r="E20" s="26" t="s">
        <v>245</v>
      </c>
      <c r="F20" s="27" t="s">
        <v>199</v>
      </c>
      <c r="G20" s="54" t="s">
        <v>74</v>
      </c>
      <c r="H20" s="54" t="s">
        <v>246</v>
      </c>
      <c r="I20" s="54" t="s">
        <v>76</v>
      </c>
      <c r="J20" s="54">
        <v>2</v>
      </c>
      <c r="K20" s="27" t="s">
        <v>77</v>
      </c>
      <c r="L20" s="27" t="s">
        <v>247</v>
      </c>
      <c r="M20" s="49" t="s">
        <v>248</v>
      </c>
      <c r="N20" s="27" t="s">
        <v>76</v>
      </c>
      <c r="O20" s="26" t="s">
        <v>218</v>
      </c>
      <c r="P20" s="26" t="s">
        <v>219</v>
      </c>
      <c r="Q20" s="27" t="s">
        <v>199</v>
      </c>
      <c r="R20" s="52" t="s">
        <v>202</v>
      </c>
      <c r="S20" s="39" t="s">
        <v>201</v>
      </c>
      <c r="T20" s="52" t="s">
        <v>200</v>
      </c>
      <c r="U20" s="30" t="s">
        <v>200</v>
      </c>
      <c r="V20" s="30" t="s">
        <v>200</v>
      </c>
      <c r="W20" s="32" t="s">
        <v>249</v>
      </c>
      <c r="X20" s="51" t="s">
        <v>250</v>
      </c>
      <c r="Y20" s="27">
        <v>5000</v>
      </c>
      <c r="Z20" s="30" t="s">
        <v>100</v>
      </c>
      <c r="AA20" s="27">
        <v>100</v>
      </c>
      <c r="AB20" s="27">
        <v>0</v>
      </c>
      <c r="AC20" s="26" t="s">
        <v>251</v>
      </c>
      <c r="AD20" s="27">
        <v>5000</v>
      </c>
      <c r="AE20" s="26" t="s">
        <v>92</v>
      </c>
      <c r="AF20" s="27" t="s">
        <v>93</v>
      </c>
      <c r="AG20" s="26" t="s">
        <v>252</v>
      </c>
      <c r="AH20" s="34" t="s">
        <v>95</v>
      </c>
    </row>
    <row r="21" spans="2:34" ht="90" customHeight="1">
      <c r="B21" s="46">
        <f t="shared" si="0"/>
        <v>18</v>
      </c>
      <c r="C21" s="32" t="str">
        <f>"$"&amp;VLOOKUP(LEFT([1]!Table2[[#This Row],[Column2]],2),[1]Definitions!$B$51:$C$66,2,FALSE)&amp;MID([1]!Table2[[#This Row],[Column2]],3,3)&amp;RIGHT([1]!Table2[[#This Row],[Column2]],2)</f>
        <v>$821A8B</v>
      </c>
      <c r="D21" s="32" t="s">
        <v>253</v>
      </c>
      <c r="E21" s="33" t="s">
        <v>254</v>
      </c>
      <c r="F21" s="27" t="s">
        <v>199</v>
      </c>
      <c r="G21" s="54" t="s">
        <v>74</v>
      </c>
      <c r="H21" s="54" t="s">
        <v>75</v>
      </c>
      <c r="I21" s="54" t="s">
        <v>76</v>
      </c>
      <c r="J21" s="54">
        <v>2</v>
      </c>
      <c r="K21" s="27" t="s">
        <v>77</v>
      </c>
      <c r="L21" s="27" t="s">
        <v>255</v>
      </c>
      <c r="M21" s="49" t="s">
        <v>255</v>
      </c>
      <c r="N21" s="27" t="s">
        <v>76</v>
      </c>
      <c r="O21" s="26" t="s">
        <v>256</v>
      </c>
      <c r="P21" s="26" t="s">
        <v>257</v>
      </c>
      <c r="Q21" s="27" t="s">
        <v>199</v>
      </c>
      <c r="R21" s="54" t="s">
        <v>202</v>
      </c>
      <c r="S21" s="27" t="s">
        <v>201</v>
      </c>
      <c r="T21" s="54" t="s">
        <v>202</v>
      </c>
      <c r="U21" s="30" t="s">
        <v>202</v>
      </c>
      <c r="V21" s="30" t="s">
        <v>202</v>
      </c>
      <c r="W21" s="33" t="s">
        <v>258</v>
      </c>
      <c r="X21" s="51" t="s">
        <v>259</v>
      </c>
      <c r="Y21" s="27">
        <v>5000</v>
      </c>
      <c r="Z21" s="30" t="s">
        <v>100</v>
      </c>
      <c r="AA21" s="27">
        <v>100</v>
      </c>
      <c r="AB21" s="27">
        <v>0</v>
      </c>
      <c r="AC21" s="26" t="s">
        <v>260</v>
      </c>
      <c r="AD21" s="27">
        <v>5000</v>
      </c>
      <c r="AE21" s="26" t="s">
        <v>92</v>
      </c>
      <c r="AF21" s="27" t="s">
        <v>93</v>
      </c>
      <c r="AG21" s="55" t="s">
        <v>252</v>
      </c>
      <c r="AH21" s="34" t="s">
        <v>95</v>
      </c>
    </row>
    <row r="22" spans="2:34" ht="112.5" customHeight="1">
      <c r="B22" s="46">
        <f t="shared" si="0"/>
        <v>19</v>
      </c>
      <c r="C22" s="51" t="str">
        <f>"$"&amp;VLOOKUP(LEFT([1]!Table2[[#This Row],[Column2]],2),[1]Definitions!$B$51:$C$66,2,FALSE)&amp;MID([1]!Table2[[#This Row],[Column2]],3,3)&amp;RIGHT([1]!Table2[[#This Row],[Column2]],2)</f>
        <v>$906A11</v>
      </c>
      <c r="D22" s="26" t="s">
        <v>261</v>
      </c>
      <c r="E22" s="26" t="s">
        <v>262</v>
      </c>
      <c r="F22" s="27" t="s">
        <v>263</v>
      </c>
      <c r="G22" s="27" t="s">
        <v>74</v>
      </c>
      <c r="H22" s="27" t="s">
        <v>75</v>
      </c>
      <c r="I22" s="27" t="s">
        <v>76</v>
      </c>
      <c r="J22" s="27">
        <v>2</v>
      </c>
      <c r="K22" s="27" t="s">
        <v>77</v>
      </c>
      <c r="L22" s="27" t="s">
        <v>264</v>
      </c>
      <c r="M22" s="49" t="s">
        <v>265</v>
      </c>
      <c r="N22" s="27" t="s">
        <v>266</v>
      </c>
      <c r="O22" s="26" t="s">
        <v>267</v>
      </c>
      <c r="P22" s="26" t="s">
        <v>268</v>
      </c>
      <c r="Q22" s="27" t="s">
        <v>82</v>
      </c>
      <c r="R22" s="27" t="s">
        <v>269</v>
      </c>
      <c r="S22" s="27" t="s">
        <v>270</v>
      </c>
      <c r="T22" s="27" t="s">
        <v>271</v>
      </c>
      <c r="U22" s="30" t="s">
        <v>272</v>
      </c>
      <c r="V22" s="30" t="s">
        <v>273</v>
      </c>
      <c r="W22" s="26" t="s">
        <v>274</v>
      </c>
      <c r="X22" s="32" t="s">
        <v>275</v>
      </c>
      <c r="Y22" s="27">
        <v>5000</v>
      </c>
      <c r="Z22" s="30" t="s">
        <v>90</v>
      </c>
      <c r="AA22" s="27">
        <v>10</v>
      </c>
      <c r="AB22" s="27">
        <v>0</v>
      </c>
      <c r="AC22" s="33" t="s">
        <v>276</v>
      </c>
      <c r="AD22" s="27">
        <v>500</v>
      </c>
      <c r="AE22" s="26" t="s">
        <v>277</v>
      </c>
      <c r="AF22" s="27" t="s">
        <v>93</v>
      </c>
      <c r="AG22" s="56" t="s">
        <v>224</v>
      </c>
      <c r="AH22" s="34" t="s">
        <v>208</v>
      </c>
    </row>
    <row r="23" spans="2:34" ht="123.75" customHeight="1">
      <c r="B23" s="46">
        <f t="shared" si="0"/>
        <v>20</v>
      </c>
      <c r="C23" s="51" t="str">
        <f>"$"&amp;VLOOKUP(LEFT([1]!Table2[[#This Row],[Column2]],2),[1]Definitions!$B$51:$C$66,2,FALSE)&amp;MID([1]!Table2[[#This Row],[Column2]],3,3)&amp;RIGHT([1]!Table2[[#This Row],[Column2]],2)</f>
        <v>$906A15</v>
      </c>
      <c r="D23" s="26" t="s">
        <v>278</v>
      </c>
      <c r="E23" s="26" t="s">
        <v>279</v>
      </c>
      <c r="F23" s="27" t="s">
        <v>263</v>
      </c>
      <c r="G23" s="27" t="s">
        <v>74</v>
      </c>
      <c r="H23" s="27" t="s">
        <v>75</v>
      </c>
      <c r="I23" s="27" t="s">
        <v>76</v>
      </c>
      <c r="J23" s="27">
        <v>2</v>
      </c>
      <c r="K23" s="27" t="s">
        <v>77</v>
      </c>
      <c r="L23" s="27" t="s">
        <v>264</v>
      </c>
      <c r="M23" s="49" t="s">
        <v>265</v>
      </c>
      <c r="N23" s="27" t="s">
        <v>266</v>
      </c>
      <c r="O23" s="26" t="s">
        <v>197</v>
      </c>
      <c r="P23" s="26" t="s">
        <v>280</v>
      </c>
      <c r="Q23" s="27" t="s">
        <v>82</v>
      </c>
      <c r="R23" s="27" t="s">
        <v>269</v>
      </c>
      <c r="S23" s="27" t="s">
        <v>270</v>
      </c>
      <c r="T23" s="27" t="s">
        <v>271</v>
      </c>
      <c r="U23" s="30" t="s">
        <v>272</v>
      </c>
      <c r="V23" s="30" t="s">
        <v>273</v>
      </c>
      <c r="W23" s="33" t="s">
        <v>281</v>
      </c>
      <c r="X23" s="32" t="s">
        <v>282</v>
      </c>
      <c r="Y23" s="27">
        <v>5000</v>
      </c>
      <c r="Z23" s="30" t="s">
        <v>100</v>
      </c>
      <c r="AA23" s="27">
        <v>10</v>
      </c>
      <c r="AB23" s="27">
        <v>0</v>
      </c>
      <c r="AC23" s="32" t="s">
        <v>283</v>
      </c>
      <c r="AD23" s="27">
        <v>5000</v>
      </c>
      <c r="AE23" s="26" t="s">
        <v>284</v>
      </c>
      <c r="AF23" s="27" t="s">
        <v>93</v>
      </c>
      <c r="AG23" s="56" t="s">
        <v>224</v>
      </c>
      <c r="AH23" s="34" t="s">
        <v>208</v>
      </c>
    </row>
    <row r="24" spans="2:34" ht="225" customHeight="1">
      <c r="B24" s="46">
        <f t="shared" si="0"/>
        <v>21</v>
      </c>
      <c r="C24" s="25" t="str">
        <f>"$"&amp;VLOOKUP(LEFT([1]!Table2[[#This Row],[Column2]],2),[1]Definitions!$B$51:$C$66,2,FALSE)&amp;MID([1]!Table2[[#This Row],[Column2]],3,3)&amp;RIGHT([1]!Table2[[#This Row],[Column2]],2)</f>
        <v>$91FA00</v>
      </c>
      <c r="D24" s="47" t="s">
        <v>285</v>
      </c>
      <c r="E24" s="47" t="s">
        <v>286</v>
      </c>
      <c r="F24" s="27" t="s">
        <v>263</v>
      </c>
      <c r="G24" s="48" t="s">
        <v>74</v>
      </c>
      <c r="H24" s="48" t="s">
        <v>75</v>
      </c>
      <c r="I24" s="48" t="s">
        <v>76</v>
      </c>
      <c r="J24" s="48">
        <v>2</v>
      </c>
      <c r="K24" s="27" t="s">
        <v>77</v>
      </c>
      <c r="L24" s="27" t="s">
        <v>287</v>
      </c>
      <c r="M24" s="49" t="s">
        <v>288</v>
      </c>
      <c r="N24" s="27" t="s">
        <v>76</v>
      </c>
      <c r="O24" s="26" t="s">
        <v>289</v>
      </c>
      <c r="P24" s="26" t="s">
        <v>290</v>
      </c>
      <c r="Q24" s="27" t="s">
        <v>199</v>
      </c>
      <c r="R24" s="48" t="s">
        <v>202</v>
      </c>
      <c r="S24" s="27" t="s">
        <v>201</v>
      </c>
      <c r="T24" s="48" t="s">
        <v>202</v>
      </c>
      <c r="U24" s="30" t="s">
        <v>202</v>
      </c>
      <c r="V24" s="30" t="s">
        <v>202</v>
      </c>
      <c r="W24" s="32" t="s">
        <v>291</v>
      </c>
      <c r="X24" s="51" t="s">
        <v>292</v>
      </c>
      <c r="Y24" s="27">
        <v>5000</v>
      </c>
      <c r="Z24" s="30" t="s">
        <v>100</v>
      </c>
      <c r="AA24" s="27">
        <v>100</v>
      </c>
      <c r="AB24" s="27">
        <v>0</v>
      </c>
      <c r="AC24" s="26" t="s">
        <v>293</v>
      </c>
      <c r="AD24" s="27">
        <v>1000</v>
      </c>
      <c r="AE24" s="26" t="s">
        <v>294</v>
      </c>
      <c r="AF24" s="27" t="s">
        <v>93</v>
      </c>
      <c r="AG24" s="57" t="s">
        <v>152</v>
      </c>
      <c r="AH24" s="34" t="s">
        <v>208</v>
      </c>
    </row>
    <row r="25" spans="2:34" ht="101.25" customHeight="1">
      <c r="B25" s="46">
        <f t="shared" si="0"/>
        <v>22</v>
      </c>
      <c r="C25" s="25" t="str">
        <f>"$"&amp;VLOOKUP(LEFT([1]!Table2[[#This Row],[Column2]],2),[1]Definitions!$B$51:$C$66,2,FALSE)&amp;MID([1]!Table2[[#This Row],[Column2]],3,3)&amp;RIGHT([1]!Table2[[#This Row],[Column2]],2)</f>
        <v>$961D64</v>
      </c>
      <c r="D25" s="32" t="s">
        <v>295</v>
      </c>
      <c r="E25" s="33" t="s">
        <v>296</v>
      </c>
      <c r="F25" s="27" t="s">
        <v>297</v>
      </c>
      <c r="G25" s="54" t="s">
        <v>74</v>
      </c>
      <c r="H25" s="54" t="s">
        <v>75</v>
      </c>
      <c r="I25" s="54" t="s">
        <v>76</v>
      </c>
      <c r="J25" s="54">
        <v>2</v>
      </c>
      <c r="K25" s="27" t="s">
        <v>77</v>
      </c>
      <c r="L25" s="27" t="s">
        <v>298</v>
      </c>
      <c r="M25" s="49" t="s">
        <v>299</v>
      </c>
      <c r="N25" s="27" t="s">
        <v>300</v>
      </c>
      <c r="O25" s="26" t="s">
        <v>218</v>
      </c>
      <c r="P25" s="26" t="s">
        <v>219</v>
      </c>
      <c r="Q25" s="27" t="s">
        <v>199</v>
      </c>
      <c r="R25" s="52" t="s">
        <v>301</v>
      </c>
      <c r="S25" s="27" t="s">
        <v>201</v>
      </c>
      <c r="T25" s="52" t="s">
        <v>200</v>
      </c>
      <c r="U25" s="30" t="s">
        <v>200</v>
      </c>
      <c r="V25" s="30" t="s">
        <v>200</v>
      </c>
      <c r="W25" s="32" t="s">
        <v>302</v>
      </c>
      <c r="X25" s="51" t="s">
        <v>303</v>
      </c>
      <c r="Y25" s="27">
        <v>15000</v>
      </c>
      <c r="Z25" s="30" t="s">
        <v>100</v>
      </c>
      <c r="AA25" s="27">
        <v>400</v>
      </c>
      <c r="AB25" s="27">
        <v>0</v>
      </c>
      <c r="AC25" s="26" t="s">
        <v>304</v>
      </c>
      <c r="AD25" s="27">
        <v>15000</v>
      </c>
      <c r="AE25" s="26" t="s">
        <v>305</v>
      </c>
      <c r="AF25" s="27" t="s">
        <v>93</v>
      </c>
      <c r="AG25" s="57" t="s">
        <v>152</v>
      </c>
      <c r="AH25" s="34" t="s">
        <v>208</v>
      </c>
    </row>
    <row r="26" spans="2:34" ht="112.5" customHeight="1">
      <c r="B26" s="46">
        <f t="shared" si="0"/>
        <v>23</v>
      </c>
      <c r="C26" s="25" t="str">
        <f>"$"&amp;VLOOKUP(LEFT([1]!Table2[[#This Row],[Column2]],2),[1]Definitions!$B$51:$C$66,2,FALSE)&amp;MID([1]!Table2[[#This Row],[Column2]],3,3)&amp;RIGHT([1]!Table2[[#This Row],[Column2]],2)</f>
        <v>$962A11</v>
      </c>
      <c r="D26" s="47" t="s">
        <v>306</v>
      </c>
      <c r="E26" s="47" t="s">
        <v>307</v>
      </c>
      <c r="F26" s="27" t="s">
        <v>297</v>
      </c>
      <c r="G26" s="48" t="s">
        <v>74</v>
      </c>
      <c r="H26" s="48" t="s">
        <v>75</v>
      </c>
      <c r="I26" s="48" t="s">
        <v>76</v>
      </c>
      <c r="J26" s="48">
        <v>2</v>
      </c>
      <c r="K26" s="27" t="s">
        <v>77</v>
      </c>
      <c r="L26" s="27" t="s">
        <v>228</v>
      </c>
      <c r="M26" s="49" t="s">
        <v>308</v>
      </c>
      <c r="N26" s="27" t="s">
        <v>309</v>
      </c>
      <c r="O26" s="26" t="s">
        <v>310</v>
      </c>
      <c r="P26" s="26" t="s">
        <v>311</v>
      </c>
      <c r="Q26" s="27" t="s">
        <v>82</v>
      </c>
      <c r="R26" s="48" t="s">
        <v>312</v>
      </c>
      <c r="S26" s="27" t="s">
        <v>84</v>
      </c>
      <c r="T26" s="58" t="s">
        <v>313</v>
      </c>
      <c r="U26" s="30" t="s">
        <v>314</v>
      </c>
      <c r="V26" s="30" t="s">
        <v>315</v>
      </c>
      <c r="W26" s="33" t="s">
        <v>316</v>
      </c>
      <c r="X26" s="32" t="s">
        <v>317</v>
      </c>
      <c r="Y26" s="27">
        <v>5000</v>
      </c>
      <c r="Z26" s="30" t="s">
        <v>90</v>
      </c>
      <c r="AA26" s="27">
        <v>10</v>
      </c>
      <c r="AB26" s="27">
        <v>0</v>
      </c>
      <c r="AC26" s="26" t="s">
        <v>184</v>
      </c>
      <c r="AD26" s="27">
        <v>500</v>
      </c>
      <c r="AE26" s="33" t="s">
        <v>318</v>
      </c>
      <c r="AF26" s="27" t="s">
        <v>93</v>
      </c>
      <c r="AG26" s="56" t="s">
        <v>319</v>
      </c>
      <c r="AH26" s="34" t="s">
        <v>208</v>
      </c>
    </row>
    <row r="27" spans="2:34" ht="98.4" customHeight="1">
      <c r="B27" s="46">
        <f t="shared" si="0"/>
        <v>24</v>
      </c>
      <c r="C27" s="25" t="str">
        <f>"$"&amp;VLOOKUP(LEFT([1]!Table2[[#This Row],[Column2]],2),[1]Definitions!$B$51:$C$66,2,FALSE)&amp;MID([1]!Table2[[#This Row],[Column2]],3,3)&amp;RIGHT([1]!Table2[[#This Row],[Column2]],2)</f>
        <v>$962A15</v>
      </c>
      <c r="D27" s="47" t="s">
        <v>320</v>
      </c>
      <c r="E27" s="47" t="s">
        <v>321</v>
      </c>
      <c r="F27" s="27" t="s">
        <v>297</v>
      </c>
      <c r="G27" s="48" t="s">
        <v>74</v>
      </c>
      <c r="H27" s="48" t="s">
        <v>75</v>
      </c>
      <c r="I27" s="48" t="s">
        <v>76</v>
      </c>
      <c r="J27" s="48">
        <v>2</v>
      </c>
      <c r="K27" s="27" t="s">
        <v>77</v>
      </c>
      <c r="L27" s="27" t="s">
        <v>228</v>
      </c>
      <c r="M27" s="49" t="s">
        <v>308</v>
      </c>
      <c r="N27" s="27" t="s">
        <v>309</v>
      </c>
      <c r="O27" s="26" t="s">
        <v>322</v>
      </c>
      <c r="P27" s="26" t="s">
        <v>323</v>
      </c>
      <c r="Q27" s="27" t="s">
        <v>82</v>
      </c>
      <c r="R27" s="59" t="s">
        <v>312</v>
      </c>
      <c r="S27" s="27" t="s">
        <v>84</v>
      </c>
      <c r="T27" s="58" t="s">
        <v>313</v>
      </c>
      <c r="U27" s="30" t="s">
        <v>314</v>
      </c>
      <c r="V27" s="30" t="s">
        <v>315</v>
      </c>
      <c r="W27" s="32" t="s">
        <v>324</v>
      </c>
      <c r="X27" s="32" t="s">
        <v>325</v>
      </c>
      <c r="Y27" s="27">
        <v>5000</v>
      </c>
      <c r="Z27" s="30" t="s">
        <v>100</v>
      </c>
      <c r="AA27" s="27">
        <v>10</v>
      </c>
      <c r="AB27" s="27">
        <v>0</v>
      </c>
      <c r="AC27" s="26" t="s">
        <v>326</v>
      </c>
      <c r="AD27" s="27">
        <v>5000</v>
      </c>
      <c r="AE27" s="26" t="s">
        <v>327</v>
      </c>
      <c r="AF27" s="27" t="s">
        <v>93</v>
      </c>
      <c r="AG27" s="56" t="s">
        <v>328</v>
      </c>
      <c r="AH27" s="34" t="s">
        <v>208</v>
      </c>
    </row>
    <row r="28" spans="2:34" ht="123" customHeight="1">
      <c r="B28" s="46">
        <f t="shared" si="0"/>
        <v>25</v>
      </c>
      <c r="C28" s="25" t="str">
        <f>"$"&amp;VLOOKUP(LEFT([1]!Table2[[#This Row],[Column2]],2),[1]Definitions!$B$51:$C$66,2,FALSE)&amp;MID([1]!Table2[[#This Row],[Column2]],3,3)&amp;RIGHT([1]!Table2[[#This Row],[Column2]],2)</f>
        <v>$962E11</v>
      </c>
      <c r="D28" s="47" t="s">
        <v>329</v>
      </c>
      <c r="E28" s="47" t="s">
        <v>330</v>
      </c>
      <c r="F28" s="27" t="s">
        <v>297</v>
      </c>
      <c r="G28" s="48" t="s">
        <v>74</v>
      </c>
      <c r="H28" s="48" t="s">
        <v>75</v>
      </c>
      <c r="I28" s="48" t="s">
        <v>76</v>
      </c>
      <c r="J28" s="48">
        <v>2</v>
      </c>
      <c r="K28" s="27" t="s">
        <v>77</v>
      </c>
      <c r="L28" s="27" t="s">
        <v>228</v>
      </c>
      <c r="M28" s="49" t="s">
        <v>331</v>
      </c>
      <c r="N28" s="27" t="s">
        <v>332</v>
      </c>
      <c r="O28" s="26" t="s">
        <v>310</v>
      </c>
      <c r="P28" s="26" t="s">
        <v>311</v>
      </c>
      <c r="Q28" s="27" t="s">
        <v>82</v>
      </c>
      <c r="R28" s="60" t="s">
        <v>333</v>
      </c>
      <c r="S28" s="27" t="s">
        <v>84</v>
      </c>
      <c r="T28" s="58" t="s">
        <v>334</v>
      </c>
      <c r="U28" s="30" t="s">
        <v>335</v>
      </c>
      <c r="V28" s="30" t="s">
        <v>336</v>
      </c>
      <c r="W28" s="33" t="s">
        <v>337</v>
      </c>
      <c r="X28" s="32" t="s">
        <v>163</v>
      </c>
      <c r="Y28" s="27">
        <v>5000</v>
      </c>
      <c r="Z28" s="30" t="s">
        <v>90</v>
      </c>
      <c r="AA28" s="27">
        <v>10</v>
      </c>
      <c r="AB28" s="27">
        <v>0</v>
      </c>
      <c r="AC28" s="33" t="s">
        <v>338</v>
      </c>
      <c r="AD28" s="27">
        <v>500</v>
      </c>
      <c r="AE28" s="26" t="s">
        <v>339</v>
      </c>
      <c r="AF28" s="27" t="s">
        <v>93</v>
      </c>
      <c r="AG28" s="51" t="s">
        <v>319</v>
      </c>
      <c r="AH28" s="34" t="s">
        <v>208</v>
      </c>
    </row>
    <row r="29" spans="2:34" ht="123.75" customHeight="1">
      <c r="B29" s="46">
        <f t="shared" si="0"/>
        <v>26</v>
      </c>
      <c r="C29" s="25" t="str">
        <f>"$"&amp;VLOOKUP(LEFT([1]!Table2[[#This Row],[Column2]],2),[1]Definitions!$B$51:$C$66,2,FALSE)&amp;MID([1]!Table2[[#This Row],[Column2]],3,3)&amp;RIGHT([1]!Table2[[#This Row],[Column2]],2)</f>
        <v>$962E15</v>
      </c>
      <c r="D29" s="47" t="s">
        <v>340</v>
      </c>
      <c r="E29" s="47" t="s">
        <v>341</v>
      </c>
      <c r="F29" s="27" t="s">
        <v>297</v>
      </c>
      <c r="G29" s="48" t="s">
        <v>74</v>
      </c>
      <c r="H29" s="48" t="s">
        <v>75</v>
      </c>
      <c r="I29" s="48" t="s">
        <v>76</v>
      </c>
      <c r="J29" s="48">
        <v>2</v>
      </c>
      <c r="K29" s="27" t="s">
        <v>77</v>
      </c>
      <c r="L29" s="27" t="s">
        <v>228</v>
      </c>
      <c r="M29" s="49" t="s">
        <v>331</v>
      </c>
      <c r="N29" s="27" t="s">
        <v>332</v>
      </c>
      <c r="O29" s="26" t="s">
        <v>342</v>
      </c>
      <c r="P29" s="26" t="s">
        <v>323</v>
      </c>
      <c r="Q29" s="27" t="s">
        <v>82</v>
      </c>
      <c r="R29" s="60" t="s">
        <v>333</v>
      </c>
      <c r="S29" s="27" t="s">
        <v>84</v>
      </c>
      <c r="T29" s="58" t="s">
        <v>334</v>
      </c>
      <c r="U29" s="30" t="s">
        <v>335</v>
      </c>
      <c r="V29" s="30" t="s">
        <v>336</v>
      </c>
      <c r="W29" s="33" t="s">
        <v>343</v>
      </c>
      <c r="X29" s="32" t="s">
        <v>325</v>
      </c>
      <c r="Y29" s="27">
        <v>5000</v>
      </c>
      <c r="Z29" s="30" t="s">
        <v>100</v>
      </c>
      <c r="AA29" s="27">
        <v>10</v>
      </c>
      <c r="AB29" s="27">
        <v>0</v>
      </c>
      <c r="AC29" s="26" t="s">
        <v>326</v>
      </c>
      <c r="AD29" s="27">
        <v>5000</v>
      </c>
      <c r="AE29" s="26" t="s">
        <v>344</v>
      </c>
      <c r="AF29" s="27" t="s">
        <v>93</v>
      </c>
      <c r="AG29" s="51" t="s">
        <v>319</v>
      </c>
      <c r="AH29" s="34" t="s">
        <v>208</v>
      </c>
    </row>
    <row r="30" spans="2:34" ht="92.85" customHeight="1">
      <c r="B30" s="46">
        <f t="shared" si="0"/>
        <v>27</v>
      </c>
      <c r="C30" s="25" t="str">
        <f>"$"&amp;VLOOKUP(LEFT([1]!Table2[[#This Row],[Column2]],2),[1]Definitions!$B$51:$C$66,2,FALSE)&amp;MID([1]!Table2[[#This Row],[Column2]],3,3)&amp;RIGHT([1]!Table2[[#This Row],[Column2]],2)</f>
        <v>$963211</v>
      </c>
      <c r="D30" s="47" t="s">
        <v>345</v>
      </c>
      <c r="E30" s="47" t="s">
        <v>346</v>
      </c>
      <c r="F30" s="27" t="s">
        <v>297</v>
      </c>
      <c r="G30" s="48" t="s">
        <v>74</v>
      </c>
      <c r="H30" s="48" t="s">
        <v>75</v>
      </c>
      <c r="I30" s="48" t="s">
        <v>76</v>
      </c>
      <c r="J30" s="48">
        <v>2</v>
      </c>
      <c r="K30" s="27" t="s">
        <v>77</v>
      </c>
      <c r="L30" s="27" t="s">
        <v>215</v>
      </c>
      <c r="M30" s="49" t="s">
        <v>347</v>
      </c>
      <c r="N30" s="27" t="s">
        <v>76</v>
      </c>
      <c r="O30" s="26" t="s">
        <v>310</v>
      </c>
      <c r="P30" s="26" t="s">
        <v>311</v>
      </c>
      <c r="Q30" s="27" t="s">
        <v>82</v>
      </c>
      <c r="R30" s="48" t="s">
        <v>348</v>
      </c>
      <c r="S30" s="27" t="s">
        <v>84</v>
      </c>
      <c r="T30" s="48" t="s">
        <v>349</v>
      </c>
      <c r="U30" s="30" t="s">
        <v>350</v>
      </c>
      <c r="V30" s="30" t="s">
        <v>351</v>
      </c>
      <c r="W30" s="33" t="s">
        <v>352</v>
      </c>
      <c r="X30" s="32" t="s">
        <v>163</v>
      </c>
      <c r="Y30" s="27">
        <v>5000</v>
      </c>
      <c r="Z30" s="30" t="s">
        <v>90</v>
      </c>
      <c r="AA30" s="27">
        <v>10</v>
      </c>
      <c r="AB30" s="27">
        <v>0</v>
      </c>
      <c r="AC30" s="33" t="s">
        <v>164</v>
      </c>
      <c r="AD30" s="27">
        <v>500</v>
      </c>
      <c r="AE30" s="26" t="s">
        <v>353</v>
      </c>
      <c r="AF30" s="27" t="s">
        <v>93</v>
      </c>
      <c r="AG30" s="56" t="s">
        <v>354</v>
      </c>
      <c r="AH30" s="34" t="s">
        <v>208</v>
      </c>
    </row>
    <row r="31" spans="2:34" ht="113.4" customHeight="1">
      <c r="B31" s="46">
        <f t="shared" si="0"/>
        <v>28</v>
      </c>
      <c r="C31" s="25" t="str">
        <f>"$"&amp;VLOOKUP(LEFT([1]!Table2[[#This Row],[Column2]],2),[1]Definitions!$B$51:$C$66,2,FALSE)&amp;MID([1]!Table2[[#This Row],[Column2]],3,3)&amp;RIGHT([1]!Table2[[#This Row],[Column2]],2)</f>
        <v>$963212</v>
      </c>
      <c r="D31" s="33" t="s">
        <v>355</v>
      </c>
      <c r="E31" s="33" t="s">
        <v>356</v>
      </c>
      <c r="F31" s="27" t="s">
        <v>297</v>
      </c>
      <c r="G31" s="48" t="s">
        <v>74</v>
      </c>
      <c r="H31" s="48" t="s">
        <v>75</v>
      </c>
      <c r="I31" s="48" t="s">
        <v>76</v>
      </c>
      <c r="J31" s="48">
        <v>2</v>
      </c>
      <c r="K31" s="27" t="s">
        <v>77</v>
      </c>
      <c r="L31" s="27" t="s">
        <v>215</v>
      </c>
      <c r="M31" s="49" t="s">
        <v>347</v>
      </c>
      <c r="N31" s="27" t="s">
        <v>76</v>
      </c>
      <c r="O31" s="26" t="s">
        <v>342</v>
      </c>
      <c r="P31" s="26" t="s">
        <v>357</v>
      </c>
      <c r="Q31" s="27" t="s">
        <v>82</v>
      </c>
      <c r="R31" s="48" t="s">
        <v>348</v>
      </c>
      <c r="S31" s="27" t="s">
        <v>84</v>
      </c>
      <c r="T31" s="48" t="s">
        <v>349</v>
      </c>
      <c r="U31" s="30" t="s">
        <v>350</v>
      </c>
      <c r="V31" s="30" t="s">
        <v>351</v>
      </c>
      <c r="W31" s="32" t="s">
        <v>358</v>
      </c>
      <c r="X31" s="32" t="s">
        <v>359</v>
      </c>
      <c r="Y31" s="27">
        <v>5000</v>
      </c>
      <c r="Z31" s="30" t="s">
        <v>100</v>
      </c>
      <c r="AA31" s="27">
        <v>10</v>
      </c>
      <c r="AB31" s="27">
        <v>0</v>
      </c>
      <c r="AC31" s="26" t="s">
        <v>360</v>
      </c>
      <c r="AD31" s="27">
        <v>5000</v>
      </c>
      <c r="AE31" s="26" t="s">
        <v>361</v>
      </c>
      <c r="AF31" s="27" t="s">
        <v>93</v>
      </c>
      <c r="AG31" s="56" t="s">
        <v>354</v>
      </c>
      <c r="AH31" s="34" t="s">
        <v>208</v>
      </c>
    </row>
    <row r="32" spans="2:34" ht="105.75" customHeight="1">
      <c r="B32" s="46">
        <f t="shared" si="0"/>
        <v>29</v>
      </c>
      <c r="C32" s="25" t="str">
        <f>"$"&amp;VLOOKUP(LEFT([1]!Table2[[#This Row],[Column2]],2),[1]Definitions!$B$51:$C$66,2,FALSE)&amp;MID([1]!Table2[[#This Row],[Column2]],3,3)&amp;RIGHT([1]!Table2[[#This Row],[Column2]],2)</f>
        <v>$963611</v>
      </c>
      <c r="D32" s="47" t="s">
        <v>362</v>
      </c>
      <c r="E32" s="47" t="s">
        <v>363</v>
      </c>
      <c r="F32" s="27" t="s">
        <v>297</v>
      </c>
      <c r="G32" s="48" t="s">
        <v>74</v>
      </c>
      <c r="H32" s="48" t="s">
        <v>75</v>
      </c>
      <c r="I32" s="48" t="s">
        <v>76</v>
      </c>
      <c r="J32" s="48">
        <v>2</v>
      </c>
      <c r="K32" s="27" t="s">
        <v>77</v>
      </c>
      <c r="L32" s="27" t="s">
        <v>215</v>
      </c>
      <c r="M32" s="49" t="s">
        <v>364</v>
      </c>
      <c r="N32" s="27" t="s">
        <v>76</v>
      </c>
      <c r="O32" s="26" t="s">
        <v>310</v>
      </c>
      <c r="P32" s="26" t="s">
        <v>311</v>
      </c>
      <c r="Q32" s="27" t="s">
        <v>82</v>
      </c>
      <c r="R32" s="48" t="s">
        <v>365</v>
      </c>
      <c r="S32" s="27" t="s">
        <v>84</v>
      </c>
      <c r="T32" s="48" t="s">
        <v>366</v>
      </c>
      <c r="U32" s="30" t="s">
        <v>367</v>
      </c>
      <c r="V32" s="30" t="s">
        <v>368</v>
      </c>
      <c r="W32" s="33" t="s">
        <v>369</v>
      </c>
      <c r="X32" s="32" t="s">
        <v>163</v>
      </c>
      <c r="Y32" s="27">
        <v>5000</v>
      </c>
      <c r="Z32" s="30" t="s">
        <v>90</v>
      </c>
      <c r="AA32" s="27">
        <v>10</v>
      </c>
      <c r="AB32" s="27">
        <v>0</v>
      </c>
      <c r="AC32" s="33" t="s">
        <v>164</v>
      </c>
      <c r="AD32" s="27">
        <v>500</v>
      </c>
      <c r="AE32" s="26" t="s">
        <v>370</v>
      </c>
      <c r="AF32" s="27" t="s">
        <v>93</v>
      </c>
      <c r="AG32" s="51" t="s">
        <v>328</v>
      </c>
      <c r="AH32" s="34" t="s">
        <v>208</v>
      </c>
    </row>
    <row r="33" spans="2:34" ht="123.75" customHeight="1">
      <c r="B33" s="46">
        <f t="shared" si="0"/>
        <v>30</v>
      </c>
      <c r="C33" s="25" t="str">
        <f>"$"&amp;VLOOKUP(LEFT([1]!Table2[[#This Row],[Column2]],2),[1]Definitions!$B$51:$C$66,2,FALSE)&amp;MID([1]!Table2[[#This Row],[Column2]],3,3)&amp;RIGHT([1]!Table2[[#This Row],[Column2]],2)</f>
        <v>$963612</v>
      </c>
      <c r="D33" s="33" t="s">
        <v>371</v>
      </c>
      <c r="E33" s="33" t="s">
        <v>372</v>
      </c>
      <c r="F33" s="27" t="s">
        <v>297</v>
      </c>
      <c r="G33" s="48" t="s">
        <v>74</v>
      </c>
      <c r="H33" s="48" t="s">
        <v>75</v>
      </c>
      <c r="I33" s="48" t="s">
        <v>76</v>
      </c>
      <c r="J33" s="48">
        <v>2</v>
      </c>
      <c r="K33" s="27" t="s">
        <v>77</v>
      </c>
      <c r="L33" s="27" t="s">
        <v>215</v>
      </c>
      <c r="M33" s="49" t="s">
        <v>364</v>
      </c>
      <c r="N33" s="27" t="s">
        <v>76</v>
      </c>
      <c r="O33" s="26" t="s">
        <v>342</v>
      </c>
      <c r="P33" s="26" t="s">
        <v>311</v>
      </c>
      <c r="Q33" s="27" t="s">
        <v>82</v>
      </c>
      <c r="R33" s="48" t="s">
        <v>365</v>
      </c>
      <c r="S33" s="27" t="s">
        <v>84</v>
      </c>
      <c r="T33" s="48" t="s">
        <v>366</v>
      </c>
      <c r="U33" s="30" t="s">
        <v>367</v>
      </c>
      <c r="V33" s="30" t="s">
        <v>368</v>
      </c>
      <c r="W33" s="33" t="s">
        <v>373</v>
      </c>
      <c r="X33" s="38" t="s">
        <v>374</v>
      </c>
      <c r="Y33" s="27">
        <v>5000</v>
      </c>
      <c r="Z33" s="30" t="s">
        <v>100</v>
      </c>
      <c r="AA33" s="27">
        <v>10</v>
      </c>
      <c r="AB33" s="27">
        <v>0</v>
      </c>
      <c r="AC33" s="26" t="s">
        <v>360</v>
      </c>
      <c r="AD33" s="27">
        <v>5000</v>
      </c>
      <c r="AE33" s="26" t="s">
        <v>375</v>
      </c>
      <c r="AF33" s="27" t="s">
        <v>93</v>
      </c>
      <c r="AG33" s="56" t="s">
        <v>376</v>
      </c>
      <c r="AH33" s="34" t="s">
        <v>208</v>
      </c>
    </row>
    <row r="34" spans="2:34" ht="90" customHeight="1">
      <c r="B34" s="46">
        <f t="shared" si="0"/>
        <v>31</v>
      </c>
      <c r="C34" s="25" t="str">
        <f>"$"&amp;VLOOKUP(LEFT([1]!Table2[[#This Row],[Column2]],2),[1]Definitions!$B$51:$C$66,2,FALSE)&amp;MID([1]!Table2[[#This Row],[Column2]],3,3)&amp;RIGHT([1]!Table2[[#This Row],[Column2]],2)</f>
        <v>$963A00</v>
      </c>
      <c r="D34" s="47" t="s">
        <v>377</v>
      </c>
      <c r="E34" s="47" t="s">
        <v>378</v>
      </c>
      <c r="F34" s="27" t="s">
        <v>297</v>
      </c>
      <c r="G34" s="48" t="s">
        <v>74</v>
      </c>
      <c r="H34" s="48" t="s">
        <v>75</v>
      </c>
      <c r="I34" s="48" t="s">
        <v>76</v>
      </c>
      <c r="J34" s="48">
        <v>2</v>
      </c>
      <c r="K34" s="27" t="s">
        <v>77</v>
      </c>
      <c r="L34" s="27" t="s">
        <v>379</v>
      </c>
      <c r="M34" s="49" t="s">
        <v>380</v>
      </c>
      <c r="N34" s="27" t="s">
        <v>381</v>
      </c>
      <c r="O34" s="26" t="s">
        <v>382</v>
      </c>
      <c r="P34" s="26" t="s">
        <v>383</v>
      </c>
      <c r="Q34" s="27" t="s">
        <v>199</v>
      </c>
      <c r="R34" s="48" t="s">
        <v>202</v>
      </c>
      <c r="S34" s="27" t="s">
        <v>201</v>
      </c>
      <c r="T34" s="48" t="s">
        <v>202</v>
      </c>
      <c r="U34" s="30" t="s">
        <v>202</v>
      </c>
      <c r="V34" s="30" t="s">
        <v>202</v>
      </c>
      <c r="W34" s="33" t="s">
        <v>384</v>
      </c>
      <c r="X34" s="32" t="s">
        <v>385</v>
      </c>
      <c r="Y34" s="27">
        <v>5000</v>
      </c>
      <c r="Z34" s="30" t="s">
        <v>100</v>
      </c>
      <c r="AA34" s="27">
        <v>100</v>
      </c>
      <c r="AB34" s="27">
        <v>0</v>
      </c>
      <c r="AC34" s="33" t="s">
        <v>386</v>
      </c>
      <c r="AD34" s="27">
        <v>1000</v>
      </c>
      <c r="AE34" s="26" t="s">
        <v>387</v>
      </c>
      <c r="AF34" s="27" t="s">
        <v>93</v>
      </c>
      <c r="AG34" s="57" t="s">
        <v>152</v>
      </c>
      <c r="AH34" s="34" t="s">
        <v>208</v>
      </c>
    </row>
    <row r="35" spans="2:34" ht="101.25" customHeight="1">
      <c r="B35" s="46">
        <f t="shared" si="0"/>
        <v>32</v>
      </c>
      <c r="C35" s="25" t="str">
        <f>"$"&amp;VLOOKUP(LEFT([1]!Table2[[#This Row],[Column2]],2),[1]Definitions!$B$51:$C$66,2,FALSE)&amp;MID([1]!Table2[[#This Row],[Column2]],3,3)&amp;RIGHT([1]!Table2[[#This Row],[Column2]],2)</f>
        <v>$963A01</v>
      </c>
      <c r="D35" s="25" t="s">
        <v>388</v>
      </c>
      <c r="E35" s="47" t="s">
        <v>389</v>
      </c>
      <c r="F35" s="27" t="s">
        <v>297</v>
      </c>
      <c r="G35" s="48" t="s">
        <v>74</v>
      </c>
      <c r="H35" s="27" t="s">
        <v>75</v>
      </c>
      <c r="I35" s="48" t="s">
        <v>76</v>
      </c>
      <c r="J35" s="30">
        <v>2</v>
      </c>
      <c r="K35" s="27" t="s">
        <v>77</v>
      </c>
      <c r="L35" s="27" t="s">
        <v>379</v>
      </c>
      <c r="M35" s="49" t="s">
        <v>390</v>
      </c>
      <c r="N35" s="27" t="s">
        <v>381</v>
      </c>
      <c r="O35" s="26" t="s">
        <v>218</v>
      </c>
      <c r="P35" s="26" t="s">
        <v>219</v>
      </c>
      <c r="Q35" s="27" t="s">
        <v>82</v>
      </c>
      <c r="R35" s="48" t="s">
        <v>391</v>
      </c>
      <c r="S35" s="27" t="s">
        <v>201</v>
      </c>
      <c r="T35" s="61" t="s">
        <v>392</v>
      </c>
      <c r="U35" s="30" t="s">
        <v>393</v>
      </c>
      <c r="V35" s="30" t="s">
        <v>394</v>
      </c>
      <c r="W35" s="32" t="s">
        <v>395</v>
      </c>
      <c r="X35" s="32" t="s">
        <v>396</v>
      </c>
      <c r="Y35" s="27">
        <v>5000</v>
      </c>
      <c r="Z35" s="30" t="s">
        <v>100</v>
      </c>
      <c r="AA35" s="27">
        <v>100</v>
      </c>
      <c r="AB35" s="27">
        <v>0</v>
      </c>
      <c r="AC35" s="33" t="s">
        <v>397</v>
      </c>
      <c r="AD35" s="27">
        <v>5000</v>
      </c>
      <c r="AE35" s="26" t="s">
        <v>398</v>
      </c>
      <c r="AF35" s="27" t="s">
        <v>93</v>
      </c>
      <c r="AG35" s="56" t="s">
        <v>399</v>
      </c>
      <c r="AH35" s="34" t="s">
        <v>208</v>
      </c>
    </row>
    <row r="36" spans="2:34" ht="112.5" customHeight="1">
      <c r="B36" s="46">
        <f t="shared" si="0"/>
        <v>33</v>
      </c>
      <c r="C36" s="25" t="str">
        <f>"$"&amp;VLOOKUP(LEFT([1]!Table2[[#This Row],[Column2]],2),[1]Definitions!$B$51:$C$66,2,FALSE)&amp;MID([1]!Table2[[#This Row],[Column2]],3,3)&amp;RIGHT([1]!Table2[[#This Row],[Column2]],2)</f>
        <v>$963A11</v>
      </c>
      <c r="D36" s="47" t="s">
        <v>400</v>
      </c>
      <c r="E36" s="47" t="s">
        <v>401</v>
      </c>
      <c r="F36" s="27" t="s">
        <v>297</v>
      </c>
      <c r="G36" s="48" t="s">
        <v>74</v>
      </c>
      <c r="H36" s="48" t="s">
        <v>75</v>
      </c>
      <c r="I36" s="48" t="s">
        <v>76</v>
      </c>
      <c r="J36" s="48">
        <v>2</v>
      </c>
      <c r="K36" s="27" t="s">
        <v>77</v>
      </c>
      <c r="L36" s="27" t="s">
        <v>379</v>
      </c>
      <c r="M36" s="49" t="s">
        <v>402</v>
      </c>
      <c r="N36" s="27" t="s">
        <v>76</v>
      </c>
      <c r="O36" s="26" t="s">
        <v>310</v>
      </c>
      <c r="P36" s="26" t="s">
        <v>311</v>
      </c>
      <c r="Q36" s="27" t="s">
        <v>82</v>
      </c>
      <c r="R36" s="52" t="s">
        <v>403</v>
      </c>
      <c r="S36" s="27" t="s">
        <v>84</v>
      </c>
      <c r="T36" s="52" t="s">
        <v>404</v>
      </c>
      <c r="U36" s="27" t="s">
        <v>405</v>
      </c>
      <c r="V36" s="30" t="s">
        <v>406</v>
      </c>
      <c r="W36" s="32" t="s">
        <v>407</v>
      </c>
      <c r="X36" s="32" t="s">
        <v>317</v>
      </c>
      <c r="Y36" s="27">
        <v>5000</v>
      </c>
      <c r="Z36" s="30" t="s">
        <v>90</v>
      </c>
      <c r="AA36" s="27">
        <v>10</v>
      </c>
      <c r="AB36" s="27">
        <v>0</v>
      </c>
      <c r="AC36" s="33" t="s">
        <v>408</v>
      </c>
      <c r="AD36" s="27">
        <v>500</v>
      </c>
      <c r="AE36" s="62" t="s">
        <v>409</v>
      </c>
      <c r="AF36" s="27" t="s">
        <v>93</v>
      </c>
      <c r="AG36" s="56" t="s">
        <v>354</v>
      </c>
      <c r="AH36" s="34" t="s">
        <v>208</v>
      </c>
    </row>
    <row r="37" spans="2:34" ht="173.85" customHeight="1">
      <c r="B37" s="46">
        <f t="shared" si="0"/>
        <v>34</v>
      </c>
      <c r="C37" s="25" t="str">
        <f>"$"&amp;VLOOKUP(LEFT([1]!Table2[[#This Row],[Column2]],2),[1]Definitions!$B$51:$C$66,2,FALSE)&amp;MID([1]!Table2[[#This Row],[Column2]],3,3)&amp;RIGHT([1]!Table2[[#This Row],[Column2]],2)</f>
        <v>$963E00</v>
      </c>
      <c r="D37" s="47" t="s">
        <v>410</v>
      </c>
      <c r="E37" s="47" t="s">
        <v>411</v>
      </c>
      <c r="F37" s="27" t="s">
        <v>297</v>
      </c>
      <c r="G37" s="48" t="s">
        <v>74</v>
      </c>
      <c r="H37" s="48" t="s">
        <v>75</v>
      </c>
      <c r="I37" s="48" t="s">
        <v>76</v>
      </c>
      <c r="J37" s="48">
        <v>2</v>
      </c>
      <c r="K37" s="27" t="s">
        <v>77</v>
      </c>
      <c r="L37" s="27" t="s">
        <v>379</v>
      </c>
      <c r="M37" s="49" t="s">
        <v>380</v>
      </c>
      <c r="N37" s="27" t="s">
        <v>381</v>
      </c>
      <c r="O37" s="26" t="s">
        <v>412</v>
      </c>
      <c r="P37" s="26" t="s">
        <v>413</v>
      </c>
      <c r="Q37" s="27" t="s">
        <v>82</v>
      </c>
      <c r="R37" s="48" t="s">
        <v>200</v>
      </c>
      <c r="S37" s="27" t="s">
        <v>201</v>
      </c>
      <c r="T37" s="48" t="s">
        <v>202</v>
      </c>
      <c r="U37" s="30" t="s">
        <v>202</v>
      </c>
      <c r="V37" s="30" t="s">
        <v>202</v>
      </c>
      <c r="W37" s="33" t="s">
        <v>414</v>
      </c>
      <c r="X37" s="32" t="s">
        <v>415</v>
      </c>
      <c r="Y37" s="27">
        <v>5000</v>
      </c>
      <c r="Z37" s="30" t="s">
        <v>100</v>
      </c>
      <c r="AA37" s="27">
        <v>100</v>
      </c>
      <c r="AB37" s="27">
        <v>0</v>
      </c>
      <c r="AC37" s="33" t="s">
        <v>416</v>
      </c>
      <c r="AD37" s="27">
        <v>1000</v>
      </c>
      <c r="AE37" s="26" t="s">
        <v>417</v>
      </c>
      <c r="AF37" s="27" t="s">
        <v>93</v>
      </c>
      <c r="AG37" s="56" t="s">
        <v>224</v>
      </c>
      <c r="AH37" s="34" t="s">
        <v>208</v>
      </c>
    </row>
    <row r="38" spans="2:34" ht="170.25" customHeight="1">
      <c r="B38" s="46">
        <f t="shared" si="0"/>
        <v>35</v>
      </c>
      <c r="C38" s="25" t="str">
        <f>"$"&amp;VLOOKUP(LEFT([1]!Table2[[#This Row],[Column2]],2),[1]Definitions!$B$51:$C$66,2,FALSE)&amp;MID([1]!Table2[[#This Row],[Column2]],3,3)&amp;RIGHT([1]!Table2[[#This Row],[Column2]],2)</f>
        <v>$963E01</v>
      </c>
      <c r="D38" s="25" t="s">
        <v>418</v>
      </c>
      <c r="E38" s="47" t="s">
        <v>419</v>
      </c>
      <c r="F38" s="27" t="s">
        <v>297</v>
      </c>
      <c r="G38" s="48" t="s">
        <v>74</v>
      </c>
      <c r="H38" s="48" t="s">
        <v>75</v>
      </c>
      <c r="I38" s="48" t="s">
        <v>76</v>
      </c>
      <c r="J38" s="48">
        <v>2</v>
      </c>
      <c r="K38" s="27" t="s">
        <v>77</v>
      </c>
      <c r="L38" s="27" t="s">
        <v>379</v>
      </c>
      <c r="M38" s="49" t="s">
        <v>390</v>
      </c>
      <c r="N38" s="27" t="s">
        <v>381</v>
      </c>
      <c r="O38" s="26" t="s">
        <v>412</v>
      </c>
      <c r="P38" s="26" t="s">
        <v>413</v>
      </c>
      <c r="Q38" s="27" t="s">
        <v>82</v>
      </c>
      <c r="R38" s="48" t="s">
        <v>391</v>
      </c>
      <c r="S38" s="27" t="s">
        <v>145</v>
      </c>
      <c r="T38" s="61" t="s">
        <v>420</v>
      </c>
      <c r="U38" s="30" t="s">
        <v>421</v>
      </c>
      <c r="V38" s="30" t="s">
        <v>422</v>
      </c>
      <c r="W38" s="33" t="s">
        <v>423</v>
      </c>
      <c r="X38" s="32" t="s">
        <v>396</v>
      </c>
      <c r="Y38" s="27">
        <v>5000</v>
      </c>
      <c r="Z38" s="30" t="s">
        <v>100</v>
      </c>
      <c r="AA38" s="27">
        <v>100</v>
      </c>
      <c r="AB38" s="27">
        <v>0</v>
      </c>
      <c r="AC38" s="33" t="s">
        <v>397</v>
      </c>
      <c r="AD38" s="27">
        <v>5000</v>
      </c>
      <c r="AE38" s="26" t="s">
        <v>424</v>
      </c>
      <c r="AF38" s="27" t="s">
        <v>93</v>
      </c>
      <c r="AG38" s="56" t="s">
        <v>425</v>
      </c>
      <c r="AH38" s="34" t="s">
        <v>208</v>
      </c>
    </row>
    <row r="39" spans="2:34" ht="123.75" customHeight="1">
      <c r="B39" s="46">
        <f t="shared" si="0"/>
        <v>36</v>
      </c>
      <c r="C39" s="25" t="str">
        <f>"$"&amp;VLOOKUP(LEFT([1]!Table2[[#This Row],[Column2]],2),[1]Definitions!$B$51:$C$66,2,FALSE)&amp;MID([1]!Table2[[#This Row],[Column2]],3,3)&amp;RIGHT([1]!Table2[[#This Row],[Column2]],2)</f>
        <v>$963E11</v>
      </c>
      <c r="D39" s="47" t="s">
        <v>426</v>
      </c>
      <c r="E39" s="47" t="s">
        <v>427</v>
      </c>
      <c r="F39" s="27" t="s">
        <v>297</v>
      </c>
      <c r="G39" s="48" t="s">
        <v>74</v>
      </c>
      <c r="H39" s="48" t="s">
        <v>75</v>
      </c>
      <c r="I39" s="48" t="s">
        <v>76</v>
      </c>
      <c r="J39" s="48">
        <v>2</v>
      </c>
      <c r="K39" s="27" t="s">
        <v>77</v>
      </c>
      <c r="L39" s="27" t="s">
        <v>379</v>
      </c>
      <c r="M39" s="49" t="s">
        <v>428</v>
      </c>
      <c r="N39" s="27" t="s">
        <v>76</v>
      </c>
      <c r="O39" s="26" t="s">
        <v>310</v>
      </c>
      <c r="P39" s="26" t="s">
        <v>311</v>
      </c>
      <c r="Q39" s="27" t="s">
        <v>82</v>
      </c>
      <c r="R39" s="52" t="s">
        <v>429</v>
      </c>
      <c r="S39" s="27" t="s">
        <v>84</v>
      </c>
      <c r="T39" s="48" t="s">
        <v>430</v>
      </c>
      <c r="U39" s="30" t="s">
        <v>431</v>
      </c>
      <c r="V39" s="30" t="s">
        <v>432</v>
      </c>
      <c r="W39" s="26" t="s">
        <v>433</v>
      </c>
      <c r="X39" s="32" t="s">
        <v>434</v>
      </c>
      <c r="Y39" s="27">
        <v>5000</v>
      </c>
      <c r="Z39" s="30" t="s">
        <v>90</v>
      </c>
      <c r="AA39" s="27">
        <v>10</v>
      </c>
      <c r="AB39" s="27">
        <v>0</v>
      </c>
      <c r="AC39" s="33" t="s">
        <v>435</v>
      </c>
      <c r="AD39" s="27">
        <v>500</v>
      </c>
      <c r="AE39" s="62" t="s">
        <v>436</v>
      </c>
      <c r="AF39" s="27" t="s">
        <v>93</v>
      </c>
      <c r="AG39" s="56" t="s">
        <v>354</v>
      </c>
      <c r="AH39" s="34" t="s">
        <v>208</v>
      </c>
    </row>
    <row r="40" spans="2:34" ht="191.25" customHeight="1">
      <c r="B40" s="46">
        <f t="shared" si="0"/>
        <v>37</v>
      </c>
      <c r="C40" s="51" t="str">
        <f>"$"&amp;VLOOKUP(LEFT([1]!Table2[[#This Row],[Column2]],2),[1]Definitions!$B$51:$C$66,2,FALSE)&amp;MID([1]!Table2[[#This Row],[Column2]],3,3)&amp;RIGHT([1]!Table2[[#This Row],[Column2]],2)</f>
        <v>$964200</v>
      </c>
      <c r="D40" s="26" t="s">
        <v>437</v>
      </c>
      <c r="E40" s="40" t="s">
        <v>438</v>
      </c>
      <c r="F40" s="41" t="s">
        <v>297</v>
      </c>
      <c r="G40" s="27" t="s">
        <v>74</v>
      </c>
      <c r="H40" s="27" t="s">
        <v>75</v>
      </c>
      <c r="I40" s="27" t="s">
        <v>76</v>
      </c>
      <c r="J40" s="27">
        <v>2</v>
      </c>
      <c r="K40" s="41" t="s">
        <v>77</v>
      </c>
      <c r="L40" s="27" t="s">
        <v>379</v>
      </c>
      <c r="M40" s="63" t="s">
        <v>439</v>
      </c>
      <c r="N40" s="41" t="s">
        <v>381</v>
      </c>
      <c r="O40" s="42" t="s">
        <v>218</v>
      </c>
      <c r="P40" s="42" t="s">
        <v>440</v>
      </c>
      <c r="Q40" s="41" t="s">
        <v>199</v>
      </c>
      <c r="R40" s="27" t="s">
        <v>200</v>
      </c>
      <c r="S40" s="41" t="s">
        <v>201</v>
      </c>
      <c r="T40" s="27" t="s">
        <v>200</v>
      </c>
      <c r="U40" s="43" t="s">
        <v>200</v>
      </c>
      <c r="V40" s="43" t="s">
        <v>200</v>
      </c>
      <c r="W40" s="33" t="s">
        <v>441</v>
      </c>
      <c r="X40" s="64" t="s">
        <v>442</v>
      </c>
      <c r="Y40" s="41">
        <v>5000</v>
      </c>
      <c r="Z40" s="43" t="s">
        <v>100</v>
      </c>
      <c r="AA40" s="41">
        <v>10</v>
      </c>
      <c r="AB40" s="41">
        <v>0</v>
      </c>
      <c r="AC40" s="65" t="s">
        <v>443</v>
      </c>
      <c r="AD40" s="41">
        <v>500</v>
      </c>
      <c r="AE40" s="42" t="s">
        <v>444</v>
      </c>
      <c r="AF40" s="44" t="s">
        <v>93</v>
      </c>
      <c r="AG40" s="51" t="s">
        <v>152</v>
      </c>
      <c r="AH40" s="34" t="s">
        <v>208</v>
      </c>
    </row>
    <row r="41" spans="2:34" ht="112.5" customHeight="1">
      <c r="B41" s="46">
        <f t="shared" si="0"/>
        <v>38</v>
      </c>
      <c r="C41" s="25" t="str">
        <f>"$"&amp;VLOOKUP(LEFT([1]!Table2[[#This Row],[Column2]],2),[1]Definitions!$B$51:$C$66,2,FALSE)&amp;MID([1]!Table2[[#This Row],[Column2]],3,3)&amp;RIGHT([1]!Table2[[#This Row],[Column2]],2)</f>
        <v>$964211</v>
      </c>
      <c r="D41" s="47" t="s">
        <v>445</v>
      </c>
      <c r="E41" s="47" t="s">
        <v>446</v>
      </c>
      <c r="F41" s="27" t="s">
        <v>297</v>
      </c>
      <c r="G41" s="48" t="s">
        <v>74</v>
      </c>
      <c r="H41" s="48" t="s">
        <v>75</v>
      </c>
      <c r="I41" s="48" t="s">
        <v>76</v>
      </c>
      <c r="J41" s="48">
        <v>2</v>
      </c>
      <c r="K41" s="27" t="s">
        <v>77</v>
      </c>
      <c r="L41" s="27" t="s">
        <v>379</v>
      </c>
      <c r="M41" s="66" t="s">
        <v>447</v>
      </c>
      <c r="N41" s="27" t="s">
        <v>448</v>
      </c>
      <c r="O41" s="26" t="s">
        <v>310</v>
      </c>
      <c r="P41" s="26" t="s">
        <v>311</v>
      </c>
      <c r="Q41" s="27" t="s">
        <v>82</v>
      </c>
      <c r="R41" s="48" t="s">
        <v>449</v>
      </c>
      <c r="S41" s="27" t="s">
        <v>84</v>
      </c>
      <c r="T41" s="48" t="s">
        <v>450</v>
      </c>
      <c r="U41" s="30" t="s">
        <v>451</v>
      </c>
      <c r="V41" s="30" t="s">
        <v>452</v>
      </c>
      <c r="W41" s="26" t="s">
        <v>453</v>
      </c>
      <c r="X41" s="32" t="s">
        <v>434</v>
      </c>
      <c r="Y41" s="27">
        <v>5000</v>
      </c>
      <c r="Z41" s="30" t="s">
        <v>90</v>
      </c>
      <c r="AA41" s="27">
        <v>10</v>
      </c>
      <c r="AB41" s="27">
        <v>0</v>
      </c>
      <c r="AC41" s="33" t="s">
        <v>454</v>
      </c>
      <c r="AD41" s="27">
        <v>500</v>
      </c>
      <c r="AE41" s="26" t="s">
        <v>165</v>
      </c>
      <c r="AF41" s="27" t="s">
        <v>93</v>
      </c>
      <c r="AG41" s="51" t="s">
        <v>152</v>
      </c>
      <c r="AH41" s="34" t="s">
        <v>95</v>
      </c>
    </row>
    <row r="42" spans="2:34" ht="161.25" customHeight="1">
      <c r="B42" s="46">
        <f t="shared" si="0"/>
        <v>39</v>
      </c>
      <c r="C42" s="25" t="str">
        <f>"$"&amp;VLOOKUP(LEFT([1]!Table2[[#This Row],[Column2]],2),[1]Definitions!$B$51:$C$66,2,FALSE)&amp;MID([1]!Table2[[#This Row],[Column2]],3,3)&amp;RIGHT([1]!Table2[[#This Row],[Column2]],2)</f>
        <v>$964212</v>
      </c>
      <c r="D42" s="47" t="s">
        <v>455</v>
      </c>
      <c r="E42" s="33" t="s">
        <v>456</v>
      </c>
      <c r="F42" s="27" t="s">
        <v>297</v>
      </c>
      <c r="G42" s="48" t="s">
        <v>74</v>
      </c>
      <c r="H42" s="48" t="s">
        <v>75</v>
      </c>
      <c r="I42" s="48" t="s">
        <v>76</v>
      </c>
      <c r="J42" s="48">
        <v>2</v>
      </c>
      <c r="K42" s="27" t="s">
        <v>77</v>
      </c>
      <c r="L42" s="27" t="s">
        <v>379</v>
      </c>
      <c r="M42" s="66" t="s">
        <v>447</v>
      </c>
      <c r="N42" s="27" t="s">
        <v>448</v>
      </c>
      <c r="O42" s="26" t="s">
        <v>342</v>
      </c>
      <c r="P42" s="26" t="s">
        <v>323</v>
      </c>
      <c r="Q42" s="27" t="s">
        <v>82</v>
      </c>
      <c r="R42" s="48" t="s">
        <v>449</v>
      </c>
      <c r="S42" s="27" t="s">
        <v>84</v>
      </c>
      <c r="T42" s="48" t="s">
        <v>450</v>
      </c>
      <c r="U42" s="30" t="s">
        <v>451</v>
      </c>
      <c r="V42" s="30" t="s">
        <v>457</v>
      </c>
      <c r="W42" s="33" t="s">
        <v>458</v>
      </c>
      <c r="X42" s="32" t="s">
        <v>459</v>
      </c>
      <c r="Y42" s="27">
        <v>5000</v>
      </c>
      <c r="Z42" s="30" t="s">
        <v>100</v>
      </c>
      <c r="AA42" s="27">
        <v>10</v>
      </c>
      <c r="AB42" s="27">
        <v>0</v>
      </c>
      <c r="AC42" s="33" t="s">
        <v>460</v>
      </c>
      <c r="AD42" s="27">
        <v>5000</v>
      </c>
      <c r="AE42" s="26" t="s">
        <v>92</v>
      </c>
      <c r="AF42" s="27" t="s">
        <v>93</v>
      </c>
      <c r="AG42" s="51" t="s">
        <v>461</v>
      </c>
      <c r="AH42" s="34" t="s">
        <v>95</v>
      </c>
    </row>
    <row r="43" spans="2:34" ht="247.5" customHeight="1">
      <c r="B43" s="46">
        <f t="shared" si="0"/>
        <v>40</v>
      </c>
      <c r="C43" s="25" t="str">
        <f>"$"&amp;VLOOKUP(LEFT([1]!Table2[[#This Row],[Column2]],2),[1]Definitions!$B$51:$C$66,2,FALSE)&amp;MID([1]!Table2[[#This Row],[Column2]],3,3)&amp;RIGHT([1]!Table2[[#This Row],[Column2]],2)</f>
        <v>$964311</v>
      </c>
      <c r="D43" s="26" t="s">
        <v>462</v>
      </c>
      <c r="E43" s="26" t="s">
        <v>463</v>
      </c>
      <c r="F43" s="27" t="s">
        <v>297</v>
      </c>
      <c r="G43" s="27" t="s">
        <v>74</v>
      </c>
      <c r="H43" s="27" t="s">
        <v>75</v>
      </c>
      <c r="I43" s="27" t="s">
        <v>76</v>
      </c>
      <c r="J43" s="27">
        <v>2</v>
      </c>
      <c r="K43" s="27" t="s">
        <v>77</v>
      </c>
      <c r="L43" s="27" t="s">
        <v>464</v>
      </c>
      <c r="M43" s="49" t="s">
        <v>465</v>
      </c>
      <c r="N43" s="27" t="s">
        <v>466</v>
      </c>
      <c r="O43" s="26" t="s">
        <v>310</v>
      </c>
      <c r="P43" s="26" t="s">
        <v>311</v>
      </c>
      <c r="Q43" s="27" t="s">
        <v>82</v>
      </c>
      <c r="R43" s="27" t="s">
        <v>467</v>
      </c>
      <c r="S43" s="27" t="s">
        <v>84</v>
      </c>
      <c r="T43" s="27" t="s">
        <v>468</v>
      </c>
      <c r="U43" s="30" t="s">
        <v>469</v>
      </c>
      <c r="V43" s="30" t="s">
        <v>470</v>
      </c>
      <c r="W43" s="32" t="s">
        <v>471</v>
      </c>
      <c r="X43" s="32" t="s">
        <v>434</v>
      </c>
      <c r="Y43" s="27">
        <v>5000</v>
      </c>
      <c r="Z43" s="30" t="s">
        <v>90</v>
      </c>
      <c r="AA43" s="27">
        <v>10</v>
      </c>
      <c r="AB43" s="27">
        <v>0</v>
      </c>
      <c r="AC43" s="33" t="s">
        <v>435</v>
      </c>
      <c r="AD43" s="27">
        <v>500</v>
      </c>
      <c r="AE43" s="33" t="s">
        <v>472</v>
      </c>
      <c r="AF43" s="27" t="s">
        <v>93</v>
      </c>
      <c r="AG43" s="51" t="s">
        <v>473</v>
      </c>
      <c r="AH43" s="34" t="s">
        <v>208</v>
      </c>
    </row>
    <row r="44" spans="2:34" ht="236.25" customHeight="1">
      <c r="B44" s="46">
        <f t="shared" si="0"/>
        <v>41</v>
      </c>
      <c r="C44" s="25" t="str">
        <f>"$"&amp;VLOOKUP(LEFT([1]!Table2[[#This Row],[Column2]],2),[1]Definitions!$B$51:$C$66,2,FALSE)&amp;MID([1]!Table2[[#This Row],[Column2]],3,3)&amp;RIGHT([1]!Table2[[#This Row],[Column2]],2)</f>
        <v>$964312</v>
      </c>
      <c r="D44" s="26" t="s">
        <v>474</v>
      </c>
      <c r="E44" s="26" t="s">
        <v>475</v>
      </c>
      <c r="F44" s="27" t="s">
        <v>297</v>
      </c>
      <c r="G44" s="27" t="s">
        <v>74</v>
      </c>
      <c r="H44" s="27" t="s">
        <v>75</v>
      </c>
      <c r="I44" s="27" t="s">
        <v>76</v>
      </c>
      <c r="J44" s="27">
        <v>2</v>
      </c>
      <c r="K44" s="27" t="s">
        <v>77</v>
      </c>
      <c r="L44" s="27" t="s">
        <v>464</v>
      </c>
      <c r="M44" s="49" t="s">
        <v>465</v>
      </c>
      <c r="N44" s="27" t="s">
        <v>466</v>
      </c>
      <c r="O44" s="26" t="s">
        <v>342</v>
      </c>
      <c r="P44" s="26" t="s">
        <v>323</v>
      </c>
      <c r="Q44" s="27" t="s">
        <v>82</v>
      </c>
      <c r="R44" s="27" t="s">
        <v>467</v>
      </c>
      <c r="S44" s="27" t="s">
        <v>84</v>
      </c>
      <c r="T44" s="27" t="s">
        <v>468</v>
      </c>
      <c r="U44" s="30" t="s">
        <v>469</v>
      </c>
      <c r="V44" s="30" t="s">
        <v>470</v>
      </c>
      <c r="W44" s="32" t="s">
        <v>476</v>
      </c>
      <c r="X44" s="32" t="s">
        <v>477</v>
      </c>
      <c r="Y44" s="27">
        <v>5000</v>
      </c>
      <c r="Z44" s="30" t="s">
        <v>100</v>
      </c>
      <c r="AA44" s="27">
        <v>10</v>
      </c>
      <c r="AB44" s="27">
        <v>0</v>
      </c>
      <c r="AC44" s="33" t="s">
        <v>478</v>
      </c>
      <c r="AD44" s="27">
        <v>5000</v>
      </c>
      <c r="AE44" s="33" t="s">
        <v>479</v>
      </c>
      <c r="AF44" s="27" t="s">
        <v>93</v>
      </c>
      <c r="AG44" s="51" t="s">
        <v>473</v>
      </c>
      <c r="AH44" s="34" t="s">
        <v>208</v>
      </c>
    </row>
    <row r="45" spans="2:34" ht="213.75" customHeight="1">
      <c r="B45" s="46">
        <f t="shared" si="0"/>
        <v>42</v>
      </c>
      <c r="C45" s="25" t="str">
        <f>"$"&amp;VLOOKUP(LEFT([1]!Table2[[#This Row],[Column2]],2),[1]Definitions!$B$51:$C$66,2,FALSE)&amp;MID([1]!Table2[[#This Row],[Column2]],3,3)&amp;RIGHT([1]!Table2[[#This Row],[Column2]],2)</f>
        <v>$964313</v>
      </c>
      <c r="D45" s="26" t="s">
        <v>480</v>
      </c>
      <c r="E45" s="26" t="s">
        <v>481</v>
      </c>
      <c r="F45" s="27" t="s">
        <v>297</v>
      </c>
      <c r="G45" s="27" t="s">
        <v>74</v>
      </c>
      <c r="H45" s="27" t="s">
        <v>75</v>
      </c>
      <c r="I45" s="27" t="s">
        <v>76</v>
      </c>
      <c r="J45" s="27">
        <v>2</v>
      </c>
      <c r="K45" s="27" t="s">
        <v>77</v>
      </c>
      <c r="L45" s="27" t="s">
        <v>464</v>
      </c>
      <c r="M45" s="49" t="s">
        <v>465</v>
      </c>
      <c r="N45" s="27" t="s">
        <v>466</v>
      </c>
      <c r="O45" s="26" t="s">
        <v>342</v>
      </c>
      <c r="P45" s="26" t="s">
        <v>323</v>
      </c>
      <c r="Q45" s="27" t="s">
        <v>82</v>
      </c>
      <c r="R45" s="27" t="s">
        <v>467</v>
      </c>
      <c r="S45" s="27" t="s">
        <v>145</v>
      </c>
      <c r="T45" s="27" t="s">
        <v>482</v>
      </c>
      <c r="U45" s="30" t="s">
        <v>483</v>
      </c>
      <c r="V45" s="30" t="s">
        <v>484</v>
      </c>
      <c r="W45" s="32" t="s">
        <v>476</v>
      </c>
      <c r="X45" s="32" t="s">
        <v>485</v>
      </c>
      <c r="Y45" s="27">
        <v>5000</v>
      </c>
      <c r="Z45" s="30" t="s">
        <v>100</v>
      </c>
      <c r="AA45" s="27">
        <v>10</v>
      </c>
      <c r="AB45" s="27">
        <v>0</v>
      </c>
      <c r="AC45" s="33" t="s">
        <v>486</v>
      </c>
      <c r="AD45" s="27">
        <v>5000</v>
      </c>
      <c r="AE45" s="33" t="s">
        <v>487</v>
      </c>
      <c r="AF45" s="27" t="s">
        <v>93</v>
      </c>
      <c r="AG45" s="51" t="s">
        <v>488</v>
      </c>
      <c r="AH45" s="34" t="s">
        <v>208</v>
      </c>
    </row>
    <row r="46" spans="2:34" ht="67.5" customHeight="1">
      <c r="B46" s="46">
        <f t="shared" si="0"/>
        <v>43</v>
      </c>
      <c r="C46" s="25" t="str">
        <f>"$"&amp;VLOOKUP(LEFT([1]!Table2[[#This Row],[Column2]],2),[1]Definitions!$B$51:$C$66,2,FALSE)&amp;MID([1]!Table2[[#This Row],[Column2]],3,3)&amp;RIGHT([1]!Table2[[#This Row],[Column2]],2)</f>
        <v>$964500</v>
      </c>
      <c r="D46" s="25" t="s">
        <v>489</v>
      </c>
      <c r="E46" s="47" t="s">
        <v>490</v>
      </c>
      <c r="F46" s="27" t="s">
        <v>297</v>
      </c>
      <c r="G46" s="48" t="s">
        <v>74</v>
      </c>
      <c r="H46" s="48" t="s">
        <v>75</v>
      </c>
      <c r="I46" s="48" t="s">
        <v>76</v>
      </c>
      <c r="J46" s="48">
        <v>2</v>
      </c>
      <c r="K46" s="27" t="s">
        <v>77</v>
      </c>
      <c r="L46" s="27" t="s">
        <v>379</v>
      </c>
      <c r="M46" s="49" t="s">
        <v>491</v>
      </c>
      <c r="N46" s="27" t="s">
        <v>381</v>
      </c>
      <c r="O46" s="26" t="s">
        <v>492</v>
      </c>
      <c r="P46" s="26" t="s">
        <v>493</v>
      </c>
      <c r="Q46" s="27" t="s">
        <v>82</v>
      </c>
      <c r="R46" s="67" t="s">
        <v>494</v>
      </c>
      <c r="S46" s="27" t="s">
        <v>145</v>
      </c>
      <c r="T46" s="48" t="s">
        <v>482</v>
      </c>
      <c r="U46" s="30" t="s">
        <v>483</v>
      </c>
      <c r="V46" s="30" t="s">
        <v>484</v>
      </c>
      <c r="W46" s="33" t="s">
        <v>495</v>
      </c>
      <c r="X46" s="32" t="s">
        <v>496</v>
      </c>
      <c r="Y46" s="27">
        <v>5000</v>
      </c>
      <c r="Z46" s="30" t="s">
        <v>100</v>
      </c>
      <c r="AA46" s="27">
        <v>100</v>
      </c>
      <c r="AB46" s="27">
        <v>0</v>
      </c>
      <c r="AC46" s="33" t="s">
        <v>497</v>
      </c>
      <c r="AD46" s="27">
        <v>5000</v>
      </c>
      <c r="AE46" s="53" t="s">
        <v>92</v>
      </c>
      <c r="AF46" s="27" t="s">
        <v>93</v>
      </c>
      <c r="AG46" s="26" t="s">
        <v>488</v>
      </c>
      <c r="AH46" s="34" t="s">
        <v>208</v>
      </c>
    </row>
    <row r="47" spans="2:34" ht="191.25" customHeight="1">
      <c r="B47" s="46">
        <f t="shared" si="0"/>
        <v>44</v>
      </c>
      <c r="C47" s="51" t="str">
        <f>"$"&amp;VLOOKUP(LEFT([1]!Table2[[#This Row],[Column2]],2),[1]Definitions!$B$51:$C$66,2,FALSE)&amp;MID([1]!Table2[[#This Row],[Column2]],3,3)&amp;RIGHT([1]!Table2[[#This Row],[Column2]],2)</f>
        <v>$964600</v>
      </c>
      <c r="D47" s="26" t="s">
        <v>498</v>
      </c>
      <c r="E47" s="26" t="s">
        <v>499</v>
      </c>
      <c r="F47" s="27" t="s">
        <v>297</v>
      </c>
      <c r="G47" s="27" t="s">
        <v>74</v>
      </c>
      <c r="H47" s="27" t="s">
        <v>75</v>
      </c>
      <c r="I47" s="27" t="s">
        <v>76</v>
      </c>
      <c r="J47" s="27">
        <v>2</v>
      </c>
      <c r="K47" s="27" t="s">
        <v>77</v>
      </c>
      <c r="L47" s="27" t="s">
        <v>379</v>
      </c>
      <c r="M47" s="66" t="s">
        <v>500</v>
      </c>
      <c r="N47" s="27" t="s">
        <v>381</v>
      </c>
      <c r="O47" s="26" t="s">
        <v>218</v>
      </c>
      <c r="P47" s="26" t="s">
        <v>440</v>
      </c>
      <c r="Q47" s="27" t="s">
        <v>199</v>
      </c>
      <c r="R47" s="27" t="s">
        <v>200</v>
      </c>
      <c r="S47" s="27" t="s">
        <v>201</v>
      </c>
      <c r="T47" s="27" t="s">
        <v>200</v>
      </c>
      <c r="U47" s="30" t="s">
        <v>200</v>
      </c>
      <c r="V47" s="30" t="s">
        <v>200</v>
      </c>
      <c r="W47" s="33" t="s">
        <v>501</v>
      </c>
      <c r="X47" s="32" t="s">
        <v>502</v>
      </c>
      <c r="Y47" s="27">
        <v>5000</v>
      </c>
      <c r="Z47" s="30" t="s">
        <v>100</v>
      </c>
      <c r="AA47" s="27">
        <v>10</v>
      </c>
      <c r="AB47" s="27">
        <v>0</v>
      </c>
      <c r="AC47" s="33" t="s">
        <v>503</v>
      </c>
      <c r="AD47" s="27">
        <v>500</v>
      </c>
      <c r="AE47" s="33" t="s">
        <v>504</v>
      </c>
      <c r="AF47" s="27" t="s">
        <v>93</v>
      </c>
      <c r="AG47" s="51" t="s">
        <v>505</v>
      </c>
      <c r="AH47" s="34" t="s">
        <v>208</v>
      </c>
    </row>
    <row r="48" spans="2:34" ht="138" customHeight="1">
      <c r="B48" s="46">
        <f t="shared" si="0"/>
        <v>45</v>
      </c>
      <c r="C48" s="25" t="str">
        <f>"$"&amp;VLOOKUP(LEFT([1]!Table2[[#This Row],[Column2]],2),[1]Definitions!$B$51:$C$66,2,FALSE)&amp;MID([1]!Table2[[#This Row],[Column2]],3,3)&amp;RIGHT([1]!Table2[[#This Row],[Column2]],2)</f>
        <v>$964611</v>
      </c>
      <c r="D48" s="47" t="s">
        <v>506</v>
      </c>
      <c r="E48" s="47" t="s">
        <v>507</v>
      </c>
      <c r="F48" s="27" t="s">
        <v>297</v>
      </c>
      <c r="G48" s="48" t="s">
        <v>74</v>
      </c>
      <c r="H48" s="48" t="s">
        <v>75</v>
      </c>
      <c r="I48" s="48" t="s">
        <v>76</v>
      </c>
      <c r="J48" s="48">
        <v>2</v>
      </c>
      <c r="K48" s="27" t="s">
        <v>77</v>
      </c>
      <c r="L48" s="27" t="s">
        <v>379</v>
      </c>
      <c r="M48" s="66" t="s">
        <v>508</v>
      </c>
      <c r="N48" s="27" t="s">
        <v>509</v>
      </c>
      <c r="O48" s="26" t="s">
        <v>310</v>
      </c>
      <c r="P48" s="26" t="s">
        <v>311</v>
      </c>
      <c r="Q48" s="27" t="s">
        <v>82</v>
      </c>
      <c r="R48" s="48" t="s">
        <v>510</v>
      </c>
      <c r="S48" s="27" t="s">
        <v>84</v>
      </c>
      <c r="T48" s="48" t="s">
        <v>511</v>
      </c>
      <c r="U48" s="30" t="s">
        <v>512</v>
      </c>
      <c r="V48" s="30" t="s">
        <v>457</v>
      </c>
      <c r="W48" s="26" t="s">
        <v>453</v>
      </c>
      <c r="X48" s="32" t="s">
        <v>163</v>
      </c>
      <c r="Y48" s="27">
        <v>5000</v>
      </c>
      <c r="Z48" s="30" t="s">
        <v>90</v>
      </c>
      <c r="AA48" s="27">
        <v>10</v>
      </c>
      <c r="AB48" s="27">
        <v>0</v>
      </c>
      <c r="AC48" s="33" t="s">
        <v>164</v>
      </c>
      <c r="AD48" s="27">
        <v>500</v>
      </c>
      <c r="AE48" s="26" t="s">
        <v>165</v>
      </c>
      <c r="AF48" s="27" t="s">
        <v>93</v>
      </c>
      <c r="AG48" s="51" t="s">
        <v>513</v>
      </c>
      <c r="AH48" s="34" t="s">
        <v>95</v>
      </c>
    </row>
    <row r="49" spans="2:34" ht="123.75" customHeight="1">
      <c r="B49" s="46">
        <f t="shared" si="0"/>
        <v>46</v>
      </c>
      <c r="C49" s="25" t="str">
        <f>"$"&amp;VLOOKUP(LEFT([1]!Table2[[#This Row],[Column2]],2),[1]Definitions!$B$51:$C$66,2,FALSE)&amp;MID([1]!Table2[[#This Row],[Column2]],3,3)&amp;RIGHT([1]!Table2[[#This Row],[Column2]],2)</f>
        <v>$964612</v>
      </c>
      <c r="D49" s="47" t="s">
        <v>514</v>
      </c>
      <c r="E49" s="33" t="s">
        <v>515</v>
      </c>
      <c r="F49" s="27" t="s">
        <v>297</v>
      </c>
      <c r="G49" s="48" t="s">
        <v>74</v>
      </c>
      <c r="H49" s="48" t="s">
        <v>75</v>
      </c>
      <c r="I49" s="48" t="s">
        <v>76</v>
      </c>
      <c r="J49" s="48">
        <v>2</v>
      </c>
      <c r="K49" s="27" t="s">
        <v>77</v>
      </c>
      <c r="L49" s="27" t="s">
        <v>379</v>
      </c>
      <c r="M49" s="66" t="s">
        <v>516</v>
      </c>
      <c r="N49" s="27" t="s">
        <v>509</v>
      </c>
      <c r="O49" s="26" t="s">
        <v>342</v>
      </c>
      <c r="P49" s="26" t="s">
        <v>323</v>
      </c>
      <c r="Q49" s="27" t="s">
        <v>82</v>
      </c>
      <c r="R49" s="48" t="s">
        <v>510</v>
      </c>
      <c r="S49" s="27" t="s">
        <v>84</v>
      </c>
      <c r="T49" s="48" t="s">
        <v>511</v>
      </c>
      <c r="U49" s="30" t="s">
        <v>512</v>
      </c>
      <c r="V49" s="30" t="s">
        <v>457</v>
      </c>
      <c r="W49" s="33" t="s">
        <v>517</v>
      </c>
      <c r="X49" s="32" t="s">
        <v>459</v>
      </c>
      <c r="Y49" s="27">
        <v>5000</v>
      </c>
      <c r="Z49" s="30" t="s">
        <v>100</v>
      </c>
      <c r="AA49" s="27">
        <v>10</v>
      </c>
      <c r="AB49" s="27">
        <v>0</v>
      </c>
      <c r="AC49" s="33" t="s">
        <v>460</v>
      </c>
      <c r="AD49" s="27">
        <v>5000</v>
      </c>
      <c r="AE49" s="26" t="s">
        <v>92</v>
      </c>
      <c r="AF49" s="27" t="s">
        <v>93</v>
      </c>
      <c r="AG49" s="51" t="s">
        <v>513</v>
      </c>
      <c r="AH49" s="34" t="s">
        <v>95</v>
      </c>
    </row>
    <row r="50" spans="2:34" ht="247.5" customHeight="1">
      <c r="B50" s="46">
        <f t="shared" si="0"/>
        <v>47</v>
      </c>
      <c r="C50" s="25" t="str">
        <f>"$"&amp;VLOOKUP(LEFT([1]!Table2[[#This Row],[Column2]],2),[1]Definitions!$B$51:$C$66,2,FALSE)&amp;MID([1]!Table2[[#This Row],[Column2]],3,3)&amp;RIGHT([1]!Table2[[#This Row],[Column2]],2)</f>
        <v>$964811</v>
      </c>
      <c r="D50" s="26" t="s">
        <v>518</v>
      </c>
      <c r="E50" s="26" t="s">
        <v>519</v>
      </c>
      <c r="F50" s="27" t="s">
        <v>297</v>
      </c>
      <c r="G50" s="27" t="s">
        <v>74</v>
      </c>
      <c r="H50" s="27" t="s">
        <v>75</v>
      </c>
      <c r="I50" s="27" t="s">
        <v>76</v>
      </c>
      <c r="J50" s="27">
        <v>2</v>
      </c>
      <c r="K50" s="27" t="s">
        <v>77</v>
      </c>
      <c r="L50" s="27" t="s">
        <v>464</v>
      </c>
      <c r="M50" s="49" t="s">
        <v>520</v>
      </c>
      <c r="N50" s="27" t="s">
        <v>466</v>
      </c>
      <c r="O50" s="26" t="s">
        <v>310</v>
      </c>
      <c r="P50" s="26" t="s">
        <v>311</v>
      </c>
      <c r="Q50" s="27" t="s">
        <v>82</v>
      </c>
      <c r="R50" s="27" t="s">
        <v>521</v>
      </c>
      <c r="S50" s="27" t="s">
        <v>84</v>
      </c>
      <c r="T50" s="27" t="s">
        <v>522</v>
      </c>
      <c r="U50" s="30" t="s">
        <v>523</v>
      </c>
      <c r="V50" s="30" t="s">
        <v>470</v>
      </c>
      <c r="W50" s="32" t="s">
        <v>471</v>
      </c>
      <c r="X50" s="32" t="s">
        <v>434</v>
      </c>
      <c r="Y50" s="27">
        <v>5000</v>
      </c>
      <c r="Z50" s="30" t="s">
        <v>90</v>
      </c>
      <c r="AA50" s="27">
        <v>10</v>
      </c>
      <c r="AB50" s="27">
        <v>0</v>
      </c>
      <c r="AC50" s="33" t="s">
        <v>435</v>
      </c>
      <c r="AD50" s="27">
        <v>500</v>
      </c>
      <c r="AE50" s="33" t="s">
        <v>524</v>
      </c>
      <c r="AF50" s="27" t="s">
        <v>93</v>
      </c>
      <c r="AG50" s="51" t="s">
        <v>525</v>
      </c>
      <c r="AH50" s="34" t="s">
        <v>208</v>
      </c>
    </row>
    <row r="51" spans="2:34" ht="247.5" customHeight="1">
      <c r="B51" s="46">
        <f t="shared" si="0"/>
        <v>48</v>
      </c>
      <c r="C51" s="25" t="str">
        <f>"$"&amp;VLOOKUP(LEFT([1]!Table2[[#This Row],[Column2]],2),[1]Definitions!$B$51:$C$66,2,FALSE)&amp;MID([1]!Table2[[#This Row],[Column2]],3,3)&amp;RIGHT([1]!Table2[[#This Row],[Column2]],2)</f>
        <v>$964812</v>
      </c>
      <c r="D51" s="26" t="s">
        <v>526</v>
      </c>
      <c r="E51" s="26" t="s">
        <v>527</v>
      </c>
      <c r="F51" s="27" t="s">
        <v>297</v>
      </c>
      <c r="G51" s="27" t="s">
        <v>74</v>
      </c>
      <c r="H51" s="27" t="s">
        <v>75</v>
      </c>
      <c r="I51" s="27" t="s">
        <v>76</v>
      </c>
      <c r="J51" s="27">
        <v>2</v>
      </c>
      <c r="K51" s="27" t="s">
        <v>77</v>
      </c>
      <c r="L51" s="27" t="s">
        <v>464</v>
      </c>
      <c r="M51" s="49" t="s">
        <v>520</v>
      </c>
      <c r="N51" s="27" t="s">
        <v>466</v>
      </c>
      <c r="O51" s="26" t="s">
        <v>310</v>
      </c>
      <c r="P51" s="26" t="s">
        <v>311</v>
      </c>
      <c r="Q51" s="27" t="s">
        <v>82</v>
      </c>
      <c r="R51" s="27" t="s">
        <v>521</v>
      </c>
      <c r="S51" s="27" t="s">
        <v>84</v>
      </c>
      <c r="T51" s="27" t="s">
        <v>522</v>
      </c>
      <c r="U51" s="30" t="s">
        <v>523</v>
      </c>
      <c r="V51" s="30" t="s">
        <v>470</v>
      </c>
      <c r="W51" s="32" t="s">
        <v>528</v>
      </c>
      <c r="X51" s="32" t="s">
        <v>477</v>
      </c>
      <c r="Y51" s="27">
        <v>5000</v>
      </c>
      <c r="Z51" s="30" t="s">
        <v>100</v>
      </c>
      <c r="AA51" s="27">
        <v>10</v>
      </c>
      <c r="AB51" s="27">
        <v>0</v>
      </c>
      <c r="AC51" s="33" t="s">
        <v>478</v>
      </c>
      <c r="AD51" s="27">
        <v>5000</v>
      </c>
      <c r="AE51" s="33" t="s">
        <v>529</v>
      </c>
      <c r="AF51" s="27" t="s">
        <v>93</v>
      </c>
      <c r="AG51" s="51" t="s">
        <v>525</v>
      </c>
      <c r="AH51" s="34" t="s">
        <v>208</v>
      </c>
    </row>
    <row r="52" spans="2:34" ht="225" customHeight="1">
      <c r="B52" s="46">
        <f t="shared" si="0"/>
        <v>49</v>
      </c>
      <c r="C52" s="25" t="str">
        <f>"$"&amp;VLOOKUP(LEFT([1]!Table2[[#This Row],[Column2]],2),[1]Definitions!$B$51:$C$66,2,FALSE)&amp;MID([1]!Table2[[#This Row],[Column2]],3,3)&amp;RIGHT([1]!Table2[[#This Row],[Column2]],2)</f>
        <v>$964813</v>
      </c>
      <c r="D52" s="26" t="s">
        <v>530</v>
      </c>
      <c r="E52" s="26" t="s">
        <v>531</v>
      </c>
      <c r="F52" s="27" t="s">
        <v>297</v>
      </c>
      <c r="G52" s="27" t="s">
        <v>74</v>
      </c>
      <c r="H52" s="27" t="s">
        <v>75</v>
      </c>
      <c r="I52" s="27" t="s">
        <v>76</v>
      </c>
      <c r="J52" s="27">
        <v>2</v>
      </c>
      <c r="K52" s="27" t="s">
        <v>77</v>
      </c>
      <c r="L52" s="27" t="s">
        <v>464</v>
      </c>
      <c r="M52" s="49" t="s">
        <v>532</v>
      </c>
      <c r="N52" s="27" t="s">
        <v>466</v>
      </c>
      <c r="O52" s="26" t="s">
        <v>310</v>
      </c>
      <c r="P52" s="26" t="s">
        <v>311</v>
      </c>
      <c r="Q52" s="27" t="s">
        <v>82</v>
      </c>
      <c r="R52" s="27" t="s">
        <v>521</v>
      </c>
      <c r="S52" s="27" t="s">
        <v>145</v>
      </c>
      <c r="T52" s="27" t="s">
        <v>533</v>
      </c>
      <c r="U52" s="30" t="s">
        <v>534</v>
      </c>
      <c r="V52" s="30" t="s">
        <v>535</v>
      </c>
      <c r="W52" s="32" t="s">
        <v>536</v>
      </c>
      <c r="X52" s="32" t="s">
        <v>537</v>
      </c>
      <c r="Y52" s="27">
        <v>5000</v>
      </c>
      <c r="Z52" s="30" t="s">
        <v>100</v>
      </c>
      <c r="AA52" s="27">
        <v>10</v>
      </c>
      <c r="AB52" s="27">
        <v>0</v>
      </c>
      <c r="AC52" s="33" t="s">
        <v>486</v>
      </c>
      <c r="AD52" s="27">
        <v>5000</v>
      </c>
      <c r="AE52" s="33" t="s">
        <v>538</v>
      </c>
      <c r="AF52" s="27" t="s">
        <v>93</v>
      </c>
      <c r="AG52" s="51" t="s">
        <v>488</v>
      </c>
      <c r="AH52" s="34" t="s">
        <v>208</v>
      </c>
    </row>
    <row r="53" spans="2:34" ht="207.75" customHeight="1">
      <c r="B53" s="46">
        <f t="shared" si="0"/>
        <v>50</v>
      </c>
      <c r="C53" s="25" t="str">
        <f>"$"&amp;VLOOKUP(LEFT([1]!Table2[[#This Row],[Column2]],2),[1]Definitions!$B$51:$C$66,2,FALSE)&amp;MID([1]!Table2[[#This Row],[Column2]],3,3)&amp;RIGHT([1]!Table2[[#This Row],[Column2]],2)</f>
        <v>$964900</v>
      </c>
      <c r="D53" s="25" t="s">
        <v>539</v>
      </c>
      <c r="E53" s="47" t="s">
        <v>540</v>
      </c>
      <c r="F53" s="27" t="s">
        <v>297</v>
      </c>
      <c r="G53" s="48" t="s">
        <v>74</v>
      </c>
      <c r="H53" s="48" t="s">
        <v>75</v>
      </c>
      <c r="I53" s="48" t="s">
        <v>76</v>
      </c>
      <c r="J53" s="48">
        <v>2</v>
      </c>
      <c r="K53" s="27" t="s">
        <v>77</v>
      </c>
      <c r="L53" s="27" t="s">
        <v>379</v>
      </c>
      <c r="M53" s="49" t="s">
        <v>541</v>
      </c>
      <c r="N53" s="27" t="s">
        <v>381</v>
      </c>
      <c r="O53" s="26" t="s">
        <v>542</v>
      </c>
      <c r="P53" s="26" t="s">
        <v>543</v>
      </c>
      <c r="Q53" s="27" t="s">
        <v>82</v>
      </c>
      <c r="R53" s="67" t="s">
        <v>544</v>
      </c>
      <c r="S53" s="27" t="s">
        <v>145</v>
      </c>
      <c r="T53" s="48" t="s">
        <v>533</v>
      </c>
      <c r="U53" s="30" t="s">
        <v>534</v>
      </c>
      <c r="V53" s="30" t="s">
        <v>535</v>
      </c>
      <c r="W53" s="33" t="s">
        <v>495</v>
      </c>
      <c r="X53" s="32" t="s">
        <v>496</v>
      </c>
      <c r="Y53" s="27">
        <v>5000</v>
      </c>
      <c r="Z53" s="30" t="s">
        <v>100</v>
      </c>
      <c r="AA53" s="27">
        <v>100</v>
      </c>
      <c r="AB53" s="27">
        <v>0</v>
      </c>
      <c r="AC53" s="33" t="s">
        <v>545</v>
      </c>
      <c r="AD53" s="27">
        <v>5000</v>
      </c>
      <c r="AE53" s="53" t="s">
        <v>92</v>
      </c>
      <c r="AF53" s="27" t="s">
        <v>93</v>
      </c>
      <c r="AG53" s="26" t="s">
        <v>488</v>
      </c>
      <c r="AH53" s="34" t="s">
        <v>208</v>
      </c>
    </row>
    <row r="54" spans="2:34" ht="92.25" customHeight="1">
      <c r="B54" s="46">
        <f t="shared" si="0"/>
        <v>51</v>
      </c>
      <c r="C54" s="25" t="str">
        <f>"$"&amp;VLOOKUP(LEFT([1]!Table2[[#This Row],[Column2]],2),[1]Definitions!$B$51:$C$66,2,FALSE)&amp;MID([1]!Table2[[#This Row],[Column2]],3,3)&amp;RIGHT([1]!Table2[[#This Row],[Column2]],2)</f>
        <v>$965B2A</v>
      </c>
      <c r="D54" s="25" t="s">
        <v>546</v>
      </c>
      <c r="E54" s="47" t="s">
        <v>547</v>
      </c>
      <c r="F54" s="27" t="s">
        <v>227</v>
      </c>
      <c r="G54" s="52" t="s">
        <v>74</v>
      </c>
      <c r="H54" s="52" t="s">
        <v>75</v>
      </c>
      <c r="I54" s="52" t="s">
        <v>76</v>
      </c>
      <c r="J54" s="52">
        <v>2</v>
      </c>
      <c r="K54" s="27" t="s">
        <v>77</v>
      </c>
      <c r="L54" s="27" t="s">
        <v>228</v>
      </c>
      <c r="M54" s="49" t="s">
        <v>229</v>
      </c>
      <c r="N54" s="27" t="s">
        <v>76</v>
      </c>
      <c r="O54" s="26" t="s">
        <v>230</v>
      </c>
      <c r="P54" s="26" t="s">
        <v>231</v>
      </c>
      <c r="Q54" s="27" t="s">
        <v>199</v>
      </c>
      <c r="R54" s="52" t="s">
        <v>202</v>
      </c>
      <c r="S54" s="27" t="s">
        <v>201</v>
      </c>
      <c r="T54" s="52" t="s">
        <v>202</v>
      </c>
      <c r="U54" s="30" t="s">
        <v>202</v>
      </c>
      <c r="V54" s="30" t="s">
        <v>202</v>
      </c>
      <c r="W54" s="32" t="s">
        <v>548</v>
      </c>
      <c r="X54" s="51" t="s">
        <v>549</v>
      </c>
      <c r="Y54" s="27">
        <v>20000</v>
      </c>
      <c r="Z54" s="30" t="s">
        <v>100</v>
      </c>
      <c r="AA54" s="27">
        <v>100</v>
      </c>
      <c r="AB54" s="27">
        <v>0</v>
      </c>
      <c r="AC54" s="26" t="s">
        <v>550</v>
      </c>
      <c r="AD54" s="27">
        <v>500</v>
      </c>
      <c r="AE54" s="33" t="s">
        <v>551</v>
      </c>
      <c r="AF54" s="27" t="s">
        <v>93</v>
      </c>
      <c r="AG54" s="26" t="s">
        <v>224</v>
      </c>
      <c r="AH54" s="34" t="s">
        <v>208</v>
      </c>
    </row>
    <row r="55" spans="2:34" ht="112.5" customHeight="1">
      <c r="B55" s="46">
        <f t="shared" si="0"/>
        <v>52</v>
      </c>
      <c r="C55" s="51" t="str">
        <f>"$"&amp;VLOOKUP(LEFT([1]!Table2[[#This Row],[Column2]],2),[1]Definitions!$B$51:$C$66,2,FALSE)&amp;MID([1]!Table2[[#This Row],[Column2]],3,3)&amp;RIGHT([1]!Table2[[#This Row],[Column2]],2)</f>
        <v>$965E11</v>
      </c>
      <c r="D55" s="51" t="s">
        <v>552</v>
      </c>
      <c r="E55" s="26" t="s">
        <v>553</v>
      </c>
      <c r="F55" s="27" t="s">
        <v>297</v>
      </c>
      <c r="G55" s="27" t="s">
        <v>74</v>
      </c>
      <c r="H55" s="27" t="s">
        <v>75</v>
      </c>
      <c r="I55" s="27" t="s">
        <v>76</v>
      </c>
      <c r="J55" s="27">
        <v>2</v>
      </c>
      <c r="K55" s="27" t="s">
        <v>77</v>
      </c>
      <c r="L55" s="27" t="s">
        <v>228</v>
      </c>
      <c r="M55" s="49" t="s">
        <v>140</v>
      </c>
      <c r="N55" s="27" t="s">
        <v>554</v>
      </c>
      <c r="O55" s="26" t="s">
        <v>310</v>
      </c>
      <c r="P55" s="26" t="s">
        <v>311</v>
      </c>
      <c r="Q55" s="27" t="s">
        <v>82</v>
      </c>
      <c r="R55" s="54" t="s">
        <v>555</v>
      </c>
      <c r="S55" s="27" t="s">
        <v>84</v>
      </c>
      <c r="T55" s="27" t="s">
        <v>556</v>
      </c>
      <c r="U55" s="30" t="s">
        <v>557</v>
      </c>
      <c r="V55" s="30" t="s">
        <v>558</v>
      </c>
      <c r="W55" s="32" t="s">
        <v>559</v>
      </c>
      <c r="X55" s="51" t="s">
        <v>560</v>
      </c>
      <c r="Y55" s="27">
        <v>5000</v>
      </c>
      <c r="Z55" s="30" t="s">
        <v>90</v>
      </c>
      <c r="AA55" s="27">
        <v>10</v>
      </c>
      <c r="AB55" s="27">
        <v>0</v>
      </c>
      <c r="AC55" s="26" t="s">
        <v>184</v>
      </c>
      <c r="AD55" s="27">
        <v>500</v>
      </c>
      <c r="AE55" s="26" t="s">
        <v>165</v>
      </c>
      <c r="AF55" s="27" t="s">
        <v>93</v>
      </c>
      <c r="AG55" s="32" t="s">
        <v>473</v>
      </c>
      <c r="AH55" s="34" t="s">
        <v>95</v>
      </c>
    </row>
    <row r="56" spans="2:34" ht="112.5" customHeight="1">
      <c r="B56" s="46">
        <f t="shared" si="0"/>
        <v>53</v>
      </c>
      <c r="C56" s="25" t="str">
        <f>"$"&amp;VLOOKUP(LEFT([1]!Table2[[#This Row],[Column2]],2),[1]Definitions!$B$51:$C$66,2,FALSE)&amp;MID([1]!Table2[[#This Row],[Column2]],3,3)&amp;RIGHT([1]!Table2[[#This Row],[Column2]],2)</f>
        <v>$966211</v>
      </c>
      <c r="D56" s="26" t="s">
        <v>561</v>
      </c>
      <c r="E56" s="26" t="s">
        <v>562</v>
      </c>
      <c r="F56" s="68" t="s">
        <v>297</v>
      </c>
      <c r="G56" s="27" t="s">
        <v>74</v>
      </c>
      <c r="H56" s="27" t="s">
        <v>75</v>
      </c>
      <c r="I56" s="27" t="s">
        <v>76</v>
      </c>
      <c r="J56" s="27">
        <v>2</v>
      </c>
      <c r="K56" s="27" t="s">
        <v>77</v>
      </c>
      <c r="L56" s="27" t="s">
        <v>563</v>
      </c>
      <c r="M56" s="49" t="s">
        <v>564</v>
      </c>
      <c r="N56" s="27" t="s">
        <v>565</v>
      </c>
      <c r="O56" s="26" t="s">
        <v>310</v>
      </c>
      <c r="P56" s="26" t="s">
        <v>311</v>
      </c>
      <c r="Q56" s="27" t="s">
        <v>82</v>
      </c>
      <c r="R56" s="27" t="s">
        <v>566</v>
      </c>
      <c r="S56" s="27" t="s">
        <v>84</v>
      </c>
      <c r="T56" s="27" t="s">
        <v>567</v>
      </c>
      <c r="U56" s="30" t="s">
        <v>568</v>
      </c>
      <c r="V56" s="30" t="s">
        <v>569</v>
      </c>
      <c r="W56" s="33" t="s">
        <v>570</v>
      </c>
      <c r="X56" s="32" t="s">
        <v>571</v>
      </c>
      <c r="Y56" s="27">
        <v>5000</v>
      </c>
      <c r="Z56" s="30" t="s">
        <v>90</v>
      </c>
      <c r="AA56" s="27">
        <v>10</v>
      </c>
      <c r="AB56" s="27">
        <v>0</v>
      </c>
      <c r="AC56" s="26" t="s">
        <v>184</v>
      </c>
      <c r="AD56" s="27">
        <v>500</v>
      </c>
      <c r="AE56" s="69" t="s">
        <v>572</v>
      </c>
      <c r="AF56" s="27" t="s">
        <v>93</v>
      </c>
      <c r="AG56" s="33" t="s">
        <v>573</v>
      </c>
      <c r="AH56" s="34" t="s">
        <v>208</v>
      </c>
    </row>
    <row r="57" spans="2:34" ht="112.5" customHeight="1">
      <c r="B57" s="46">
        <f t="shared" si="0"/>
        <v>54</v>
      </c>
      <c r="C57" s="25" t="str">
        <f>"$"&amp;VLOOKUP(LEFT([1]!Table2[[#This Row],[Column2]],2),[1]Definitions!$B$51:$C$66,2,FALSE)&amp;MID([1]!Table2[[#This Row],[Column2]],3,3)&amp;RIGHT([1]!Table2[[#This Row],[Column2]],2)</f>
        <v>$966411</v>
      </c>
      <c r="D57" s="26" t="s">
        <v>574</v>
      </c>
      <c r="E57" s="26" t="s">
        <v>575</v>
      </c>
      <c r="F57" s="68" t="s">
        <v>297</v>
      </c>
      <c r="G57" s="27" t="s">
        <v>74</v>
      </c>
      <c r="H57" s="27" t="s">
        <v>75</v>
      </c>
      <c r="I57" s="27" t="s">
        <v>76</v>
      </c>
      <c r="J57" s="27">
        <v>2</v>
      </c>
      <c r="K57" s="27" t="s">
        <v>77</v>
      </c>
      <c r="L57" s="27" t="s">
        <v>563</v>
      </c>
      <c r="M57" s="49" t="s">
        <v>576</v>
      </c>
      <c r="N57" s="27" t="s">
        <v>577</v>
      </c>
      <c r="O57" s="26" t="s">
        <v>310</v>
      </c>
      <c r="P57" s="26" t="s">
        <v>311</v>
      </c>
      <c r="Q57" s="27" t="s">
        <v>82</v>
      </c>
      <c r="R57" s="27" t="s">
        <v>578</v>
      </c>
      <c r="S57" s="27" t="s">
        <v>84</v>
      </c>
      <c r="T57" s="27" t="s">
        <v>567</v>
      </c>
      <c r="U57" s="30" t="s">
        <v>568</v>
      </c>
      <c r="V57" s="30" t="s">
        <v>569</v>
      </c>
      <c r="W57" s="33" t="s">
        <v>579</v>
      </c>
      <c r="X57" s="32" t="s">
        <v>434</v>
      </c>
      <c r="Y57" s="27">
        <v>5000</v>
      </c>
      <c r="Z57" s="30" t="s">
        <v>90</v>
      </c>
      <c r="AA57" s="27">
        <v>10</v>
      </c>
      <c r="AB57" s="27">
        <v>0</v>
      </c>
      <c r="AC57" s="26" t="s">
        <v>184</v>
      </c>
      <c r="AD57" s="27">
        <v>500</v>
      </c>
      <c r="AE57" s="26" t="s">
        <v>165</v>
      </c>
      <c r="AF57" s="27" t="s">
        <v>93</v>
      </c>
      <c r="AG57" s="70" t="s">
        <v>166</v>
      </c>
      <c r="AH57" s="34" t="s">
        <v>95</v>
      </c>
    </row>
    <row r="58" spans="2:34" ht="81.75" customHeight="1">
      <c r="B58" s="46">
        <f t="shared" si="0"/>
        <v>55</v>
      </c>
      <c r="C58" s="25" t="str">
        <f>"$"&amp;VLOOKUP(LEFT([1]!Table2[[#This Row],[Column2]],2),[1]Definitions!$B$51:$C$66,2,FALSE)&amp;MID([1]!Table2[[#This Row],[Column2]],3,3)&amp;RIGHT([1]!Table2[[#This Row],[Column2]],2)</f>
        <v>$966611</v>
      </c>
      <c r="D58" s="51" t="s">
        <v>580</v>
      </c>
      <c r="E58" s="26" t="s">
        <v>581</v>
      </c>
      <c r="F58" s="27" t="s">
        <v>297</v>
      </c>
      <c r="G58" s="27" t="s">
        <v>74</v>
      </c>
      <c r="H58" s="27" t="s">
        <v>75</v>
      </c>
      <c r="I58" s="27" t="s">
        <v>76</v>
      </c>
      <c r="J58" s="27">
        <v>2</v>
      </c>
      <c r="K58" s="27" t="s">
        <v>77</v>
      </c>
      <c r="L58" s="27" t="s">
        <v>228</v>
      </c>
      <c r="M58" s="49" t="s">
        <v>582</v>
      </c>
      <c r="N58" s="27" t="s">
        <v>583</v>
      </c>
      <c r="O58" s="26" t="s">
        <v>310</v>
      </c>
      <c r="P58" s="26" t="s">
        <v>311</v>
      </c>
      <c r="Q58" s="27" t="s">
        <v>82</v>
      </c>
      <c r="R58" s="27" t="s">
        <v>584</v>
      </c>
      <c r="S58" s="27" t="s">
        <v>84</v>
      </c>
      <c r="T58" s="27" t="s">
        <v>585</v>
      </c>
      <c r="U58" s="30" t="s">
        <v>586</v>
      </c>
      <c r="V58" s="30" t="s">
        <v>587</v>
      </c>
      <c r="W58" s="32" t="s">
        <v>588</v>
      </c>
      <c r="X58" s="51" t="s">
        <v>560</v>
      </c>
      <c r="Y58" s="27">
        <v>5000</v>
      </c>
      <c r="Z58" s="30" t="s">
        <v>90</v>
      </c>
      <c r="AA58" s="27">
        <v>10</v>
      </c>
      <c r="AB58" s="27">
        <v>0</v>
      </c>
      <c r="AC58" s="26" t="s">
        <v>184</v>
      </c>
      <c r="AD58" s="27">
        <v>500</v>
      </c>
      <c r="AE58" s="26" t="s">
        <v>165</v>
      </c>
      <c r="AF58" s="27" t="s">
        <v>93</v>
      </c>
      <c r="AG58" s="32" t="s">
        <v>589</v>
      </c>
      <c r="AH58" s="34" t="s">
        <v>95</v>
      </c>
    </row>
    <row r="59" spans="2:34" ht="123.75" customHeight="1">
      <c r="B59" s="46">
        <f t="shared" si="0"/>
        <v>56</v>
      </c>
      <c r="C59" s="25" t="str">
        <f>"$"&amp;VLOOKUP(LEFT([1]!Table2[[#This Row],[Column2]],2),[1]Definitions!$B$51:$C$66,2,FALSE)&amp;MID([1]!Table2[[#This Row],[Column2]],3,3)&amp;RIGHT([1]!Table2[[#This Row],[Column2]],2)</f>
        <v>$968E2A</v>
      </c>
      <c r="D59" s="25" t="s">
        <v>590</v>
      </c>
      <c r="E59" s="26" t="s">
        <v>591</v>
      </c>
      <c r="F59" s="27" t="s">
        <v>227</v>
      </c>
      <c r="G59" s="54" t="s">
        <v>74</v>
      </c>
      <c r="H59" s="54" t="s">
        <v>75</v>
      </c>
      <c r="I59" s="54" t="s">
        <v>76</v>
      </c>
      <c r="J59" s="54">
        <v>2</v>
      </c>
      <c r="K59" s="27" t="s">
        <v>77</v>
      </c>
      <c r="L59" s="27" t="s">
        <v>592</v>
      </c>
      <c r="M59" s="49" t="s">
        <v>593</v>
      </c>
      <c r="N59" s="27" t="s">
        <v>594</v>
      </c>
      <c r="O59" s="26" t="s">
        <v>230</v>
      </c>
      <c r="P59" s="26" t="s">
        <v>231</v>
      </c>
      <c r="Q59" s="27" t="s">
        <v>199</v>
      </c>
      <c r="R59" s="52" t="s">
        <v>202</v>
      </c>
      <c r="S59" s="27" t="s">
        <v>201</v>
      </c>
      <c r="T59" s="52" t="s">
        <v>202</v>
      </c>
      <c r="U59" s="30" t="s">
        <v>202</v>
      </c>
      <c r="V59" s="30" t="s">
        <v>202</v>
      </c>
      <c r="W59" s="32" t="s">
        <v>595</v>
      </c>
      <c r="X59" s="51" t="s">
        <v>596</v>
      </c>
      <c r="Y59" s="27">
        <v>20000</v>
      </c>
      <c r="Z59" s="30" t="s">
        <v>100</v>
      </c>
      <c r="AA59" s="27">
        <v>100</v>
      </c>
      <c r="AB59" s="27">
        <v>0</v>
      </c>
      <c r="AC59" s="26" t="s">
        <v>597</v>
      </c>
      <c r="AD59" s="27">
        <v>500</v>
      </c>
      <c r="AE59" s="26" t="s">
        <v>598</v>
      </c>
      <c r="AF59" s="27" t="s">
        <v>93</v>
      </c>
      <c r="AG59" s="33" t="s">
        <v>599</v>
      </c>
      <c r="AH59" s="34" t="s">
        <v>208</v>
      </c>
    </row>
    <row r="60" spans="2:34" ht="112.5" customHeight="1">
      <c r="B60" s="46">
        <f t="shared" si="0"/>
        <v>57</v>
      </c>
      <c r="C60" s="51" t="str">
        <f>"$"&amp;VLOOKUP(LEFT([1]!Table2[[#This Row],[Column2]],2),[1]Definitions!$B$51:$C$66,2,FALSE)&amp;MID([1]!Table2[[#This Row],[Column2]],3,3)&amp;RIGHT([1]!Table2[[#This Row],[Column2]],2)</f>
        <v>$969211</v>
      </c>
      <c r="D60" s="26" t="s">
        <v>600</v>
      </c>
      <c r="E60" s="26" t="s">
        <v>601</v>
      </c>
      <c r="F60" s="27" t="s">
        <v>297</v>
      </c>
      <c r="G60" s="27" t="s">
        <v>74</v>
      </c>
      <c r="H60" s="27" t="s">
        <v>75</v>
      </c>
      <c r="I60" s="27" t="s">
        <v>76</v>
      </c>
      <c r="J60" s="27">
        <v>2</v>
      </c>
      <c r="K60" s="27" t="s">
        <v>77</v>
      </c>
      <c r="L60" s="27" t="s">
        <v>602</v>
      </c>
      <c r="M60" s="49" t="s">
        <v>603</v>
      </c>
      <c r="N60" s="27" t="s">
        <v>604</v>
      </c>
      <c r="O60" s="26" t="s">
        <v>310</v>
      </c>
      <c r="P60" s="26" t="s">
        <v>311</v>
      </c>
      <c r="Q60" s="27" t="s">
        <v>82</v>
      </c>
      <c r="R60" s="71" t="s">
        <v>605</v>
      </c>
      <c r="S60" s="32" t="s">
        <v>178</v>
      </c>
      <c r="T60" s="27" t="s">
        <v>606</v>
      </c>
      <c r="U60" s="27" t="s">
        <v>607</v>
      </c>
      <c r="V60" s="27" t="s">
        <v>608</v>
      </c>
      <c r="W60" s="26" t="s">
        <v>609</v>
      </c>
      <c r="X60" s="32" t="s">
        <v>434</v>
      </c>
      <c r="Y60" s="27">
        <v>5000</v>
      </c>
      <c r="Z60" s="27" t="s">
        <v>90</v>
      </c>
      <c r="AA60" s="27">
        <v>10</v>
      </c>
      <c r="AB60" s="27">
        <v>0</v>
      </c>
      <c r="AC60" s="33" t="s">
        <v>338</v>
      </c>
      <c r="AD60" s="27">
        <v>500</v>
      </c>
      <c r="AE60" s="26" t="s">
        <v>165</v>
      </c>
      <c r="AF60" s="27" t="s">
        <v>93</v>
      </c>
      <c r="AG60" s="51" t="s">
        <v>224</v>
      </c>
      <c r="AH60" s="34" t="s">
        <v>95</v>
      </c>
    </row>
    <row r="61" spans="2:34" ht="112.5" customHeight="1">
      <c r="B61" s="46">
        <f t="shared" si="0"/>
        <v>58</v>
      </c>
      <c r="C61" s="51" t="str">
        <f>"$"&amp;VLOOKUP(LEFT([1]!Table2[[#This Row],[Column2]],2),[1]Definitions!$B$51:$C$66,2,FALSE)&amp;MID([1]!Table2[[#This Row],[Column2]],3,3)&amp;RIGHT([1]!Table2[[#This Row],[Column2]],2)</f>
        <v>$969212</v>
      </c>
      <c r="D61" s="51" t="s">
        <v>610</v>
      </c>
      <c r="E61" s="26" t="s">
        <v>611</v>
      </c>
      <c r="F61" s="27" t="s">
        <v>297</v>
      </c>
      <c r="G61" s="27" t="s">
        <v>74</v>
      </c>
      <c r="H61" s="27" t="s">
        <v>75</v>
      </c>
      <c r="I61" s="27" t="s">
        <v>76</v>
      </c>
      <c r="J61" s="27">
        <v>2</v>
      </c>
      <c r="K61" s="27" t="s">
        <v>77</v>
      </c>
      <c r="L61" s="27" t="s">
        <v>602</v>
      </c>
      <c r="M61" s="49" t="s">
        <v>603</v>
      </c>
      <c r="N61" s="27" t="s">
        <v>604</v>
      </c>
      <c r="O61" s="26" t="s">
        <v>310</v>
      </c>
      <c r="P61" s="26" t="s">
        <v>311</v>
      </c>
      <c r="Q61" s="27" t="s">
        <v>82</v>
      </c>
      <c r="R61" s="71" t="s">
        <v>605</v>
      </c>
      <c r="S61" s="32" t="s">
        <v>178</v>
      </c>
      <c r="T61" s="27" t="s">
        <v>606</v>
      </c>
      <c r="U61" s="30" t="s">
        <v>607</v>
      </c>
      <c r="V61" s="30" t="s">
        <v>608</v>
      </c>
      <c r="W61" s="26" t="s">
        <v>612</v>
      </c>
      <c r="X61" s="32" t="s">
        <v>613</v>
      </c>
      <c r="Y61" s="27">
        <v>5000</v>
      </c>
      <c r="Z61" s="30" t="s">
        <v>100</v>
      </c>
      <c r="AA61" s="27">
        <v>10</v>
      </c>
      <c r="AB61" s="27">
        <v>0</v>
      </c>
      <c r="AC61" s="32" t="s">
        <v>614</v>
      </c>
      <c r="AD61" s="27">
        <v>5000</v>
      </c>
      <c r="AE61" s="26" t="s">
        <v>92</v>
      </c>
      <c r="AF61" s="27" t="s">
        <v>93</v>
      </c>
      <c r="AG61" s="33" t="s">
        <v>615</v>
      </c>
      <c r="AH61" s="34" t="s">
        <v>95</v>
      </c>
    </row>
    <row r="62" spans="2:34" ht="57" customHeight="1">
      <c r="B62" s="46">
        <f t="shared" si="0"/>
        <v>59</v>
      </c>
      <c r="C62" s="25" t="str">
        <f>"$"&amp;VLOOKUP(LEFT([1]!Table2[[#This Row],[Column2]],2),[1]Definitions!$B$51:$C$66,2,FALSE)&amp;MID([1]!Table2[[#This Row],[Column2]],3,3)&amp;RIGHT([1]!Table2[[#This Row],[Column2]],2)</f>
        <v>$96AB11</v>
      </c>
      <c r="D62" s="47" t="s">
        <v>616</v>
      </c>
      <c r="E62" s="47" t="s">
        <v>617</v>
      </c>
      <c r="F62" s="27" t="s">
        <v>73</v>
      </c>
      <c r="G62" s="48" t="s">
        <v>74</v>
      </c>
      <c r="H62" s="48" t="s">
        <v>75</v>
      </c>
      <c r="I62" s="48" t="s">
        <v>76</v>
      </c>
      <c r="J62" s="48">
        <v>2</v>
      </c>
      <c r="K62" s="27" t="s">
        <v>77</v>
      </c>
      <c r="L62" s="27" t="s">
        <v>119</v>
      </c>
      <c r="M62" s="49" t="s">
        <v>120</v>
      </c>
      <c r="N62" s="27" t="s">
        <v>76</v>
      </c>
      <c r="O62" s="26" t="s">
        <v>121</v>
      </c>
      <c r="P62" s="26" t="s">
        <v>618</v>
      </c>
      <c r="Q62" s="27" t="s">
        <v>82</v>
      </c>
      <c r="R62" s="48" t="s">
        <v>619</v>
      </c>
      <c r="S62" s="27" t="s">
        <v>84</v>
      </c>
      <c r="T62" s="58" t="s">
        <v>620</v>
      </c>
      <c r="U62" s="30" t="s">
        <v>621</v>
      </c>
      <c r="V62" s="30" t="s">
        <v>622</v>
      </c>
      <c r="W62" s="26" t="s">
        <v>623</v>
      </c>
      <c r="X62" s="32" t="s">
        <v>163</v>
      </c>
      <c r="Y62" s="27">
        <v>5000</v>
      </c>
      <c r="Z62" s="30" t="s">
        <v>90</v>
      </c>
      <c r="AA62" s="27">
        <v>10</v>
      </c>
      <c r="AB62" s="27">
        <v>0</v>
      </c>
      <c r="AC62" s="33" t="s">
        <v>164</v>
      </c>
      <c r="AD62" s="27">
        <v>500</v>
      </c>
      <c r="AE62" s="26" t="s">
        <v>92</v>
      </c>
      <c r="AF62" s="27" t="s">
        <v>93</v>
      </c>
      <c r="AG62" s="32" t="s">
        <v>624</v>
      </c>
      <c r="AH62" s="34" t="s">
        <v>95</v>
      </c>
    </row>
    <row r="63" spans="2:34" ht="49.5" customHeight="1">
      <c r="B63" s="46">
        <f t="shared" si="0"/>
        <v>60</v>
      </c>
      <c r="C63" s="25" t="str">
        <f>"$"&amp;VLOOKUP(LEFT([1]!Table2[[#This Row],[Column2]],2),[1]Definitions!$B$51:$C$66,2,FALSE)&amp;MID([1]!Table2[[#This Row],[Column2]],3,3)&amp;RIGHT([1]!Table2[[#This Row],[Column2]],2)</f>
        <v>$96AF11</v>
      </c>
      <c r="D63" s="47" t="s">
        <v>625</v>
      </c>
      <c r="E63" s="47" t="s">
        <v>626</v>
      </c>
      <c r="F63" s="27" t="s">
        <v>297</v>
      </c>
      <c r="G63" s="48" t="s">
        <v>74</v>
      </c>
      <c r="H63" s="48" t="s">
        <v>75</v>
      </c>
      <c r="I63" s="48" t="s">
        <v>76</v>
      </c>
      <c r="J63" s="48">
        <v>2</v>
      </c>
      <c r="K63" s="27" t="s">
        <v>77</v>
      </c>
      <c r="L63" s="27" t="s">
        <v>627</v>
      </c>
      <c r="M63" s="49" t="s">
        <v>628</v>
      </c>
      <c r="N63" s="25" t="s">
        <v>629</v>
      </c>
      <c r="O63" s="26" t="s">
        <v>310</v>
      </c>
      <c r="P63" s="26" t="s">
        <v>311</v>
      </c>
      <c r="Q63" s="27" t="s">
        <v>82</v>
      </c>
      <c r="R63" s="48" t="s">
        <v>630</v>
      </c>
      <c r="S63" s="27" t="s">
        <v>84</v>
      </c>
      <c r="T63" s="48" t="s">
        <v>468</v>
      </c>
      <c r="U63" s="30" t="s">
        <v>469</v>
      </c>
      <c r="V63" s="30" t="s">
        <v>470</v>
      </c>
      <c r="W63" s="33" t="s">
        <v>631</v>
      </c>
      <c r="X63" s="32" t="s">
        <v>434</v>
      </c>
      <c r="Y63" s="27">
        <v>5000</v>
      </c>
      <c r="Z63" s="30" t="s">
        <v>90</v>
      </c>
      <c r="AA63" s="27">
        <v>10</v>
      </c>
      <c r="AB63" s="27">
        <v>0</v>
      </c>
      <c r="AC63" s="33" t="s">
        <v>435</v>
      </c>
      <c r="AD63" s="27">
        <v>500</v>
      </c>
      <c r="AE63" s="33" t="s">
        <v>632</v>
      </c>
      <c r="AF63" s="27" t="s">
        <v>93</v>
      </c>
      <c r="AG63" s="51" t="s">
        <v>633</v>
      </c>
      <c r="AH63" s="34" t="s">
        <v>208</v>
      </c>
    </row>
    <row r="64" spans="2:34" ht="194.1" customHeight="1">
      <c r="B64" s="46">
        <f t="shared" si="0"/>
        <v>61</v>
      </c>
      <c r="C64" s="25" t="str">
        <f>"$"&amp;VLOOKUP(LEFT([1]!Table2[[#This Row],[Column2]],2),[1]Definitions!$B$51:$C$66,2,FALSE)&amp;MID([1]!Table2[[#This Row],[Column2]],3,3)&amp;RIGHT([1]!Table2[[#This Row],[Column2]],2)</f>
        <v>$96AF12</v>
      </c>
      <c r="D64" s="33" t="s">
        <v>634</v>
      </c>
      <c r="E64" s="33" t="s">
        <v>635</v>
      </c>
      <c r="F64" s="27" t="s">
        <v>297</v>
      </c>
      <c r="G64" s="48" t="s">
        <v>74</v>
      </c>
      <c r="H64" s="48" t="s">
        <v>75</v>
      </c>
      <c r="I64" s="48" t="s">
        <v>76</v>
      </c>
      <c r="J64" s="48">
        <v>2</v>
      </c>
      <c r="K64" s="27" t="s">
        <v>77</v>
      </c>
      <c r="L64" s="27" t="s">
        <v>627</v>
      </c>
      <c r="M64" s="49" t="s">
        <v>628</v>
      </c>
      <c r="N64" s="25" t="s">
        <v>629</v>
      </c>
      <c r="O64" s="26" t="s">
        <v>310</v>
      </c>
      <c r="P64" s="26" t="s">
        <v>311</v>
      </c>
      <c r="Q64" s="27" t="s">
        <v>82</v>
      </c>
      <c r="R64" s="48" t="s">
        <v>630</v>
      </c>
      <c r="S64" s="71" t="s">
        <v>84</v>
      </c>
      <c r="T64" s="48" t="s">
        <v>468</v>
      </c>
      <c r="U64" s="30" t="s">
        <v>469</v>
      </c>
      <c r="V64" s="30" t="s">
        <v>470</v>
      </c>
      <c r="W64" s="33" t="s">
        <v>636</v>
      </c>
      <c r="X64" s="32" t="s">
        <v>637</v>
      </c>
      <c r="Y64" s="27">
        <v>5000</v>
      </c>
      <c r="Z64" s="30" t="s">
        <v>100</v>
      </c>
      <c r="AA64" s="27">
        <v>10</v>
      </c>
      <c r="AB64" s="27">
        <v>0</v>
      </c>
      <c r="AC64" s="33" t="s">
        <v>638</v>
      </c>
      <c r="AD64" s="27">
        <v>5000</v>
      </c>
      <c r="AE64" s="33" t="s">
        <v>92</v>
      </c>
      <c r="AF64" s="27" t="s">
        <v>93</v>
      </c>
      <c r="AG64" s="62" t="s">
        <v>633</v>
      </c>
      <c r="AH64" s="34" t="s">
        <v>208</v>
      </c>
    </row>
    <row r="65" spans="2:34" ht="190.35" customHeight="1">
      <c r="B65" s="46">
        <f t="shared" si="0"/>
        <v>62</v>
      </c>
      <c r="C65" s="25" t="str">
        <f>"$"&amp;VLOOKUP(LEFT([1]!Table2[[#This Row],[Column2]],2),[1]Definitions!$B$51:$C$66,2,FALSE)&amp;MID([1]!Table2[[#This Row],[Column2]],3,3)&amp;RIGHT([1]!Table2[[#This Row],[Column2]],2)</f>
        <v>$96B311</v>
      </c>
      <c r="D65" s="47" t="s">
        <v>639</v>
      </c>
      <c r="E65" s="47" t="s">
        <v>640</v>
      </c>
      <c r="F65" s="27" t="s">
        <v>297</v>
      </c>
      <c r="G65" s="48" t="s">
        <v>74</v>
      </c>
      <c r="H65" s="48" t="s">
        <v>75</v>
      </c>
      <c r="I65" s="48" t="s">
        <v>76</v>
      </c>
      <c r="J65" s="48">
        <v>2</v>
      </c>
      <c r="K65" s="27" t="s">
        <v>77</v>
      </c>
      <c r="L65" s="27" t="s">
        <v>627</v>
      </c>
      <c r="M65" s="49" t="s">
        <v>641</v>
      </c>
      <c r="N65" s="32" t="s">
        <v>642</v>
      </c>
      <c r="O65" s="26" t="s">
        <v>310</v>
      </c>
      <c r="P65" s="26" t="s">
        <v>311</v>
      </c>
      <c r="Q65" s="27" t="s">
        <v>82</v>
      </c>
      <c r="R65" s="48" t="s">
        <v>643</v>
      </c>
      <c r="S65" s="27" t="s">
        <v>84</v>
      </c>
      <c r="T65" s="48" t="s">
        <v>522</v>
      </c>
      <c r="U65" s="30" t="s">
        <v>523</v>
      </c>
      <c r="V65" s="30" t="s">
        <v>470</v>
      </c>
      <c r="W65" s="33" t="s">
        <v>644</v>
      </c>
      <c r="X65" s="32" t="s">
        <v>434</v>
      </c>
      <c r="Y65" s="27">
        <v>5000</v>
      </c>
      <c r="Z65" s="30" t="s">
        <v>90</v>
      </c>
      <c r="AA65" s="27">
        <v>10</v>
      </c>
      <c r="AB65" s="27">
        <v>0</v>
      </c>
      <c r="AC65" s="33" t="s">
        <v>435</v>
      </c>
      <c r="AD65" s="27">
        <v>500</v>
      </c>
      <c r="AE65" s="32" t="s">
        <v>632</v>
      </c>
      <c r="AF65" s="27" t="s">
        <v>93</v>
      </c>
      <c r="AG65" s="56" t="s">
        <v>633</v>
      </c>
      <c r="AH65" s="34" t="s">
        <v>208</v>
      </c>
    </row>
    <row r="66" spans="2:34" ht="112.5" customHeight="1">
      <c r="B66" s="46">
        <f t="shared" si="0"/>
        <v>63</v>
      </c>
      <c r="C66" s="25" t="str">
        <f>"$"&amp;VLOOKUP(LEFT([1]!Table2[[#This Row],[Column2]],2),[1]Definitions!$B$51:$C$66,2,FALSE)&amp;MID([1]!Table2[[#This Row],[Column2]],3,3)&amp;RIGHT([1]!Table2[[#This Row],[Column2]],2)</f>
        <v>$96B312</v>
      </c>
      <c r="D66" s="33" t="s">
        <v>645</v>
      </c>
      <c r="E66" s="33" t="s">
        <v>646</v>
      </c>
      <c r="F66" s="27" t="s">
        <v>297</v>
      </c>
      <c r="G66" s="48" t="s">
        <v>74</v>
      </c>
      <c r="H66" s="48" t="s">
        <v>75</v>
      </c>
      <c r="I66" s="48" t="s">
        <v>76</v>
      </c>
      <c r="J66" s="48">
        <v>2</v>
      </c>
      <c r="K66" s="27" t="s">
        <v>77</v>
      </c>
      <c r="L66" s="27" t="s">
        <v>627</v>
      </c>
      <c r="M66" s="49" t="s">
        <v>641</v>
      </c>
      <c r="N66" s="32" t="s">
        <v>642</v>
      </c>
      <c r="O66" s="26" t="s">
        <v>310</v>
      </c>
      <c r="P66" s="26" t="s">
        <v>311</v>
      </c>
      <c r="Q66" s="27" t="s">
        <v>82</v>
      </c>
      <c r="R66" s="48" t="s">
        <v>643</v>
      </c>
      <c r="S66" s="27" t="s">
        <v>84</v>
      </c>
      <c r="T66" s="48" t="s">
        <v>522</v>
      </c>
      <c r="U66" s="30" t="s">
        <v>523</v>
      </c>
      <c r="V66" s="30" t="s">
        <v>470</v>
      </c>
      <c r="W66" s="33" t="s">
        <v>647</v>
      </c>
      <c r="X66" s="32" t="s">
        <v>648</v>
      </c>
      <c r="Y66" s="27">
        <v>5000</v>
      </c>
      <c r="Z66" s="30" t="s">
        <v>100</v>
      </c>
      <c r="AA66" s="27">
        <v>10</v>
      </c>
      <c r="AB66" s="27">
        <v>0</v>
      </c>
      <c r="AC66" s="33" t="s">
        <v>638</v>
      </c>
      <c r="AD66" s="27">
        <v>5000</v>
      </c>
      <c r="AE66" s="33" t="s">
        <v>92</v>
      </c>
      <c r="AF66" s="27" t="s">
        <v>93</v>
      </c>
      <c r="AG66" s="56" t="s">
        <v>649</v>
      </c>
      <c r="AH66" s="34" t="s">
        <v>208</v>
      </c>
    </row>
    <row r="67" spans="2:34" ht="112.5" customHeight="1">
      <c r="B67" s="46">
        <f t="shared" si="0"/>
        <v>64</v>
      </c>
      <c r="C67" s="51" t="str">
        <f>"$"&amp;VLOOKUP(LEFT([1]!Table2[[#This Row],[Column2]],2),[1]Definitions!$B$51:$C$66,2,FALSE)&amp;MID([1]!Table2[[#This Row],[Column2]],3,3)&amp;RIGHT([1]!Table2[[#This Row],[Column2]],2)</f>
        <v>$96B711</v>
      </c>
      <c r="D67" s="26" t="s">
        <v>650</v>
      </c>
      <c r="E67" s="26" t="s">
        <v>651</v>
      </c>
      <c r="F67" s="27" t="s">
        <v>297</v>
      </c>
      <c r="G67" s="27" t="s">
        <v>74</v>
      </c>
      <c r="H67" s="27" t="s">
        <v>75</v>
      </c>
      <c r="I67" s="27" t="s">
        <v>76</v>
      </c>
      <c r="J67" s="27">
        <v>2</v>
      </c>
      <c r="K67" s="27" t="s">
        <v>77</v>
      </c>
      <c r="L67" s="27" t="s">
        <v>627</v>
      </c>
      <c r="M67" s="49" t="s">
        <v>652</v>
      </c>
      <c r="N67" s="27" t="s">
        <v>653</v>
      </c>
      <c r="O67" s="26" t="s">
        <v>310</v>
      </c>
      <c r="P67" s="26" t="s">
        <v>311</v>
      </c>
      <c r="Q67" s="27" t="s">
        <v>82</v>
      </c>
      <c r="R67" s="27" t="s">
        <v>654</v>
      </c>
      <c r="S67" s="27" t="s">
        <v>84</v>
      </c>
      <c r="T67" s="27" t="s">
        <v>655</v>
      </c>
      <c r="U67" s="30" t="s">
        <v>656</v>
      </c>
      <c r="V67" s="30" t="s">
        <v>657</v>
      </c>
      <c r="W67" s="26" t="s">
        <v>128</v>
      </c>
      <c r="X67" s="62" t="s">
        <v>163</v>
      </c>
      <c r="Y67" s="27">
        <v>5000</v>
      </c>
      <c r="Z67" s="30" t="s">
        <v>90</v>
      </c>
      <c r="AA67" s="27">
        <v>10</v>
      </c>
      <c r="AB67" s="27">
        <v>0</v>
      </c>
      <c r="AC67" s="33" t="s">
        <v>338</v>
      </c>
      <c r="AD67" s="27">
        <v>500</v>
      </c>
      <c r="AE67" s="26" t="s">
        <v>165</v>
      </c>
      <c r="AF67" s="27" t="s">
        <v>93</v>
      </c>
      <c r="AG67" s="56" t="s">
        <v>633</v>
      </c>
      <c r="AH67" s="34" t="s">
        <v>95</v>
      </c>
    </row>
    <row r="68" spans="2:34" ht="78.75" customHeight="1">
      <c r="B68" s="46">
        <f t="shared" ref="B68:B131" si="1">ROW()-3</f>
        <v>65</v>
      </c>
      <c r="C68" s="25" t="str">
        <f>"$"&amp;VLOOKUP(LEFT([1]!Table2[[#This Row],[Column2]],2),[1]Definitions!$B$51:$C$66,2,FALSE)&amp;MID([1]!Table2[[#This Row],[Column2]],3,3)&amp;RIGHT([1]!Table2[[#This Row],[Column2]],2)</f>
        <v>$96B764</v>
      </c>
      <c r="D68" s="72" t="s">
        <v>658</v>
      </c>
      <c r="E68" s="33" t="s">
        <v>659</v>
      </c>
      <c r="F68" s="27" t="s">
        <v>227</v>
      </c>
      <c r="G68" s="27" t="s">
        <v>74</v>
      </c>
      <c r="H68" s="27" t="s">
        <v>75</v>
      </c>
      <c r="I68" s="27" t="s">
        <v>76</v>
      </c>
      <c r="J68" s="27">
        <v>2</v>
      </c>
      <c r="K68" s="27" t="s">
        <v>77</v>
      </c>
      <c r="L68" s="73" t="s">
        <v>215</v>
      </c>
      <c r="M68" s="49" t="s">
        <v>660</v>
      </c>
      <c r="N68" s="27" t="s">
        <v>661</v>
      </c>
      <c r="O68" s="26" t="s">
        <v>662</v>
      </c>
      <c r="P68" s="26" t="s">
        <v>663</v>
      </c>
      <c r="Q68" s="27" t="s">
        <v>199</v>
      </c>
      <c r="R68" s="27" t="s">
        <v>202</v>
      </c>
      <c r="S68" s="27" t="s">
        <v>201</v>
      </c>
      <c r="T68" s="27" t="s">
        <v>664</v>
      </c>
      <c r="U68" s="30" t="s">
        <v>202</v>
      </c>
      <c r="V68" s="30" t="s">
        <v>202</v>
      </c>
      <c r="W68" s="33" t="s">
        <v>665</v>
      </c>
      <c r="X68" s="32" t="s">
        <v>666</v>
      </c>
      <c r="Y68" s="27">
        <v>7500</v>
      </c>
      <c r="Z68" s="30" t="s">
        <v>100</v>
      </c>
      <c r="AA68" s="27">
        <v>100</v>
      </c>
      <c r="AB68" s="27">
        <v>0</v>
      </c>
      <c r="AC68" s="33" t="s">
        <v>667</v>
      </c>
      <c r="AD68" s="27">
        <v>500</v>
      </c>
      <c r="AE68" s="26" t="s">
        <v>92</v>
      </c>
      <c r="AF68" s="27" t="s">
        <v>93</v>
      </c>
      <c r="AG68" s="55" t="s">
        <v>668</v>
      </c>
      <c r="AH68" s="34" t="s">
        <v>95</v>
      </c>
    </row>
    <row r="69" spans="2:34" ht="142.5" customHeight="1">
      <c r="B69" s="46">
        <f t="shared" si="1"/>
        <v>66</v>
      </c>
      <c r="C69" s="25" t="str">
        <f>"$"&amp;VLOOKUP(LEFT([1]!Table2[[#This Row],[Column2]],2),[1]Definitions!$B$51:$C$66,2,FALSE)&amp;MID([1]!Table2[[#This Row],[Column2]],3,3)&amp;RIGHT([1]!Table2[[#This Row],[Column2]],2)</f>
        <v>$96B787</v>
      </c>
      <c r="D69" s="72" t="s">
        <v>669</v>
      </c>
      <c r="E69" s="33" t="s">
        <v>670</v>
      </c>
      <c r="F69" s="27" t="s">
        <v>199</v>
      </c>
      <c r="G69" s="27" t="s">
        <v>74</v>
      </c>
      <c r="H69" s="27" t="s">
        <v>75</v>
      </c>
      <c r="I69" s="27" t="s">
        <v>76</v>
      </c>
      <c r="J69" s="27">
        <v>2</v>
      </c>
      <c r="K69" s="27" t="s">
        <v>77</v>
      </c>
      <c r="L69" s="73" t="s">
        <v>671</v>
      </c>
      <c r="M69" s="49" t="s">
        <v>660</v>
      </c>
      <c r="N69" s="27" t="s">
        <v>663</v>
      </c>
      <c r="O69" s="26" t="s">
        <v>218</v>
      </c>
      <c r="P69" s="26" t="s">
        <v>219</v>
      </c>
      <c r="Q69" s="27" t="s">
        <v>199</v>
      </c>
      <c r="R69" s="27" t="s">
        <v>202</v>
      </c>
      <c r="S69" s="27" t="s">
        <v>201</v>
      </c>
      <c r="T69" s="27" t="s">
        <v>202</v>
      </c>
      <c r="U69" s="30" t="s">
        <v>202</v>
      </c>
      <c r="V69" s="30" t="s">
        <v>202</v>
      </c>
      <c r="W69" s="33" t="s">
        <v>672</v>
      </c>
      <c r="X69" s="32" t="s">
        <v>673</v>
      </c>
      <c r="Y69" s="27">
        <v>2500</v>
      </c>
      <c r="Z69" s="30" t="s">
        <v>100</v>
      </c>
      <c r="AA69" s="27">
        <v>100</v>
      </c>
      <c r="AB69" s="27">
        <v>0</v>
      </c>
      <c r="AC69" s="26" t="s">
        <v>674</v>
      </c>
      <c r="AD69" s="27">
        <v>500</v>
      </c>
      <c r="AE69" s="26" t="s">
        <v>92</v>
      </c>
      <c r="AF69" s="27" t="s">
        <v>93</v>
      </c>
      <c r="AG69" s="26" t="s">
        <v>668</v>
      </c>
      <c r="AH69" s="34" t="s">
        <v>95</v>
      </c>
    </row>
    <row r="70" spans="2:34" ht="112.5" customHeight="1">
      <c r="B70" s="46">
        <f t="shared" si="1"/>
        <v>67</v>
      </c>
      <c r="C70" s="25" t="str">
        <f>"$"&amp;VLOOKUP(LEFT([1]!Table2[[#This Row],[Column2]],2),[1]Definitions!$B$51:$C$66,2,FALSE)&amp;MID([1]!Table2[[#This Row],[Column2]],3,3)&amp;RIGHT([1]!Table2[[#This Row],[Column2]],2)</f>
        <v>$96BF11</v>
      </c>
      <c r="D70" s="47" t="s">
        <v>675</v>
      </c>
      <c r="E70" s="47" t="s">
        <v>676</v>
      </c>
      <c r="F70" s="27" t="s">
        <v>297</v>
      </c>
      <c r="G70" s="52" t="s">
        <v>74</v>
      </c>
      <c r="H70" s="52" t="s">
        <v>75</v>
      </c>
      <c r="I70" s="52" t="s">
        <v>76</v>
      </c>
      <c r="J70" s="52">
        <v>2</v>
      </c>
      <c r="K70" s="27" t="s">
        <v>77</v>
      </c>
      <c r="L70" s="27" t="s">
        <v>228</v>
      </c>
      <c r="M70" s="49" t="s">
        <v>677</v>
      </c>
      <c r="N70" s="27" t="s">
        <v>678</v>
      </c>
      <c r="O70" s="26" t="s">
        <v>310</v>
      </c>
      <c r="P70" s="26" t="s">
        <v>311</v>
      </c>
      <c r="Q70" s="27" t="s">
        <v>82</v>
      </c>
      <c r="R70" s="52" t="s">
        <v>679</v>
      </c>
      <c r="S70" s="27" t="s">
        <v>84</v>
      </c>
      <c r="T70" s="52" t="s">
        <v>680</v>
      </c>
      <c r="U70" s="54" t="s">
        <v>681</v>
      </c>
      <c r="V70" s="30" t="s">
        <v>682</v>
      </c>
      <c r="W70" s="33" t="s">
        <v>683</v>
      </c>
      <c r="X70" s="32" t="s">
        <v>163</v>
      </c>
      <c r="Y70" s="27">
        <v>5000</v>
      </c>
      <c r="Z70" s="30" t="s">
        <v>90</v>
      </c>
      <c r="AA70" s="27">
        <v>10</v>
      </c>
      <c r="AB70" s="27">
        <v>0</v>
      </c>
      <c r="AC70" s="33" t="s">
        <v>164</v>
      </c>
      <c r="AD70" s="27">
        <v>500</v>
      </c>
      <c r="AE70" s="26" t="s">
        <v>684</v>
      </c>
      <c r="AF70" s="27" t="s">
        <v>93</v>
      </c>
      <c r="AG70" s="32" t="s">
        <v>685</v>
      </c>
      <c r="AH70" s="34" t="s">
        <v>208</v>
      </c>
    </row>
    <row r="71" spans="2:34" ht="112.5" customHeight="1">
      <c r="B71" s="46">
        <f t="shared" si="1"/>
        <v>68</v>
      </c>
      <c r="C71" s="25" t="str">
        <f>"$"&amp;VLOOKUP(LEFT([1]!Table2[[#This Row],[Column2]],2),[1]Definitions!$B$51:$C$66,2,FALSE)&amp;MID([1]!Table2[[#This Row],[Column2]],3,3)&amp;RIGHT([1]!Table2[[#This Row],[Column2]],2)</f>
        <v>$96C311</v>
      </c>
      <c r="D71" s="47" t="s">
        <v>686</v>
      </c>
      <c r="E71" s="47" t="s">
        <v>687</v>
      </c>
      <c r="F71" s="27" t="s">
        <v>297</v>
      </c>
      <c r="G71" s="52" t="s">
        <v>74</v>
      </c>
      <c r="H71" s="52" t="s">
        <v>75</v>
      </c>
      <c r="I71" s="52" t="s">
        <v>76</v>
      </c>
      <c r="J71" s="52">
        <v>2</v>
      </c>
      <c r="K71" s="27" t="s">
        <v>77</v>
      </c>
      <c r="L71" s="27" t="s">
        <v>228</v>
      </c>
      <c r="M71" s="49" t="s">
        <v>688</v>
      </c>
      <c r="N71" s="27" t="s">
        <v>689</v>
      </c>
      <c r="O71" s="26" t="s">
        <v>310</v>
      </c>
      <c r="P71" s="26" t="s">
        <v>311</v>
      </c>
      <c r="Q71" s="27" t="s">
        <v>82</v>
      </c>
      <c r="R71" s="52" t="s">
        <v>690</v>
      </c>
      <c r="S71" s="27" t="s">
        <v>84</v>
      </c>
      <c r="T71" s="52" t="s">
        <v>691</v>
      </c>
      <c r="U71" s="54" t="s">
        <v>692</v>
      </c>
      <c r="V71" s="30" t="s">
        <v>693</v>
      </c>
      <c r="W71" s="47" t="s">
        <v>694</v>
      </c>
      <c r="X71" s="32" t="s">
        <v>163</v>
      </c>
      <c r="Y71" s="27">
        <v>5000</v>
      </c>
      <c r="Z71" s="30" t="s">
        <v>90</v>
      </c>
      <c r="AA71" s="27">
        <v>10</v>
      </c>
      <c r="AB71" s="27">
        <v>0</v>
      </c>
      <c r="AC71" s="33" t="s">
        <v>164</v>
      </c>
      <c r="AD71" s="27">
        <v>500</v>
      </c>
      <c r="AE71" s="26" t="s">
        <v>695</v>
      </c>
      <c r="AF71" s="27" t="s">
        <v>93</v>
      </c>
      <c r="AG71" s="32" t="s">
        <v>685</v>
      </c>
      <c r="AH71" s="34" t="s">
        <v>208</v>
      </c>
    </row>
    <row r="72" spans="2:34" ht="112.5" customHeight="1">
      <c r="B72" s="74">
        <f t="shared" si="1"/>
        <v>69</v>
      </c>
      <c r="C72" s="25" t="str">
        <f>"$"&amp;VLOOKUP(LEFT([1]!Table2[[#This Row],[Column2]],2),[1]Definitions!$B$51:$C$66,2,FALSE)&amp;MID([1]!Table2[[#This Row],[Column2]],3,3)&amp;RIGHT([1]!Table2[[#This Row],[Column2]],2)</f>
        <v>$96C711</v>
      </c>
      <c r="D72" s="47" t="s">
        <v>696</v>
      </c>
      <c r="E72" s="47" t="s">
        <v>697</v>
      </c>
      <c r="F72" s="27" t="s">
        <v>297</v>
      </c>
      <c r="G72" s="52" t="s">
        <v>74</v>
      </c>
      <c r="H72" s="52" t="s">
        <v>75</v>
      </c>
      <c r="I72" s="52" t="s">
        <v>76</v>
      </c>
      <c r="J72" s="52">
        <v>2</v>
      </c>
      <c r="K72" s="27" t="s">
        <v>77</v>
      </c>
      <c r="L72" s="27" t="s">
        <v>228</v>
      </c>
      <c r="M72" s="49" t="s">
        <v>698</v>
      </c>
      <c r="N72" s="27" t="s">
        <v>678</v>
      </c>
      <c r="O72" s="26" t="s">
        <v>310</v>
      </c>
      <c r="P72" s="26" t="s">
        <v>311</v>
      </c>
      <c r="Q72" s="27" t="s">
        <v>82</v>
      </c>
      <c r="R72" s="52" t="s">
        <v>679</v>
      </c>
      <c r="S72" s="27" t="s">
        <v>84</v>
      </c>
      <c r="T72" s="52" t="s">
        <v>699</v>
      </c>
      <c r="U72" s="30" t="s">
        <v>700</v>
      </c>
      <c r="V72" s="30" t="s">
        <v>701</v>
      </c>
      <c r="W72" s="26" t="s">
        <v>702</v>
      </c>
      <c r="X72" s="32" t="s">
        <v>163</v>
      </c>
      <c r="Y72" s="27">
        <v>5000</v>
      </c>
      <c r="Z72" s="30" t="s">
        <v>90</v>
      </c>
      <c r="AA72" s="27">
        <v>10</v>
      </c>
      <c r="AB72" s="27">
        <v>0</v>
      </c>
      <c r="AC72" s="33" t="s">
        <v>164</v>
      </c>
      <c r="AD72" s="27">
        <v>500</v>
      </c>
      <c r="AE72" s="26" t="s">
        <v>684</v>
      </c>
      <c r="AF72" s="27" t="s">
        <v>93</v>
      </c>
      <c r="AG72" s="62" t="s">
        <v>703</v>
      </c>
      <c r="AH72" s="34" t="s">
        <v>208</v>
      </c>
    </row>
    <row r="73" spans="2:34" ht="99.75" customHeight="1">
      <c r="B73" s="46">
        <f t="shared" si="1"/>
        <v>70</v>
      </c>
      <c r="C73" s="25" t="str">
        <f>"$"&amp;VLOOKUP(LEFT([1]!Table2[[#This Row],[Column2]],2),[1]Definitions!$B$51:$C$66,2,FALSE)&amp;MID([1]!Table2[[#This Row],[Column2]],3,3)&amp;RIGHT([1]!Table2[[#This Row],[Column2]],2)</f>
        <v>$96CB11</v>
      </c>
      <c r="D73" s="47" t="s">
        <v>704</v>
      </c>
      <c r="E73" s="47" t="s">
        <v>705</v>
      </c>
      <c r="F73" s="27" t="s">
        <v>297</v>
      </c>
      <c r="G73" s="52" t="s">
        <v>74</v>
      </c>
      <c r="H73" s="52" t="s">
        <v>75</v>
      </c>
      <c r="I73" s="52" t="s">
        <v>76</v>
      </c>
      <c r="J73" s="52">
        <v>2</v>
      </c>
      <c r="K73" s="27" t="s">
        <v>77</v>
      </c>
      <c r="L73" s="27" t="s">
        <v>228</v>
      </c>
      <c r="M73" s="49" t="s">
        <v>688</v>
      </c>
      <c r="N73" s="27" t="s">
        <v>689</v>
      </c>
      <c r="O73" s="26" t="s">
        <v>310</v>
      </c>
      <c r="P73" s="26" t="s">
        <v>311</v>
      </c>
      <c r="Q73" s="27" t="s">
        <v>82</v>
      </c>
      <c r="R73" s="52" t="s">
        <v>690</v>
      </c>
      <c r="S73" s="27" t="s">
        <v>84</v>
      </c>
      <c r="T73" s="52" t="s">
        <v>706</v>
      </c>
      <c r="U73" s="30" t="s">
        <v>707</v>
      </c>
      <c r="V73" s="30" t="s">
        <v>708</v>
      </c>
      <c r="W73" s="33" t="s">
        <v>709</v>
      </c>
      <c r="X73" s="32" t="s">
        <v>163</v>
      </c>
      <c r="Y73" s="27">
        <v>5000</v>
      </c>
      <c r="Z73" s="30" t="s">
        <v>90</v>
      </c>
      <c r="AA73" s="27">
        <v>10</v>
      </c>
      <c r="AB73" s="27">
        <v>0</v>
      </c>
      <c r="AC73" s="33" t="s">
        <v>164</v>
      </c>
      <c r="AD73" s="27">
        <v>500</v>
      </c>
      <c r="AE73" s="26" t="s">
        <v>695</v>
      </c>
      <c r="AF73" s="27" t="s">
        <v>93</v>
      </c>
      <c r="AG73" s="62" t="s">
        <v>703</v>
      </c>
      <c r="AH73" s="34" t="s">
        <v>208</v>
      </c>
    </row>
    <row r="74" spans="2:34" ht="174" customHeight="1">
      <c r="B74" s="46">
        <f t="shared" si="1"/>
        <v>71</v>
      </c>
      <c r="C74" s="51" t="str">
        <f>"$"&amp;VLOOKUP(LEFT([1]!Table2[[#This Row],[Column2]],2),[1]Definitions!$B$51:$C$66,2,FALSE)&amp;MID([1]!Table2[[#This Row],[Column2]],3,3)&amp;RIGHT([1]!Table2[[#This Row],[Column2]],2)</f>
        <v>$96D711</v>
      </c>
      <c r="D74" s="26" t="s">
        <v>710</v>
      </c>
      <c r="E74" s="26" t="s">
        <v>711</v>
      </c>
      <c r="F74" s="27" t="s">
        <v>297</v>
      </c>
      <c r="G74" s="27" t="s">
        <v>74</v>
      </c>
      <c r="H74" s="27" t="s">
        <v>75</v>
      </c>
      <c r="I74" s="27" t="s">
        <v>76</v>
      </c>
      <c r="J74" s="27">
        <v>2</v>
      </c>
      <c r="K74" s="27" t="s">
        <v>77</v>
      </c>
      <c r="L74" s="27" t="s">
        <v>228</v>
      </c>
      <c r="M74" s="49" t="s">
        <v>712</v>
      </c>
      <c r="N74" s="27" t="s">
        <v>713</v>
      </c>
      <c r="O74" s="26" t="s">
        <v>310</v>
      </c>
      <c r="P74" s="26" t="s">
        <v>311</v>
      </c>
      <c r="Q74" s="27" t="s">
        <v>82</v>
      </c>
      <c r="R74" s="27" t="s">
        <v>714</v>
      </c>
      <c r="S74" s="27" t="s">
        <v>84</v>
      </c>
      <c r="T74" s="54" t="s">
        <v>715</v>
      </c>
      <c r="U74" s="54" t="s">
        <v>716</v>
      </c>
      <c r="V74" s="30" t="s">
        <v>717</v>
      </c>
      <c r="W74" s="33" t="s">
        <v>718</v>
      </c>
      <c r="X74" s="62" t="s">
        <v>163</v>
      </c>
      <c r="Y74" s="27">
        <v>5000</v>
      </c>
      <c r="Z74" s="30" t="s">
        <v>90</v>
      </c>
      <c r="AA74" s="27">
        <v>10</v>
      </c>
      <c r="AB74" s="27">
        <v>0</v>
      </c>
      <c r="AC74" s="33" t="s">
        <v>338</v>
      </c>
      <c r="AD74" s="27">
        <v>500</v>
      </c>
      <c r="AE74" s="26" t="s">
        <v>165</v>
      </c>
      <c r="AF74" s="27" t="s">
        <v>93</v>
      </c>
      <c r="AG74" s="51" t="s">
        <v>224</v>
      </c>
      <c r="AH74" s="34" t="s">
        <v>95</v>
      </c>
    </row>
    <row r="75" spans="2:34" ht="84" customHeight="1">
      <c r="B75" s="46">
        <f t="shared" si="1"/>
        <v>72</v>
      </c>
      <c r="C75" s="51" t="str">
        <f>"$"&amp;VLOOKUP(LEFT([1]!Table2[[#This Row],[Column2]],2),[1]Definitions!$B$51:$C$66,2,FALSE)&amp;MID([1]!Table2[[#This Row],[Column2]],3,3)&amp;RIGHT([1]!Table2[[#This Row],[Column2]],2)</f>
        <v>$96DF11</v>
      </c>
      <c r="D75" s="26" t="s">
        <v>719</v>
      </c>
      <c r="E75" s="26" t="s">
        <v>720</v>
      </c>
      <c r="F75" s="27" t="s">
        <v>297</v>
      </c>
      <c r="G75" s="27" t="s">
        <v>74</v>
      </c>
      <c r="H75" s="27" t="s">
        <v>75</v>
      </c>
      <c r="I75" s="27" t="s">
        <v>76</v>
      </c>
      <c r="J75" s="27">
        <v>2</v>
      </c>
      <c r="K75" s="27" t="s">
        <v>77</v>
      </c>
      <c r="L75" s="27" t="s">
        <v>228</v>
      </c>
      <c r="M75" s="49" t="s">
        <v>712</v>
      </c>
      <c r="N75" s="27" t="s">
        <v>721</v>
      </c>
      <c r="O75" s="26" t="s">
        <v>310</v>
      </c>
      <c r="P75" s="26" t="s">
        <v>311</v>
      </c>
      <c r="Q75" s="27" t="s">
        <v>82</v>
      </c>
      <c r="R75" s="27" t="s">
        <v>722</v>
      </c>
      <c r="S75" s="27" t="s">
        <v>84</v>
      </c>
      <c r="T75" s="54" t="s">
        <v>723</v>
      </c>
      <c r="U75" s="54" t="s">
        <v>724</v>
      </c>
      <c r="V75" s="30" t="s">
        <v>725</v>
      </c>
      <c r="W75" s="33" t="s">
        <v>726</v>
      </c>
      <c r="X75" s="62" t="s">
        <v>163</v>
      </c>
      <c r="Y75" s="27">
        <v>5000</v>
      </c>
      <c r="Z75" s="30" t="s">
        <v>90</v>
      </c>
      <c r="AA75" s="27">
        <v>10</v>
      </c>
      <c r="AB75" s="27">
        <v>0</v>
      </c>
      <c r="AC75" s="33" t="s">
        <v>338</v>
      </c>
      <c r="AD75" s="27">
        <v>500</v>
      </c>
      <c r="AE75" s="26" t="s">
        <v>165</v>
      </c>
      <c r="AF75" s="27" t="s">
        <v>93</v>
      </c>
      <c r="AG75" s="51" t="s">
        <v>224</v>
      </c>
      <c r="AH75" s="34" t="s">
        <v>95</v>
      </c>
    </row>
    <row r="76" spans="2:34" ht="112.5" customHeight="1">
      <c r="B76" s="46">
        <f t="shared" si="1"/>
        <v>73</v>
      </c>
      <c r="C76" s="51" t="str">
        <f>"$"&amp;VLOOKUP(LEFT([1]!Table2[[#This Row],[Column2]],2),[1]Definitions!$B$51:$C$66,2,FALSE)&amp;MID([1]!Table2[[#This Row],[Column2]],3,3)&amp;RIGHT([1]!Table2[[#This Row],[Column2]],2)</f>
        <v>$96E711</v>
      </c>
      <c r="D76" s="26" t="s">
        <v>727</v>
      </c>
      <c r="E76" s="26" t="s">
        <v>728</v>
      </c>
      <c r="F76" s="27" t="s">
        <v>297</v>
      </c>
      <c r="G76" s="27" t="s">
        <v>74</v>
      </c>
      <c r="H76" s="27" t="s">
        <v>75</v>
      </c>
      <c r="I76" s="27" t="s">
        <v>76</v>
      </c>
      <c r="J76" s="27">
        <v>2</v>
      </c>
      <c r="K76" s="27" t="s">
        <v>77</v>
      </c>
      <c r="L76" s="27" t="s">
        <v>228</v>
      </c>
      <c r="M76" s="49" t="s">
        <v>712</v>
      </c>
      <c r="N76" s="27" t="s">
        <v>729</v>
      </c>
      <c r="O76" s="26" t="s">
        <v>310</v>
      </c>
      <c r="P76" s="26" t="s">
        <v>311</v>
      </c>
      <c r="Q76" s="27" t="s">
        <v>82</v>
      </c>
      <c r="R76" s="27" t="s">
        <v>730</v>
      </c>
      <c r="S76" s="27" t="s">
        <v>84</v>
      </c>
      <c r="T76" s="27" t="s">
        <v>731</v>
      </c>
      <c r="U76" s="27" t="s">
        <v>732</v>
      </c>
      <c r="V76" s="27" t="s">
        <v>733</v>
      </c>
      <c r="W76" s="26" t="s">
        <v>734</v>
      </c>
      <c r="X76" s="62" t="s">
        <v>735</v>
      </c>
      <c r="Y76" s="27">
        <v>5000</v>
      </c>
      <c r="Z76" s="27" t="s">
        <v>90</v>
      </c>
      <c r="AA76" s="27">
        <v>10</v>
      </c>
      <c r="AB76" s="27">
        <v>0</v>
      </c>
      <c r="AC76" s="33" t="s">
        <v>338</v>
      </c>
      <c r="AD76" s="27">
        <v>500</v>
      </c>
      <c r="AE76" s="26" t="s">
        <v>165</v>
      </c>
      <c r="AF76" s="27" t="s">
        <v>93</v>
      </c>
      <c r="AG76" s="51" t="s">
        <v>224</v>
      </c>
      <c r="AH76" s="34" t="s">
        <v>95</v>
      </c>
    </row>
    <row r="77" spans="2:34" ht="112.5" customHeight="1">
      <c r="B77" s="46">
        <f t="shared" si="1"/>
        <v>74</v>
      </c>
      <c r="C77" s="51" t="str">
        <f>"$"&amp;VLOOKUP(LEFT([1]!Table2[[#This Row],[Column2]],2),[1]Definitions!$B$51:$C$66,2,FALSE)&amp;MID([1]!Table2[[#This Row],[Column2]],3,3)&amp;RIGHT([1]!Table2[[#This Row],[Column2]],2)</f>
        <v>$96EF11</v>
      </c>
      <c r="D77" s="26" t="s">
        <v>736</v>
      </c>
      <c r="E77" s="26" t="s">
        <v>737</v>
      </c>
      <c r="F77" s="27" t="s">
        <v>297</v>
      </c>
      <c r="G77" s="27" t="s">
        <v>74</v>
      </c>
      <c r="H77" s="27" t="s">
        <v>75</v>
      </c>
      <c r="I77" s="27" t="s">
        <v>76</v>
      </c>
      <c r="J77" s="27">
        <v>2</v>
      </c>
      <c r="K77" s="27" t="s">
        <v>77</v>
      </c>
      <c r="L77" s="27" t="s">
        <v>228</v>
      </c>
      <c r="M77" s="49" t="s">
        <v>738</v>
      </c>
      <c r="N77" s="27" t="s">
        <v>739</v>
      </c>
      <c r="O77" s="26" t="s">
        <v>310</v>
      </c>
      <c r="P77" s="26" t="s">
        <v>311</v>
      </c>
      <c r="Q77" s="27" t="s">
        <v>82</v>
      </c>
      <c r="R77" s="27" t="s">
        <v>740</v>
      </c>
      <c r="S77" s="27" t="s">
        <v>84</v>
      </c>
      <c r="T77" s="27" t="s">
        <v>741</v>
      </c>
      <c r="U77" s="30" t="s">
        <v>742</v>
      </c>
      <c r="V77" s="30" t="s">
        <v>743</v>
      </c>
      <c r="W77" s="33" t="s">
        <v>744</v>
      </c>
      <c r="X77" s="62" t="s">
        <v>163</v>
      </c>
      <c r="Y77" s="27">
        <v>5000</v>
      </c>
      <c r="Z77" s="30" t="s">
        <v>90</v>
      </c>
      <c r="AA77" s="27">
        <v>10</v>
      </c>
      <c r="AB77" s="27">
        <v>0</v>
      </c>
      <c r="AC77" s="33" t="s">
        <v>338</v>
      </c>
      <c r="AD77" s="27">
        <v>500</v>
      </c>
      <c r="AE77" s="26" t="s">
        <v>745</v>
      </c>
      <c r="AF77" s="27" t="s">
        <v>93</v>
      </c>
      <c r="AG77" s="51" t="s">
        <v>376</v>
      </c>
      <c r="AH77" s="34" t="s">
        <v>208</v>
      </c>
    </row>
    <row r="78" spans="2:34" ht="123.75" customHeight="1">
      <c r="B78" s="46">
        <f t="shared" si="1"/>
        <v>75</v>
      </c>
      <c r="C78" s="51" t="str">
        <f>"$"&amp;VLOOKUP(LEFT([1]!Table2[[#This Row],[Column2]],2),[1]Definitions!$B$51:$C$66,2,FALSE)&amp;MID([1]!Table2[[#This Row],[Column2]],3,3)&amp;RIGHT([1]!Table2[[#This Row],[Column2]],2)</f>
        <v>$96EF12</v>
      </c>
      <c r="D78" s="26" t="s">
        <v>746</v>
      </c>
      <c r="E78" s="26" t="s">
        <v>747</v>
      </c>
      <c r="F78" s="27" t="s">
        <v>297</v>
      </c>
      <c r="G78" s="27" t="s">
        <v>74</v>
      </c>
      <c r="H78" s="27" t="s">
        <v>75</v>
      </c>
      <c r="I78" s="27" t="s">
        <v>76</v>
      </c>
      <c r="J78" s="27">
        <v>2</v>
      </c>
      <c r="K78" s="27" t="s">
        <v>77</v>
      </c>
      <c r="L78" s="27" t="s">
        <v>228</v>
      </c>
      <c r="M78" s="49" t="s">
        <v>738</v>
      </c>
      <c r="N78" s="27" t="s">
        <v>739</v>
      </c>
      <c r="O78" s="26" t="s">
        <v>342</v>
      </c>
      <c r="P78" s="26" t="s">
        <v>323</v>
      </c>
      <c r="Q78" s="27" t="s">
        <v>82</v>
      </c>
      <c r="R78" s="27" t="s">
        <v>740</v>
      </c>
      <c r="S78" s="27" t="s">
        <v>84</v>
      </c>
      <c r="T78" s="27" t="s">
        <v>741</v>
      </c>
      <c r="U78" s="30" t="s">
        <v>742</v>
      </c>
      <c r="V78" s="30" t="s">
        <v>743</v>
      </c>
      <c r="W78" s="33" t="s">
        <v>748</v>
      </c>
      <c r="X78" s="51" t="s">
        <v>749</v>
      </c>
      <c r="Y78" s="27">
        <v>5000</v>
      </c>
      <c r="Z78" s="30" t="s">
        <v>100</v>
      </c>
      <c r="AA78" s="27">
        <v>10</v>
      </c>
      <c r="AB78" s="27">
        <v>0</v>
      </c>
      <c r="AC78" s="32" t="s">
        <v>750</v>
      </c>
      <c r="AD78" s="27">
        <v>5000</v>
      </c>
      <c r="AE78" s="26" t="s">
        <v>751</v>
      </c>
      <c r="AF78" s="27" t="s">
        <v>93</v>
      </c>
      <c r="AG78" s="51" t="s">
        <v>376</v>
      </c>
      <c r="AH78" s="34" t="s">
        <v>208</v>
      </c>
    </row>
    <row r="79" spans="2:34" ht="112.5" customHeight="1">
      <c r="B79" s="46">
        <f t="shared" si="1"/>
        <v>76</v>
      </c>
      <c r="C79" s="51" t="str">
        <f>"$"&amp;VLOOKUP(LEFT([1]!Table2[[#This Row],[Column2]],2),[1]Definitions!$B$51:$C$66,2,FALSE)&amp;MID([1]!Table2[[#This Row],[Column2]],3,3)&amp;RIGHT([1]!Table2[[#This Row],[Column2]],2)</f>
        <v>$96F311</v>
      </c>
      <c r="D79" s="26" t="s">
        <v>752</v>
      </c>
      <c r="E79" s="26" t="s">
        <v>753</v>
      </c>
      <c r="F79" s="27" t="s">
        <v>297</v>
      </c>
      <c r="G79" s="27" t="s">
        <v>74</v>
      </c>
      <c r="H79" s="27" t="s">
        <v>75</v>
      </c>
      <c r="I79" s="27" t="s">
        <v>76</v>
      </c>
      <c r="J79" s="27">
        <v>2</v>
      </c>
      <c r="K79" s="27" t="s">
        <v>77</v>
      </c>
      <c r="L79" s="27" t="s">
        <v>228</v>
      </c>
      <c r="M79" s="49" t="s">
        <v>754</v>
      </c>
      <c r="N79" s="27" t="s">
        <v>755</v>
      </c>
      <c r="O79" s="26" t="s">
        <v>310</v>
      </c>
      <c r="P79" s="26" t="s">
        <v>311</v>
      </c>
      <c r="Q79" s="27" t="s">
        <v>82</v>
      </c>
      <c r="R79" s="27" t="s">
        <v>756</v>
      </c>
      <c r="S79" s="27" t="s">
        <v>84</v>
      </c>
      <c r="T79" s="27" t="s">
        <v>757</v>
      </c>
      <c r="U79" s="30" t="s">
        <v>758</v>
      </c>
      <c r="V79" s="30" t="s">
        <v>759</v>
      </c>
      <c r="W79" s="32" t="s">
        <v>760</v>
      </c>
      <c r="X79" s="51" t="s">
        <v>761</v>
      </c>
      <c r="Y79" s="27">
        <v>5000</v>
      </c>
      <c r="Z79" s="30" t="s">
        <v>90</v>
      </c>
      <c r="AA79" s="27">
        <v>10</v>
      </c>
      <c r="AB79" s="27">
        <v>0</v>
      </c>
      <c r="AC79" s="33" t="s">
        <v>338</v>
      </c>
      <c r="AD79" s="27">
        <v>500</v>
      </c>
      <c r="AE79" s="26" t="s">
        <v>762</v>
      </c>
      <c r="AF79" s="27" t="s">
        <v>93</v>
      </c>
      <c r="AG79" s="51" t="s">
        <v>763</v>
      </c>
      <c r="AH79" s="34" t="s">
        <v>208</v>
      </c>
    </row>
    <row r="80" spans="2:34" ht="123.75" customHeight="1">
      <c r="B80" s="46">
        <f t="shared" si="1"/>
        <v>77</v>
      </c>
      <c r="C80" s="51" t="str">
        <f>"$"&amp;VLOOKUP(LEFT([1]!Table2[[#This Row],[Column2]],2),[1]Definitions!$B$51:$C$66,2,FALSE)&amp;MID([1]!Table2[[#This Row],[Column2]],3,3)&amp;RIGHT([1]!Table2[[#This Row],[Column2]],2)</f>
        <v>$96F312</v>
      </c>
      <c r="D80" s="26" t="s">
        <v>764</v>
      </c>
      <c r="E80" s="26" t="s">
        <v>765</v>
      </c>
      <c r="F80" s="27" t="s">
        <v>297</v>
      </c>
      <c r="G80" s="27" t="s">
        <v>74</v>
      </c>
      <c r="H80" s="27" t="s">
        <v>75</v>
      </c>
      <c r="I80" s="27" t="s">
        <v>76</v>
      </c>
      <c r="J80" s="27">
        <v>2</v>
      </c>
      <c r="K80" s="27" t="s">
        <v>77</v>
      </c>
      <c r="L80" s="27" t="s">
        <v>228</v>
      </c>
      <c r="M80" s="49" t="s">
        <v>754</v>
      </c>
      <c r="N80" s="27" t="s">
        <v>755</v>
      </c>
      <c r="O80" s="26" t="s">
        <v>342</v>
      </c>
      <c r="P80" s="26" t="s">
        <v>323</v>
      </c>
      <c r="Q80" s="27" t="s">
        <v>82</v>
      </c>
      <c r="R80" s="27" t="s">
        <v>756</v>
      </c>
      <c r="S80" s="27" t="s">
        <v>84</v>
      </c>
      <c r="T80" s="27" t="s">
        <v>757</v>
      </c>
      <c r="U80" s="30" t="s">
        <v>758</v>
      </c>
      <c r="V80" s="30" t="s">
        <v>759</v>
      </c>
      <c r="W80" s="33" t="s">
        <v>766</v>
      </c>
      <c r="X80" s="32" t="s">
        <v>767</v>
      </c>
      <c r="Y80" s="27">
        <v>5000</v>
      </c>
      <c r="Z80" s="30" t="s">
        <v>100</v>
      </c>
      <c r="AA80" s="27">
        <v>10</v>
      </c>
      <c r="AB80" s="27">
        <v>0</v>
      </c>
      <c r="AC80" s="32" t="s">
        <v>768</v>
      </c>
      <c r="AD80" s="27">
        <v>5000</v>
      </c>
      <c r="AE80" s="26" t="s">
        <v>769</v>
      </c>
      <c r="AF80" s="27" t="s">
        <v>93</v>
      </c>
      <c r="AG80" s="56" t="s">
        <v>376</v>
      </c>
      <c r="AH80" s="34" t="s">
        <v>208</v>
      </c>
    </row>
    <row r="81" spans="2:34" ht="112.5" customHeight="1">
      <c r="B81" s="46">
        <f t="shared" si="1"/>
        <v>78</v>
      </c>
      <c r="C81" s="51" t="str">
        <f>"$"&amp;VLOOKUP(LEFT([1]!Table2[[#This Row],[Column2]],2),[1]Definitions!$B$51:$C$66,2,FALSE)&amp;MID([1]!Table2[[#This Row],[Column2]],3,3)&amp;RIGHT([1]!Table2[[#This Row],[Column2]],2)</f>
        <v>$96FF11</v>
      </c>
      <c r="D81" s="26" t="s">
        <v>770</v>
      </c>
      <c r="E81" s="26" t="s">
        <v>771</v>
      </c>
      <c r="F81" s="27" t="s">
        <v>297</v>
      </c>
      <c r="G81" s="27" t="s">
        <v>74</v>
      </c>
      <c r="H81" s="27" t="s">
        <v>75</v>
      </c>
      <c r="I81" s="27" t="s">
        <v>76</v>
      </c>
      <c r="J81" s="27">
        <v>2</v>
      </c>
      <c r="K81" s="27" t="s">
        <v>77</v>
      </c>
      <c r="L81" s="27" t="s">
        <v>563</v>
      </c>
      <c r="M81" s="26" t="s">
        <v>772</v>
      </c>
      <c r="N81" s="27" t="s">
        <v>565</v>
      </c>
      <c r="O81" s="26" t="s">
        <v>310</v>
      </c>
      <c r="P81" s="26" t="s">
        <v>311</v>
      </c>
      <c r="Q81" s="27" t="s">
        <v>82</v>
      </c>
      <c r="R81" s="27" t="s">
        <v>773</v>
      </c>
      <c r="S81" s="27" t="s">
        <v>84</v>
      </c>
      <c r="T81" s="27" t="s">
        <v>567</v>
      </c>
      <c r="U81" s="27" t="s">
        <v>568</v>
      </c>
      <c r="V81" s="27" t="s">
        <v>569</v>
      </c>
      <c r="W81" s="33" t="s">
        <v>774</v>
      </c>
      <c r="X81" s="32" t="s">
        <v>571</v>
      </c>
      <c r="Y81" s="27">
        <v>5000</v>
      </c>
      <c r="Z81" s="27" t="s">
        <v>90</v>
      </c>
      <c r="AA81" s="27">
        <v>10</v>
      </c>
      <c r="AB81" s="27">
        <v>0</v>
      </c>
      <c r="AC81" s="26" t="s">
        <v>775</v>
      </c>
      <c r="AD81" s="27">
        <v>500</v>
      </c>
      <c r="AE81" s="26" t="s">
        <v>165</v>
      </c>
      <c r="AF81" s="27" t="s">
        <v>93</v>
      </c>
      <c r="AG81" s="32" t="s">
        <v>776</v>
      </c>
      <c r="AH81" s="34" t="s">
        <v>95</v>
      </c>
    </row>
    <row r="82" spans="2:34" ht="51" customHeight="1">
      <c r="B82" s="46">
        <f t="shared" si="1"/>
        <v>79</v>
      </c>
      <c r="C82" s="51" t="str">
        <f>"$"&amp;VLOOKUP(LEFT([1]!Table2[[#This Row],[Column2]],2),[1]Definitions!$B$51:$C$66,2,FALSE)&amp;MID([1]!Table2[[#This Row],[Column2]],3,3)&amp;RIGHT([1]!Table2[[#This Row],[Column2]],2)</f>
        <v>$970311</v>
      </c>
      <c r="D82" s="26" t="s">
        <v>777</v>
      </c>
      <c r="E82" s="26" t="s">
        <v>778</v>
      </c>
      <c r="F82" s="27" t="s">
        <v>297</v>
      </c>
      <c r="G82" s="27" t="s">
        <v>74</v>
      </c>
      <c r="H82" s="27" t="s">
        <v>75</v>
      </c>
      <c r="I82" s="27" t="s">
        <v>76</v>
      </c>
      <c r="J82" s="27">
        <v>2</v>
      </c>
      <c r="K82" s="27" t="s">
        <v>77</v>
      </c>
      <c r="L82" s="27" t="s">
        <v>563</v>
      </c>
      <c r="M82" s="26" t="s">
        <v>779</v>
      </c>
      <c r="N82" s="27" t="s">
        <v>780</v>
      </c>
      <c r="O82" s="26" t="s">
        <v>310</v>
      </c>
      <c r="P82" s="26" t="s">
        <v>311</v>
      </c>
      <c r="Q82" s="27" t="s">
        <v>82</v>
      </c>
      <c r="R82" s="27" t="s">
        <v>781</v>
      </c>
      <c r="S82" s="27" t="s">
        <v>782</v>
      </c>
      <c r="T82" s="27" t="s">
        <v>783</v>
      </c>
      <c r="U82" s="27" t="s">
        <v>784</v>
      </c>
      <c r="V82" s="27" t="s">
        <v>785</v>
      </c>
      <c r="W82" s="33" t="s">
        <v>786</v>
      </c>
      <c r="X82" s="32" t="s">
        <v>571</v>
      </c>
      <c r="Y82" s="27">
        <v>5000</v>
      </c>
      <c r="Z82" s="27" t="s">
        <v>90</v>
      </c>
      <c r="AA82" s="27">
        <v>10</v>
      </c>
      <c r="AB82" s="27">
        <v>0</v>
      </c>
      <c r="AC82" s="26" t="s">
        <v>787</v>
      </c>
      <c r="AD82" s="27">
        <v>500</v>
      </c>
      <c r="AE82" s="26" t="s">
        <v>165</v>
      </c>
      <c r="AF82" s="27" t="s">
        <v>93</v>
      </c>
      <c r="AG82" s="51" t="s">
        <v>788</v>
      </c>
      <c r="AH82" s="34" t="s">
        <v>95</v>
      </c>
    </row>
    <row r="83" spans="2:34" ht="112.5" customHeight="1">
      <c r="B83" s="46">
        <f t="shared" si="1"/>
        <v>80</v>
      </c>
      <c r="C83" s="25" t="str">
        <f>"$"&amp;VLOOKUP(LEFT([1]!Table2[[#This Row],[Column2]],2),[1]Definitions!$B$51:$C$66,2,FALSE)&amp;MID([1]!Table2[[#This Row],[Column2]],3,3)&amp;RIGHT([1]!Table2[[#This Row],[Column2]],2)</f>
        <v>$970711</v>
      </c>
      <c r="D83" s="25" t="s">
        <v>789</v>
      </c>
      <c r="E83" s="47" t="s">
        <v>790</v>
      </c>
      <c r="F83" s="27" t="s">
        <v>297</v>
      </c>
      <c r="G83" s="48" t="s">
        <v>74</v>
      </c>
      <c r="H83" s="48" t="s">
        <v>75</v>
      </c>
      <c r="I83" s="48" t="s">
        <v>76</v>
      </c>
      <c r="J83" s="48">
        <v>2</v>
      </c>
      <c r="K83" s="27" t="s">
        <v>77</v>
      </c>
      <c r="L83" s="27" t="s">
        <v>228</v>
      </c>
      <c r="M83" s="49" t="s">
        <v>582</v>
      </c>
      <c r="N83" s="27" t="s">
        <v>76</v>
      </c>
      <c r="O83" s="26" t="s">
        <v>310</v>
      </c>
      <c r="P83" s="26" t="s">
        <v>311</v>
      </c>
      <c r="Q83" s="27" t="s">
        <v>82</v>
      </c>
      <c r="R83" s="52" t="s">
        <v>791</v>
      </c>
      <c r="S83" s="27" t="s">
        <v>84</v>
      </c>
      <c r="T83" s="48" t="s">
        <v>792</v>
      </c>
      <c r="U83" s="30" t="s">
        <v>793</v>
      </c>
      <c r="V83" s="30" t="s">
        <v>794</v>
      </c>
      <c r="W83" s="33" t="s">
        <v>795</v>
      </c>
      <c r="X83" s="32" t="s">
        <v>163</v>
      </c>
      <c r="Y83" s="27">
        <v>5000</v>
      </c>
      <c r="Z83" s="30" t="s">
        <v>90</v>
      </c>
      <c r="AA83" s="27">
        <v>10</v>
      </c>
      <c r="AB83" s="27">
        <v>0</v>
      </c>
      <c r="AC83" s="33" t="s">
        <v>164</v>
      </c>
      <c r="AD83" s="27">
        <v>500</v>
      </c>
      <c r="AE83" s="26" t="s">
        <v>165</v>
      </c>
      <c r="AF83" s="27" t="s">
        <v>93</v>
      </c>
      <c r="AG83" s="51" t="s">
        <v>796</v>
      </c>
      <c r="AH83" s="34" t="s">
        <v>95</v>
      </c>
    </row>
    <row r="84" spans="2:34" ht="112.5" customHeight="1">
      <c r="B84" s="46">
        <f t="shared" si="1"/>
        <v>81</v>
      </c>
      <c r="C84" s="25" t="str">
        <f>"$"&amp;VLOOKUP(LEFT([1]!Table2[[#This Row],[Column2]],2),[1]Definitions!$B$51:$C$66,2,FALSE)&amp;MID([1]!Table2[[#This Row],[Column2]],3,3)&amp;RIGHT([1]!Table2[[#This Row],[Column2]],2)</f>
        <v>$970B11</v>
      </c>
      <c r="D84" s="47" t="s">
        <v>797</v>
      </c>
      <c r="E84" s="47" t="s">
        <v>798</v>
      </c>
      <c r="F84" s="27" t="s">
        <v>297</v>
      </c>
      <c r="G84" s="48" t="s">
        <v>74</v>
      </c>
      <c r="H84" s="48" t="s">
        <v>75</v>
      </c>
      <c r="I84" s="48" t="s">
        <v>76</v>
      </c>
      <c r="J84" s="48">
        <v>2</v>
      </c>
      <c r="K84" s="27" t="s">
        <v>77</v>
      </c>
      <c r="L84" s="27" t="s">
        <v>228</v>
      </c>
      <c r="M84" s="49" t="s">
        <v>799</v>
      </c>
      <c r="N84" s="27" t="s">
        <v>76</v>
      </c>
      <c r="O84" s="26" t="s">
        <v>310</v>
      </c>
      <c r="P84" s="26" t="s">
        <v>311</v>
      </c>
      <c r="Q84" s="27" t="s">
        <v>82</v>
      </c>
      <c r="R84" s="52" t="s">
        <v>584</v>
      </c>
      <c r="S84" s="27" t="s">
        <v>84</v>
      </c>
      <c r="T84" s="48" t="s">
        <v>585</v>
      </c>
      <c r="U84" s="30" t="s">
        <v>586</v>
      </c>
      <c r="V84" s="30" t="s">
        <v>587</v>
      </c>
      <c r="W84" s="33" t="s">
        <v>800</v>
      </c>
      <c r="X84" s="32" t="s">
        <v>163</v>
      </c>
      <c r="Y84" s="27">
        <v>5000</v>
      </c>
      <c r="Z84" s="30" t="s">
        <v>90</v>
      </c>
      <c r="AA84" s="27">
        <v>10</v>
      </c>
      <c r="AB84" s="27">
        <v>0</v>
      </c>
      <c r="AC84" s="33" t="s">
        <v>164</v>
      </c>
      <c r="AD84" s="27">
        <v>500</v>
      </c>
      <c r="AE84" s="26" t="s">
        <v>165</v>
      </c>
      <c r="AF84" s="27" t="s">
        <v>93</v>
      </c>
      <c r="AG84" s="32" t="s">
        <v>801</v>
      </c>
      <c r="AH84" s="34" t="s">
        <v>95</v>
      </c>
    </row>
    <row r="85" spans="2:34" ht="112.5" customHeight="1">
      <c r="B85" s="46">
        <f t="shared" si="1"/>
        <v>82</v>
      </c>
      <c r="C85" s="25" t="str">
        <f>"$"&amp;VLOOKUP(LEFT([1]!Table2[[#This Row],[Column2]],2),[1]Definitions!$B$51:$C$66,2,FALSE)&amp;MID([1]!Table2[[#This Row],[Column2]],3,3)&amp;RIGHT([1]!Table2[[#This Row],[Column2]],2)</f>
        <v>$972711</v>
      </c>
      <c r="D85" s="47" t="s">
        <v>802</v>
      </c>
      <c r="E85" s="47" t="s">
        <v>803</v>
      </c>
      <c r="F85" s="27" t="s">
        <v>297</v>
      </c>
      <c r="G85" s="48" t="s">
        <v>74</v>
      </c>
      <c r="H85" s="48" t="s">
        <v>75</v>
      </c>
      <c r="I85" s="48" t="s">
        <v>76</v>
      </c>
      <c r="J85" s="48">
        <v>2</v>
      </c>
      <c r="K85" s="27" t="s">
        <v>77</v>
      </c>
      <c r="L85" s="27" t="s">
        <v>298</v>
      </c>
      <c r="M85" s="49" t="s">
        <v>712</v>
      </c>
      <c r="N85" s="27" t="s">
        <v>76</v>
      </c>
      <c r="O85" s="26" t="s">
        <v>310</v>
      </c>
      <c r="P85" s="26" t="s">
        <v>311</v>
      </c>
      <c r="Q85" s="27" t="s">
        <v>82</v>
      </c>
      <c r="R85" s="48" t="s">
        <v>804</v>
      </c>
      <c r="S85" s="27" t="s">
        <v>178</v>
      </c>
      <c r="T85" s="48" t="s">
        <v>805</v>
      </c>
      <c r="U85" s="30" t="s">
        <v>806</v>
      </c>
      <c r="V85" s="30" t="s">
        <v>807</v>
      </c>
      <c r="W85" s="33" t="s">
        <v>128</v>
      </c>
      <c r="X85" s="62" t="s">
        <v>163</v>
      </c>
      <c r="Y85" s="27">
        <v>5000</v>
      </c>
      <c r="Z85" s="30" t="s">
        <v>90</v>
      </c>
      <c r="AA85" s="27">
        <v>10</v>
      </c>
      <c r="AB85" s="27">
        <v>0</v>
      </c>
      <c r="AC85" s="33" t="s">
        <v>808</v>
      </c>
      <c r="AD85" s="27">
        <v>500</v>
      </c>
      <c r="AE85" s="26" t="s">
        <v>165</v>
      </c>
      <c r="AF85" s="27" t="s">
        <v>93</v>
      </c>
      <c r="AG85" s="51" t="s">
        <v>152</v>
      </c>
      <c r="AH85" s="34" t="s">
        <v>95</v>
      </c>
    </row>
    <row r="86" spans="2:34" ht="68.25" customHeight="1">
      <c r="B86" s="46">
        <f t="shared" si="1"/>
        <v>83</v>
      </c>
      <c r="C86" s="25" t="str">
        <f>"$"&amp;VLOOKUP(LEFT([1]!Table2[[#This Row],[Column2]],2),[1]Definitions!$B$51:$C$66,2,FALSE)&amp;MID([1]!Table2[[#This Row],[Column2]],3,3)&amp;RIGHT([1]!Table2[[#This Row],[Column2]],2)</f>
        <v>$975111</v>
      </c>
      <c r="D86" s="47" t="s">
        <v>809</v>
      </c>
      <c r="E86" s="47" t="s">
        <v>810</v>
      </c>
      <c r="F86" s="27" t="s">
        <v>297</v>
      </c>
      <c r="G86" s="48" t="s">
        <v>74</v>
      </c>
      <c r="H86" s="48" t="s">
        <v>75</v>
      </c>
      <c r="I86" s="48" t="s">
        <v>76</v>
      </c>
      <c r="J86" s="48">
        <v>2</v>
      </c>
      <c r="K86" s="27" t="s">
        <v>77</v>
      </c>
      <c r="L86" s="27" t="s">
        <v>298</v>
      </c>
      <c r="M86" s="49" t="s">
        <v>811</v>
      </c>
      <c r="N86" s="27" t="s">
        <v>76</v>
      </c>
      <c r="O86" s="26" t="s">
        <v>310</v>
      </c>
      <c r="P86" s="26" t="s">
        <v>311</v>
      </c>
      <c r="Q86" s="27" t="s">
        <v>82</v>
      </c>
      <c r="R86" s="52" t="s">
        <v>812</v>
      </c>
      <c r="S86" s="27" t="s">
        <v>84</v>
      </c>
      <c r="T86" s="48" t="s">
        <v>813</v>
      </c>
      <c r="U86" s="30" t="s">
        <v>814</v>
      </c>
      <c r="V86" s="30" t="s">
        <v>815</v>
      </c>
      <c r="W86" s="33" t="s">
        <v>128</v>
      </c>
      <c r="X86" s="32" t="s">
        <v>163</v>
      </c>
      <c r="Y86" s="27">
        <v>5000</v>
      </c>
      <c r="Z86" s="30" t="s">
        <v>90</v>
      </c>
      <c r="AA86" s="27">
        <v>10</v>
      </c>
      <c r="AB86" s="27">
        <v>0</v>
      </c>
      <c r="AC86" s="33" t="s">
        <v>164</v>
      </c>
      <c r="AD86" s="27">
        <v>500</v>
      </c>
      <c r="AE86" s="26" t="s">
        <v>165</v>
      </c>
      <c r="AF86" s="27" t="s">
        <v>93</v>
      </c>
      <c r="AG86" s="51" t="s">
        <v>152</v>
      </c>
      <c r="AH86" s="34" t="s">
        <v>95</v>
      </c>
    </row>
    <row r="87" spans="2:34" ht="75.75" customHeight="1">
      <c r="B87" s="46">
        <f t="shared" si="1"/>
        <v>84</v>
      </c>
      <c r="C87" s="25" t="str">
        <f>"$"&amp;VLOOKUP(LEFT([1]!Table2[[#This Row],[Column2]],2),[1]Definitions!$B$51:$C$66,2,FALSE)&amp;MID([1]!Table2[[#This Row],[Column2]],3,3)&amp;RIGHT([1]!Table2[[#This Row],[Column2]],2)</f>
        <v>$975112</v>
      </c>
      <c r="D87" s="25" t="s">
        <v>816</v>
      </c>
      <c r="E87" s="47" t="s">
        <v>817</v>
      </c>
      <c r="F87" s="27" t="s">
        <v>297</v>
      </c>
      <c r="G87" s="48" t="s">
        <v>74</v>
      </c>
      <c r="H87" s="48" t="s">
        <v>75</v>
      </c>
      <c r="I87" s="48" t="s">
        <v>76</v>
      </c>
      <c r="J87" s="48">
        <v>2</v>
      </c>
      <c r="K87" s="27" t="s">
        <v>77</v>
      </c>
      <c r="L87" s="27" t="s">
        <v>298</v>
      </c>
      <c r="M87" s="49" t="s">
        <v>811</v>
      </c>
      <c r="N87" s="27" t="s">
        <v>76</v>
      </c>
      <c r="O87" s="26" t="s">
        <v>818</v>
      </c>
      <c r="P87" s="26" t="s">
        <v>819</v>
      </c>
      <c r="Q87" s="27" t="s">
        <v>82</v>
      </c>
      <c r="R87" s="52" t="s">
        <v>812</v>
      </c>
      <c r="S87" s="27" t="s">
        <v>782</v>
      </c>
      <c r="T87" s="48" t="s">
        <v>813</v>
      </c>
      <c r="U87" s="30" t="s">
        <v>814</v>
      </c>
      <c r="V87" s="30" t="s">
        <v>815</v>
      </c>
      <c r="W87" s="33" t="s">
        <v>820</v>
      </c>
      <c r="X87" s="32" t="s">
        <v>459</v>
      </c>
      <c r="Y87" s="27">
        <v>5000</v>
      </c>
      <c r="Z87" s="30" t="s">
        <v>100</v>
      </c>
      <c r="AA87" s="27">
        <v>10</v>
      </c>
      <c r="AB87" s="27">
        <v>0</v>
      </c>
      <c r="AC87" s="33" t="s">
        <v>821</v>
      </c>
      <c r="AD87" s="54">
        <v>5000</v>
      </c>
      <c r="AE87" s="26" t="s">
        <v>92</v>
      </c>
      <c r="AF87" s="27" t="s">
        <v>93</v>
      </c>
      <c r="AG87" s="26" t="s">
        <v>822</v>
      </c>
      <c r="AH87" s="34" t="s">
        <v>95</v>
      </c>
    </row>
    <row r="88" spans="2:34" ht="81" customHeight="1">
      <c r="B88" s="46">
        <f t="shared" si="1"/>
        <v>85</v>
      </c>
      <c r="C88" s="25" t="str">
        <f>"$"&amp;VLOOKUP(LEFT([1]!Table2[[#This Row],[Column2]],2),[1]Definitions!$B$51:$C$66,2,FALSE)&amp;MID([1]!Table2[[#This Row],[Column2]],3,3)&amp;RIGHT([1]!Table2[[#This Row],[Column2]],2)</f>
        <v>$975113</v>
      </c>
      <c r="D88" s="25" t="s">
        <v>823</v>
      </c>
      <c r="E88" s="47" t="s">
        <v>824</v>
      </c>
      <c r="F88" s="27" t="s">
        <v>297</v>
      </c>
      <c r="G88" s="48" t="s">
        <v>74</v>
      </c>
      <c r="H88" s="48" t="s">
        <v>75</v>
      </c>
      <c r="I88" s="48" t="s">
        <v>76</v>
      </c>
      <c r="J88" s="48">
        <v>2</v>
      </c>
      <c r="K88" s="27" t="s">
        <v>77</v>
      </c>
      <c r="L88" s="27" t="s">
        <v>298</v>
      </c>
      <c r="M88" s="49" t="s">
        <v>811</v>
      </c>
      <c r="N88" s="27" t="s">
        <v>76</v>
      </c>
      <c r="O88" s="26" t="s">
        <v>825</v>
      </c>
      <c r="P88" s="26" t="s">
        <v>826</v>
      </c>
      <c r="Q88" s="27" t="s">
        <v>82</v>
      </c>
      <c r="R88" s="52" t="s">
        <v>812</v>
      </c>
      <c r="S88" s="27" t="s">
        <v>782</v>
      </c>
      <c r="T88" s="48" t="s">
        <v>813</v>
      </c>
      <c r="U88" s="30" t="s">
        <v>814</v>
      </c>
      <c r="V88" s="30" t="s">
        <v>815</v>
      </c>
      <c r="W88" s="33" t="s">
        <v>820</v>
      </c>
      <c r="X88" s="32" t="s">
        <v>827</v>
      </c>
      <c r="Y88" s="27">
        <v>5000</v>
      </c>
      <c r="Z88" s="30" t="s">
        <v>100</v>
      </c>
      <c r="AA88" s="27">
        <v>10</v>
      </c>
      <c r="AB88" s="27">
        <v>0</v>
      </c>
      <c r="AC88" s="33" t="s">
        <v>828</v>
      </c>
      <c r="AD88" s="54">
        <v>5000</v>
      </c>
      <c r="AE88" s="26" t="s">
        <v>92</v>
      </c>
      <c r="AF88" s="27" t="s">
        <v>93</v>
      </c>
      <c r="AG88" s="26" t="s">
        <v>822</v>
      </c>
      <c r="AH88" s="34" t="s">
        <v>95</v>
      </c>
    </row>
    <row r="89" spans="2:34" ht="91.5" customHeight="1">
      <c r="B89" s="46">
        <f t="shared" si="1"/>
        <v>86</v>
      </c>
      <c r="C89" s="51" t="str">
        <f>"$"&amp;VLOOKUP(LEFT([1]!Table2[[#This Row],[Column2]],2),[1]Definitions!$B$51:$C$66,2,FALSE)&amp;MID([1]!Table2[[#This Row],[Column2]],3,3)&amp;RIGHT([1]!Table2[[#This Row],[Column2]],2)</f>
        <v>$975611</v>
      </c>
      <c r="D89" s="32" t="s">
        <v>829</v>
      </c>
      <c r="E89" s="26" t="s">
        <v>830</v>
      </c>
      <c r="F89" s="27" t="s">
        <v>297</v>
      </c>
      <c r="G89" s="27" t="s">
        <v>74</v>
      </c>
      <c r="H89" s="27" t="s">
        <v>75</v>
      </c>
      <c r="I89" s="27" t="s">
        <v>76</v>
      </c>
      <c r="J89" s="27">
        <v>2</v>
      </c>
      <c r="K89" s="27" t="s">
        <v>77</v>
      </c>
      <c r="L89" s="27" t="s">
        <v>379</v>
      </c>
      <c r="M89" s="49" t="s">
        <v>831</v>
      </c>
      <c r="N89" s="27" t="s">
        <v>381</v>
      </c>
      <c r="O89" s="26" t="s">
        <v>310</v>
      </c>
      <c r="P89" s="26" t="s">
        <v>311</v>
      </c>
      <c r="Q89" s="27" t="s">
        <v>82</v>
      </c>
      <c r="R89" s="27" t="s">
        <v>429</v>
      </c>
      <c r="S89" s="27" t="s">
        <v>84</v>
      </c>
      <c r="T89" s="27" t="s">
        <v>832</v>
      </c>
      <c r="U89" s="30" t="s">
        <v>833</v>
      </c>
      <c r="V89" s="30" t="s">
        <v>834</v>
      </c>
      <c r="W89" s="51" t="s">
        <v>835</v>
      </c>
      <c r="X89" s="32" t="s">
        <v>434</v>
      </c>
      <c r="Y89" s="27">
        <v>5000</v>
      </c>
      <c r="Z89" s="30" t="s">
        <v>90</v>
      </c>
      <c r="AA89" s="27">
        <v>10</v>
      </c>
      <c r="AB89" s="27">
        <v>0</v>
      </c>
      <c r="AC89" s="33" t="s">
        <v>338</v>
      </c>
      <c r="AD89" s="27">
        <v>500</v>
      </c>
      <c r="AE89" s="33" t="s">
        <v>836</v>
      </c>
      <c r="AF89" s="27" t="s">
        <v>93</v>
      </c>
      <c r="AG89" s="51" t="s">
        <v>649</v>
      </c>
      <c r="AH89" s="34" t="s">
        <v>208</v>
      </c>
    </row>
    <row r="90" spans="2:34" ht="100.5" customHeight="1">
      <c r="B90" s="46">
        <f t="shared" si="1"/>
        <v>87</v>
      </c>
      <c r="C90" s="51" t="str">
        <f>"$"&amp;VLOOKUP(LEFT([1]!Table2[[#This Row],[Column2]],2),[1]Definitions!$B$51:$C$66,2,FALSE)&amp;MID([1]!Table2[[#This Row],[Column2]],3,3)&amp;RIGHT([1]!Table2[[#This Row],[Column2]],2)</f>
        <v>$975711</v>
      </c>
      <c r="D90" s="51" t="s">
        <v>837</v>
      </c>
      <c r="E90" s="26" t="s">
        <v>838</v>
      </c>
      <c r="F90" s="27" t="s">
        <v>297</v>
      </c>
      <c r="G90" s="27" t="s">
        <v>74</v>
      </c>
      <c r="H90" s="27" t="s">
        <v>75</v>
      </c>
      <c r="I90" s="27" t="s">
        <v>76</v>
      </c>
      <c r="J90" s="27">
        <v>2</v>
      </c>
      <c r="K90" s="27" t="s">
        <v>77</v>
      </c>
      <c r="L90" s="27" t="s">
        <v>379</v>
      </c>
      <c r="M90" s="49" t="s">
        <v>839</v>
      </c>
      <c r="N90" s="27" t="s">
        <v>381</v>
      </c>
      <c r="O90" s="26" t="s">
        <v>310</v>
      </c>
      <c r="P90" s="26" t="s">
        <v>311</v>
      </c>
      <c r="Q90" s="27" t="s">
        <v>82</v>
      </c>
      <c r="R90" s="27" t="s">
        <v>403</v>
      </c>
      <c r="S90" s="27" t="s">
        <v>84</v>
      </c>
      <c r="T90" s="27" t="s">
        <v>840</v>
      </c>
      <c r="U90" s="30" t="s">
        <v>841</v>
      </c>
      <c r="V90" s="30" t="s">
        <v>842</v>
      </c>
      <c r="W90" s="51" t="s">
        <v>843</v>
      </c>
      <c r="X90" s="32" t="s">
        <v>434</v>
      </c>
      <c r="Y90" s="27">
        <v>5000</v>
      </c>
      <c r="Z90" s="30" t="s">
        <v>90</v>
      </c>
      <c r="AA90" s="27">
        <v>10</v>
      </c>
      <c r="AB90" s="27">
        <v>0</v>
      </c>
      <c r="AC90" s="33" t="s">
        <v>164</v>
      </c>
      <c r="AD90" s="27">
        <v>500</v>
      </c>
      <c r="AE90" s="33" t="s">
        <v>844</v>
      </c>
      <c r="AF90" s="27" t="s">
        <v>93</v>
      </c>
      <c r="AG90" s="51" t="s">
        <v>649</v>
      </c>
      <c r="AH90" s="34" t="s">
        <v>208</v>
      </c>
    </row>
    <row r="91" spans="2:34" ht="101.25" customHeight="1">
      <c r="B91" s="46">
        <f t="shared" si="1"/>
        <v>88</v>
      </c>
      <c r="C91" s="52" t="str">
        <f>"$"&amp;VLOOKUP(LEFT([1]!Table2[[#This Row],[Column2]],2),[1]Definitions!$B$51:$C$66,2,FALSE)&amp;MID([1]!Table2[[#This Row],[Column2]],3,3)&amp;RIGHT([1]!Table2[[#This Row],[Column2]],2)</f>
        <v>$978E2A</v>
      </c>
      <c r="D91" s="47" t="s">
        <v>845</v>
      </c>
      <c r="E91" s="47" t="s">
        <v>846</v>
      </c>
      <c r="F91" s="52" t="s">
        <v>227</v>
      </c>
      <c r="G91" s="52" t="s">
        <v>74</v>
      </c>
      <c r="H91" s="52" t="s">
        <v>75</v>
      </c>
      <c r="I91" s="52" t="s">
        <v>76</v>
      </c>
      <c r="J91" s="52">
        <v>2</v>
      </c>
      <c r="K91" s="52" t="s">
        <v>77</v>
      </c>
      <c r="L91" s="52" t="s">
        <v>228</v>
      </c>
      <c r="M91" s="52" t="s">
        <v>229</v>
      </c>
      <c r="N91" s="27" t="s">
        <v>76</v>
      </c>
      <c r="O91" s="52" t="s">
        <v>230</v>
      </c>
      <c r="P91" s="52" t="s">
        <v>231</v>
      </c>
      <c r="Q91" s="27" t="s">
        <v>199</v>
      </c>
      <c r="R91" s="52" t="s">
        <v>202</v>
      </c>
      <c r="S91" s="52" t="s">
        <v>201</v>
      </c>
      <c r="T91" s="52" t="s">
        <v>202</v>
      </c>
      <c r="U91" s="52" t="s">
        <v>202</v>
      </c>
      <c r="V91" s="52" t="s">
        <v>202</v>
      </c>
      <c r="W91" s="33" t="s">
        <v>847</v>
      </c>
      <c r="X91" s="52" t="s">
        <v>848</v>
      </c>
      <c r="Y91" s="52">
        <v>20000</v>
      </c>
      <c r="Z91" s="52" t="s">
        <v>100</v>
      </c>
      <c r="AA91" s="52">
        <v>100</v>
      </c>
      <c r="AB91" s="52">
        <v>0</v>
      </c>
      <c r="AC91" s="52" t="s">
        <v>849</v>
      </c>
      <c r="AD91" s="52">
        <v>500</v>
      </c>
      <c r="AE91" s="33" t="s">
        <v>850</v>
      </c>
      <c r="AF91" s="27" t="s">
        <v>93</v>
      </c>
      <c r="AG91" s="25" t="s">
        <v>851</v>
      </c>
      <c r="AH91" s="34" t="s">
        <v>208</v>
      </c>
    </row>
    <row r="92" spans="2:34" ht="81" customHeight="1">
      <c r="B92" s="46">
        <f t="shared" si="1"/>
        <v>89</v>
      </c>
      <c r="C92" s="25" t="str">
        <f>"$"&amp;VLOOKUP(LEFT([1]!Table2[[#This Row],[Column2]],2),[1]Definitions!$B$51:$C$66,2,FALSE)&amp;MID([1]!Table2[[#This Row],[Column2]],3,3)&amp;RIGHT([1]!Table2[[#This Row],[Column2]],2)</f>
        <v>$979F2A</v>
      </c>
      <c r="D92" s="25" t="s">
        <v>852</v>
      </c>
      <c r="E92" s="26" t="s">
        <v>853</v>
      </c>
      <c r="F92" s="27" t="s">
        <v>227</v>
      </c>
      <c r="G92" s="54" t="s">
        <v>74</v>
      </c>
      <c r="H92" s="54" t="s">
        <v>75</v>
      </c>
      <c r="I92" s="54" t="s">
        <v>76</v>
      </c>
      <c r="J92" s="54">
        <v>2</v>
      </c>
      <c r="K92" s="27" t="s">
        <v>77</v>
      </c>
      <c r="L92" s="27" t="s">
        <v>592</v>
      </c>
      <c r="M92" s="49" t="s">
        <v>593</v>
      </c>
      <c r="N92" s="27" t="s">
        <v>594</v>
      </c>
      <c r="O92" s="26" t="s">
        <v>230</v>
      </c>
      <c r="P92" s="26" t="s">
        <v>231</v>
      </c>
      <c r="Q92" s="27" t="s">
        <v>199</v>
      </c>
      <c r="R92" s="52" t="s">
        <v>202</v>
      </c>
      <c r="S92" s="27" t="s">
        <v>201</v>
      </c>
      <c r="T92" s="52" t="s">
        <v>202</v>
      </c>
      <c r="U92" s="30" t="s">
        <v>202</v>
      </c>
      <c r="V92" s="30" t="s">
        <v>202</v>
      </c>
      <c r="W92" s="32" t="s">
        <v>595</v>
      </c>
      <c r="X92" s="51" t="s">
        <v>854</v>
      </c>
      <c r="Y92" s="27">
        <v>20000</v>
      </c>
      <c r="Z92" s="30" t="s">
        <v>100</v>
      </c>
      <c r="AA92" s="27">
        <v>100</v>
      </c>
      <c r="AB92" s="27">
        <v>0</v>
      </c>
      <c r="AC92" s="26" t="s">
        <v>855</v>
      </c>
      <c r="AD92" s="27">
        <v>500</v>
      </c>
      <c r="AE92" s="26" t="s">
        <v>856</v>
      </c>
      <c r="AF92" s="27" t="s">
        <v>93</v>
      </c>
      <c r="AG92" s="33" t="s">
        <v>599</v>
      </c>
      <c r="AH92" s="34" t="s">
        <v>208</v>
      </c>
    </row>
    <row r="93" spans="2:34" ht="71.25" customHeight="1">
      <c r="B93" s="46">
        <f t="shared" si="1"/>
        <v>90</v>
      </c>
      <c r="C93" s="52" t="str">
        <f>"$"&amp;VLOOKUP(LEFT([1]!Table2[[#This Row],[Column2]],2),[1]Definitions!$B$51:$C$66,2,FALSE)&amp;MID([1]!Table2[[#This Row],[Column2]],3,3)&amp;RIGHT([1]!Table2[[#This Row],[Column2]],2)</f>
        <v>$97ED2A</v>
      </c>
      <c r="D93" s="47" t="s">
        <v>857</v>
      </c>
      <c r="E93" s="47" t="s">
        <v>858</v>
      </c>
      <c r="F93" s="52" t="s">
        <v>227</v>
      </c>
      <c r="G93" s="52" t="s">
        <v>74</v>
      </c>
      <c r="H93" s="52" t="s">
        <v>75</v>
      </c>
      <c r="I93" s="52" t="s">
        <v>76</v>
      </c>
      <c r="J93" s="52">
        <v>2</v>
      </c>
      <c r="K93" s="52" t="s">
        <v>77</v>
      </c>
      <c r="L93" s="52" t="s">
        <v>228</v>
      </c>
      <c r="M93" s="52" t="s">
        <v>229</v>
      </c>
      <c r="N93" s="27" t="s">
        <v>76</v>
      </c>
      <c r="O93" s="52" t="s">
        <v>230</v>
      </c>
      <c r="P93" s="52" t="s">
        <v>231</v>
      </c>
      <c r="Q93" s="27" t="s">
        <v>199</v>
      </c>
      <c r="R93" s="52" t="s">
        <v>202</v>
      </c>
      <c r="S93" s="52" t="s">
        <v>201</v>
      </c>
      <c r="T93" s="52" t="s">
        <v>202</v>
      </c>
      <c r="U93" s="52" t="s">
        <v>202</v>
      </c>
      <c r="V93" s="52" t="s">
        <v>202</v>
      </c>
      <c r="W93" s="33" t="s">
        <v>847</v>
      </c>
      <c r="X93" s="52" t="s">
        <v>859</v>
      </c>
      <c r="Y93" s="52">
        <v>20000</v>
      </c>
      <c r="Z93" s="52" t="s">
        <v>100</v>
      </c>
      <c r="AA93" s="52">
        <v>100</v>
      </c>
      <c r="AB93" s="52">
        <v>0</v>
      </c>
      <c r="AC93" s="52" t="s">
        <v>860</v>
      </c>
      <c r="AD93" s="52">
        <v>500</v>
      </c>
      <c r="AE93" s="75" t="s">
        <v>861</v>
      </c>
      <c r="AF93" s="27" t="s">
        <v>93</v>
      </c>
      <c r="AG93" s="25" t="s">
        <v>152</v>
      </c>
      <c r="AH93" s="34" t="s">
        <v>208</v>
      </c>
    </row>
    <row r="94" spans="2:34" ht="81" customHeight="1">
      <c r="B94" s="46">
        <f t="shared" si="1"/>
        <v>91</v>
      </c>
      <c r="C94" s="25" t="str">
        <f>"$"&amp;VLOOKUP(LEFT([1]!Table2[[#This Row],[Column2]],2),[1]Definitions!$B$51:$C$66,2,FALSE)&amp;MID([1]!Table2[[#This Row],[Column2]],3,3)&amp;RIGHT([1]!Table2[[#This Row],[Column2]],2)</f>
        <v>$97FE11</v>
      </c>
      <c r="D94" s="26" t="s">
        <v>862</v>
      </c>
      <c r="E94" s="26" t="s">
        <v>863</v>
      </c>
      <c r="F94" s="27" t="s">
        <v>297</v>
      </c>
      <c r="G94" s="54" t="s">
        <v>74</v>
      </c>
      <c r="H94" s="54" t="s">
        <v>75</v>
      </c>
      <c r="I94" s="54" t="s">
        <v>76</v>
      </c>
      <c r="J94" s="54">
        <v>2</v>
      </c>
      <c r="K94" s="27" t="s">
        <v>77</v>
      </c>
      <c r="L94" s="27" t="s">
        <v>864</v>
      </c>
      <c r="M94" s="49" t="s">
        <v>865</v>
      </c>
      <c r="N94" s="27" t="s">
        <v>866</v>
      </c>
      <c r="O94" s="26" t="s">
        <v>310</v>
      </c>
      <c r="P94" s="26" t="s">
        <v>867</v>
      </c>
      <c r="Q94" s="27" t="s">
        <v>82</v>
      </c>
      <c r="R94" s="27" t="s">
        <v>868</v>
      </c>
      <c r="S94" s="27" t="s">
        <v>869</v>
      </c>
      <c r="T94" s="27" t="s">
        <v>664</v>
      </c>
      <c r="U94" s="30" t="s">
        <v>870</v>
      </c>
      <c r="V94" s="27" t="s">
        <v>871</v>
      </c>
      <c r="W94" s="32" t="s">
        <v>872</v>
      </c>
      <c r="X94" s="51" t="s">
        <v>873</v>
      </c>
      <c r="Y94" s="27">
        <v>5000</v>
      </c>
      <c r="Z94" s="30" t="s">
        <v>90</v>
      </c>
      <c r="AA94" s="27">
        <v>10</v>
      </c>
      <c r="AB94" s="27">
        <v>0</v>
      </c>
      <c r="AC94" s="33" t="s">
        <v>91</v>
      </c>
      <c r="AD94" s="27">
        <v>500</v>
      </c>
      <c r="AE94" s="26" t="s">
        <v>165</v>
      </c>
      <c r="AF94" s="27" t="s">
        <v>93</v>
      </c>
      <c r="AG94" s="33" t="s">
        <v>152</v>
      </c>
      <c r="AH94" s="34" t="s">
        <v>95</v>
      </c>
    </row>
    <row r="95" spans="2:34" ht="120.9" customHeight="1">
      <c r="B95" s="46">
        <f t="shared" si="1"/>
        <v>92</v>
      </c>
      <c r="C95" s="25" t="str">
        <f>"$"&amp;VLOOKUP(LEFT([1]!Table2[[#This Row],[Column2]],2),[1]Definitions!$B$51:$C$66,2,FALSE)&amp;MID([1]!Table2[[#This Row],[Column2]],3,3)&amp;RIGHT([1]!Table2[[#This Row],[Column2]],2)</f>
        <v>$97FE12</v>
      </c>
      <c r="D95" s="26" t="s">
        <v>874</v>
      </c>
      <c r="E95" s="26" t="s">
        <v>875</v>
      </c>
      <c r="F95" s="27" t="s">
        <v>297</v>
      </c>
      <c r="G95" s="54" t="s">
        <v>74</v>
      </c>
      <c r="H95" s="54" t="s">
        <v>75</v>
      </c>
      <c r="I95" s="54" t="s">
        <v>76</v>
      </c>
      <c r="J95" s="54">
        <v>2</v>
      </c>
      <c r="K95" s="27" t="s">
        <v>77</v>
      </c>
      <c r="L95" s="27" t="s">
        <v>864</v>
      </c>
      <c r="M95" s="49" t="s">
        <v>865</v>
      </c>
      <c r="N95" s="27" t="s">
        <v>866</v>
      </c>
      <c r="O95" s="26" t="s">
        <v>310</v>
      </c>
      <c r="P95" s="26" t="s">
        <v>867</v>
      </c>
      <c r="Q95" s="27" t="s">
        <v>82</v>
      </c>
      <c r="R95" s="27" t="s">
        <v>868</v>
      </c>
      <c r="S95" s="27" t="s">
        <v>869</v>
      </c>
      <c r="T95" s="27" t="s">
        <v>664</v>
      </c>
      <c r="U95" s="30" t="s">
        <v>870</v>
      </c>
      <c r="V95" s="30" t="s">
        <v>871</v>
      </c>
      <c r="W95" s="32" t="s">
        <v>876</v>
      </c>
      <c r="X95" s="51" t="s">
        <v>877</v>
      </c>
      <c r="Y95" s="27">
        <v>5000</v>
      </c>
      <c r="Z95" s="30" t="s">
        <v>100</v>
      </c>
      <c r="AA95" s="27">
        <v>10</v>
      </c>
      <c r="AB95" s="27">
        <v>0</v>
      </c>
      <c r="AC95" s="26" t="s">
        <v>638</v>
      </c>
      <c r="AD95" s="27">
        <v>5000</v>
      </c>
      <c r="AE95" s="26" t="s">
        <v>92</v>
      </c>
      <c r="AF95" s="27" t="s">
        <v>93</v>
      </c>
      <c r="AG95" s="33" t="s">
        <v>152</v>
      </c>
      <c r="AH95" s="34" t="s">
        <v>95</v>
      </c>
    </row>
    <row r="96" spans="2:34" ht="112.5" customHeight="1">
      <c r="B96" s="24">
        <f t="shared" si="1"/>
        <v>93</v>
      </c>
      <c r="C96" s="25" t="str">
        <f>"$"&amp;VLOOKUP(LEFT([1]!Table2[[#This Row],[Column2]],2),[1]Definitions!$B$51:$C$66,2,FALSE)&amp;MID([1]!Table2[[#This Row],[Column2]],3,3)&amp;RIGHT([1]!Table2[[#This Row],[Column2]],2)</f>
        <v>$97FE13</v>
      </c>
      <c r="D96" s="32" t="s">
        <v>878</v>
      </c>
      <c r="E96" s="33" t="s">
        <v>879</v>
      </c>
      <c r="F96" s="27" t="s">
        <v>297</v>
      </c>
      <c r="G96" s="54" t="s">
        <v>74</v>
      </c>
      <c r="H96" s="54" t="s">
        <v>75</v>
      </c>
      <c r="I96" s="54" t="s">
        <v>76</v>
      </c>
      <c r="J96" s="54">
        <v>2</v>
      </c>
      <c r="K96" s="27" t="s">
        <v>77</v>
      </c>
      <c r="L96" s="27" t="s">
        <v>864</v>
      </c>
      <c r="M96" s="49" t="s">
        <v>865</v>
      </c>
      <c r="N96" s="27" t="s">
        <v>866</v>
      </c>
      <c r="O96" s="26" t="s">
        <v>880</v>
      </c>
      <c r="P96" s="26" t="s">
        <v>881</v>
      </c>
      <c r="Q96" s="27" t="s">
        <v>82</v>
      </c>
      <c r="R96" s="54" t="s">
        <v>868</v>
      </c>
      <c r="S96" s="27" t="s">
        <v>869</v>
      </c>
      <c r="T96" s="54" t="s">
        <v>664</v>
      </c>
      <c r="U96" s="30" t="s">
        <v>870</v>
      </c>
      <c r="V96" s="30" t="s">
        <v>871</v>
      </c>
      <c r="W96" s="33" t="s">
        <v>882</v>
      </c>
      <c r="X96" s="51" t="s">
        <v>883</v>
      </c>
      <c r="Y96" s="27">
        <v>5000</v>
      </c>
      <c r="Z96" s="30" t="s">
        <v>100</v>
      </c>
      <c r="AA96" s="27">
        <v>10</v>
      </c>
      <c r="AB96" s="27">
        <v>0</v>
      </c>
      <c r="AC96" s="26" t="s">
        <v>884</v>
      </c>
      <c r="AD96" s="27">
        <v>5000</v>
      </c>
      <c r="AE96" s="26" t="s">
        <v>92</v>
      </c>
      <c r="AF96" s="27" t="s">
        <v>93</v>
      </c>
      <c r="AG96" s="76" t="s">
        <v>885</v>
      </c>
      <c r="AH96" s="34" t="s">
        <v>95</v>
      </c>
    </row>
    <row r="97" spans="2:34" ht="132" customHeight="1">
      <c r="B97" s="46">
        <f t="shared" si="1"/>
        <v>94</v>
      </c>
      <c r="C97" s="25" t="str">
        <f>"$"&amp;VLOOKUP(LEFT([1]!Table2[[#This Row],[Column2]],2),[1]Definitions!$B$51:$C$66,2,FALSE)&amp;MID([1]!Table2[[#This Row],[Column2]],3,3)&amp;RIGHT([1]!Table2[[#This Row],[Column2]],2)</f>
        <v>$981B87</v>
      </c>
      <c r="D97" s="25" t="s">
        <v>886</v>
      </c>
      <c r="E97" s="26" t="s">
        <v>887</v>
      </c>
      <c r="F97" s="27" t="s">
        <v>199</v>
      </c>
      <c r="G97" s="54" t="s">
        <v>74</v>
      </c>
      <c r="H97" s="54" t="s">
        <v>246</v>
      </c>
      <c r="I97" s="54" t="s">
        <v>76</v>
      </c>
      <c r="J97" s="54">
        <v>2</v>
      </c>
      <c r="K97" s="27" t="s">
        <v>77</v>
      </c>
      <c r="L97" s="27" t="s">
        <v>888</v>
      </c>
      <c r="M97" s="49" t="s">
        <v>889</v>
      </c>
      <c r="N97" s="27" t="s">
        <v>76</v>
      </c>
      <c r="O97" s="26" t="s">
        <v>218</v>
      </c>
      <c r="P97" s="26" t="s">
        <v>219</v>
      </c>
      <c r="Q97" s="27" t="s">
        <v>199</v>
      </c>
      <c r="R97" s="52" t="s">
        <v>202</v>
      </c>
      <c r="S97" s="27" t="s">
        <v>201</v>
      </c>
      <c r="T97" s="52" t="s">
        <v>200</v>
      </c>
      <c r="U97" s="30" t="s">
        <v>200</v>
      </c>
      <c r="V97" s="30" t="s">
        <v>200</v>
      </c>
      <c r="W97" s="32" t="s">
        <v>890</v>
      </c>
      <c r="X97" s="51" t="s">
        <v>891</v>
      </c>
      <c r="Y97" s="27">
        <v>5000</v>
      </c>
      <c r="Z97" s="30" t="s">
        <v>100</v>
      </c>
      <c r="AA97" s="27">
        <v>100</v>
      </c>
      <c r="AB97" s="27">
        <v>0</v>
      </c>
      <c r="AC97" s="26" t="s">
        <v>892</v>
      </c>
      <c r="AD97" s="27">
        <v>5000</v>
      </c>
      <c r="AE97" s="26" t="s">
        <v>893</v>
      </c>
      <c r="AF97" s="27" t="s">
        <v>93</v>
      </c>
      <c r="AG97" s="26" t="s">
        <v>894</v>
      </c>
      <c r="AH97" s="34" t="s">
        <v>208</v>
      </c>
    </row>
    <row r="98" spans="2:34" ht="81" customHeight="1">
      <c r="B98" s="46">
        <f t="shared" si="1"/>
        <v>95</v>
      </c>
      <c r="C98" s="25" t="str">
        <f>"$"&amp;VLOOKUP(LEFT([1]!Table2[[#This Row],[Column2]],2),[1]Definitions!$B$51:$C$66,2,FALSE)&amp;MID([1]!Table2[[#This Row],[Column2]],3,3)&amp;RIGHT([1]!Table2[[#This Row],[Column2]],2)</f>
        <v>$981E11</v>
      </c>
      <c r="D98" s="47" t="s">
        <v>895</v>
      </c>
      <c r="E98" s="47" t="s">
        <v>896</v>
      </c>
      <c r="F98" s="27" t="s">
        <v>138</v>
      </c>
      <c r="G98" s="48" t="s">
        <v>74</v>
      </c>
      <c r="H98" s="48" t="s">
        <v>75</v>
      </c>
      <c r="I98" s="48" t="s">
        <v>76</v>
      </c>
      <c r="J98" s="48">
        <v>2</v>
      </c>
      <c r="K98" s="27" t="s">
        <v>77</v>
      </c>
      <c r="L98" s="27" t="s">
        <v>897</v>
      </c>
      <c r="M98" s="49" t="s">
        <v>712</v>
      </c>
      <c r="N98" s="27" t="s">
        <v>76</v>
      </c>
      <c r="O98" s="26" t="s">
        <v>898</v>
      </c>
      <c r="P98" s="26" t="s">
        <v>143</v>
      </c>
      <c r="Q98" s="27" t="s">
        <v>82</v>
      </c>
      <c r="R98" s="52" t="s">
        <v>899</v>
      </c>
      <c r="S98" s="27" t="s">
        <v>145</v>
      </c>
      <c r="T98" s="48" t="s">
        <v>900</v>
      </c>
      <c r="U98" s="30" t="s">
        <v>901</v>
      </c>
      <c r="V98" s="30" t="s">
        <v>902</v>
      </c>
      <c r="W98" s="33" t="s">
        <v>903</v>
      </c>
      <c r="X98" s="51" t="s">
        <v>904</v>
      </c>
      <c r="Y98" s="27">
        <v>5000</v>
      </c>
      <c r="Z98" s="30" t="s">
        <v>100</v>
      </c>
      <c r="AA98" s="27">
        <v>10</v>
      </c>
      <c r="AB98" s="27">
        <v>0</v>
      </c>
      <c r="AC98" s="26" t="s">
        <v>151</v>
      </c>
      <c r="AD98" s="27">
        <v>5000</v>
      </c>
      <c r="AE98" s="26" t="s">
        <v>92</v>
      </c>
      <c r="AF98" s="27" t="s">
        <v>93</v>
      </c>
      <c r="AG98" s="51" t="s">
        <v>905</v>
      </c>
      <c r="AH98" s="34" t="s">
        <v>95</v>
      </c>
    </row>
    <row r="99" spans="2:34" ht="123.75" customHeight="1">
      <c r="B99" s="46">
        <f t="shared" si="1"/>
        <v>96</v>
      </c>
      <c r="C99" s="25" t="str">
        <f>"$"&amp;VLOOKUP(LEFT([1]!Table2[[#This Row],[Column2]],2),[1]Definitions!$B$51:$C$66,2,FALSE)&amp;MID([1]!Table2[[#This Row],[Column2]],3,3)&amp;RIGHT([1]!Table2[[#This Row],[Column2]],2)</f>
        <v>$981E15</v>
      </c>
      <c r="D99" s="47" t="s">
        <v>906</v>
      </c>
      <c r="E99" s="47" t="s">
        <v>907</v>
      </c>
      <c r="F99" s="27" t="s">
        <v>138</v>
      </c>
      <c r="G99" s="48" t="s">
        <v>74</v>
      </c>
      <c r="H99" s="48" t="s">
        <v>75</v>
      </c>
      <c r="I99" s="48" t="s">
        <v>76</v>
      </c>
      <c r="J99" s="48">
        <v>2</v>
      </c>
      <c r="K99" s="27" t="s">
        <v>77</v>
      </c>
      <c r="L99" s="27" t="s">
        <v>897</v>
      </c>
      <c r="M99" s="49" t="s">
        <v>712</v>
      </c>
      <c r="N99" s="27" t="s">
        <v>76</v>
      </c>
      <c r="O99" s="26" t="s">
        <v>908</v>
      </c>
      <c r="P99" s="26" t="s">
        <v>143</v>
      </c>
      <c r="Q99" s="27" t="s">
        <v>82</v>
      </c>
      <c r="R99" s="52" t="s">
        <v>899</v>
      </c>
      <c r="S99" s="27" t="s">
        <v>145</v>
      </c>
      <c r="T99" s="48" t="s">
        <v>900</v>
      </c>
      <c r="U99" s="30" t="s">
        <v>901</v>
      </c>
      <c r="V99" s="30" t="s">
        <v>902</v>
      </c>
      <c r="W99" s="33" t="s">
        <v>909</v>
      </c>
      <c r="X99" s="51" t="s">
        <v>910</v>
      </c>
      <c r="Y99" s="27">
        <v>5000</v>
      </c>
      <c r="Z99" s="30" t="s">
        <v>100</v>
      </c>
      <c r="AA99" s="27">
        <v>10</v>
      </c>
      <c r="AB99" s="27">
        <v>0</v>
      </c>
      <c r="AC99" s="26" t="s">
        <v>911</v>
      </c>
      <c r="AD99" s="27">
        <v>5000</v>
      </c>
      <c r="AE99" s="26" t="s">
        <v>92</v>
      </c>
      <c r="AF99" s="27" t="s">
        <v>93</v>
      </c>
      <c r="AG99" s="51" t="s">
        <v>912</v>
      </c>
      <c r="AH99" s="34" t="s">
        <v>95</v>
      </c>
    </row>
    <row r="100" spans="2:34" ht="122.25" customHeight="1">
      <c r="B100" s="46">
        <f t="shared" si="1"/>
        <v>97</v>
      </c>
      <c r="C100" s="77" t="str">
        <f>"$"&amp;VLOOKUP(LEFT([1]!Table2[[#This Row],[Column2]],2),[1]Definitions!$B$51:$C$66,2,FALSE)&amp;MID([1]!Table2[[#This Row],[Column2]],3,3)&amp;RIGHT([1]!Table2[[#This Row],[Column2]],2)</f>
        <v>$987B02</v>
      </c>
      <c r="D100" s="32" t="s">
        <v>913</v>
      </c>
      <c r="E100" s="33" t="s">
        <v>914</v>
      </c>
      <c r="F100" s="27" t="s">
        <v>227</v>
      </c>
      <c r="G100" s="54" t="s">
        <v>74</v>
      </c>
      <c r="H100" s="54" t="s">
        <v>75</v>
      </c>
      <c r="I100" s="54" t="s">
        <v>76</v>
      </c>
      <c r="J100" s="54">
        <v>2</v>
      </c>
      <c r="K100" s="54" t="s">
        <v>77</v>
      </c>
      <c r="L100" s="27" t="s">
        <v>119</v>
      </c>
      <c r="M100" s="49" t="s">
        <v>915</v>
      </c>
      <c r="N100" s="27" t="s">
        <v>76</v>
      </c>
      <c r="O100" s="26" t="s">
        <v>916</v>
      </c>
      <c r="P100" s="26" t="s">
        <v>917</v>
      </c>
      <c r="Q100" s="27" t="s">
        <v>199</v>
      </c>
      <c r="R100" s="52" t="s">
        <v>200</v>
      </c>
      <c r="S100" s="27" t="s">
        <v>201</v>
      </c>
      <c r="T100" s="52" t="s">
        <v>200</v>
      </c>
      <c r="U100" s="30" t="s">
        <v>200</v>
      </c>
      <c r="V100" s="30" t="s">
        <v>200</v>
      </c>
      <c r="W100" s="32" t="s">
        <v>918</v>
      </c>
      <c r="X100" s="33" t="s">
        <v>919</v>
      </c>
      <c r="Y100" s="27">
        <v>2500</v>
      </c>
      <c r="Z100" s="30" t="s">
        <v>100</v>
      </c>
      <c r="AA100" s="27">
        <v>100</v>
      </c>
      <c r="AB100" s="27">
        <v>0</v>
      </c>
      <c r="AC100" s="33" t="s">
        <v>920</v>
      </c>
      <c r="AD100" s="27">
        <v>500</v>
      </c>
      <c r="AE100" s="26" t="s">
        <v>92</v>
      </c>
      <c r="AF100" s="27" t="s">
        <v>93</v>
      </c>
      <c r="AG100" s="51" t="s">
        <v>921</v>
      </c>
      <c r="AH100" s="34" t="s">
        <v>95</v>
      </c>
    </row>
    <row r="101" spans="2:34" ht="56.25" customHeight="1">
      <c r="B101" s="46">
        <f t="shared" si="1"/>
        <v>98</v>
      </c>
      <c r="C101" s="25" t="str">
        <f>"$"&amp;VLOOKUP(LEFT([1]!Table2[[#This Row],[Column2]],2),[1]Definitions!$B$51:$C$66,2,FALSE)&amp;MID([1]!Table2[[#This Row],[Column2]],3,3)&amp;RIGHT([1]!Table2[[#This Row],[Column2]],2)</f>
        <v>$988402</v>
      </c>
      <c r="D101" s="25" t="s">
        <v>922</v>
      </c>
      <c r="E101" s="47" t="s">
        <v>923</v>
      </c>
      <c r="F101" s="27" t="s">
        <v>227</v>
      </c>
      <c r="G101" s="54" t="s">
        <v>74</v>
      </c>
      <c r="H101" s="54" t="s">
        <v>75</v>
      </c>
      <c r="I101" s="54" t="s">
        <v>76</v>
      </c>
      <c r="J101" s="54">
        <v>2</v>
      </c>
      <c r="K101" s="54" t="s">
        <v>77</v>
      </c>
      <c r="L101" s="27" t="s">
        <v>119</v>
      </c>
      <c r="M101" s="49" t="s">
        <v>915</v>
      </c>
      <c r="N101" s="27" t="s">
        <v>76</v>
      </c>
      <c r="O101" s="26" t="s">
        <v>924</v>
      </c>
      <c r="P101" s="26" t="s">
        <v>917</v>
      </c>
      <c r="Q101" s="27" t="s">
        <v>199</v>
      </c>
      <c r="R101" s="52" t="s">
        <v>200</v>
      </c>
      <c r="S101" s="27" t="s">
        <v>201</v>
      </c>
      <c r="T101" s="52" t="s">
        <v>200</v>
      </c>
      <c r="U101" s="30" t="s">
        <v>200</v>
      </c>
      <c r="V101" s="30" t="s">
        <v>200</v>
      </c>
      <c r="W101" s="32" t="s">
        <v>918</v>
      </c>
      <c r="X101" s="52" t="s">
        <v>925</v>
      </c>
      <c r="Y101" s="27">
        <v>2500</v>
      </c>
      <c r="Z101" s="30" t="s">
        <v>100</v>
      </c>
      <c r="AA101" s="27">
        <v>100</v>
      </c>
      <c r="AB101" s="27">
        <v>0</v>
      </c>
      <c r="AC101" s="52" t="s">
        <v>926</v>
      </c>
      <c r="AD101" s="27">
        <v>500</v>
      </c>
      <c r="AE101" s="26" t="s">
        <v>92</v>
      </c>
      <c r="AF101" s="27" t="s">
        <v>93</v>
      </c>
      <c r="AG101" s="51" t="s">
        <v>921</v>
      </c>
      <c r="AH101" s="34" t="s">
        <v>95</v>
      </c>
    </row>
    <row r="102" spans="2:34" ht="101.25" customHeight="1">
      <c r="B102" s="46">
        <f t="shared" si="1"/>
        <v>99</v>
      </c>
      <c r="C102" s="25" t="str">
        <f>"$"&amp;VLOOKUP(LEFT([1]!Table2[[#This Row],[Column2]],2),[1]Definitions!$B$51:$C$66,2,FALSE)&amp;MID([1]!Table2[[#This Row],[Column2]],3,3)&amp;RIGHT([1]!Table2[[#This Row],[Column2]],2)</f>
        <v>$988549</v>
      </c>
      <c r="D102" s="25" t="s">
        <v>927</v>
      </c>
      <c r="E102" s="47" t="s">
        <v>928</v>
      </c>
      <c r="F102" s="27" t="s">
        <v>227</v>
      </c>
      <c r="G102" s="54" t="s">
        <v>74</v>
      </c>
      <c r="H102" s="54" t="s">
        <v>75</v>
      </c>
      <c r="I102" s="54" t="s">
        <v>76</v>
      </c>
      <c r="J102" s="54">
        <v>2</v>
      </c>
      <c r="K102" s="54" t="s">
        <v>77</v>
      </c>
      <c r="L102" s="27" t="s">
        <v>119</v>
      </c>
      <c r="M102" s="49" t="s">
        <v>915</v>
      </c>
      <c r="N102" s="27" t="s">
        <v>76</v>
      </c>
      <c r="O102" s="26" t="s">
        <v>218</v>
      </c>
      <c r="P102" s="26" t="s">
        <v>929</v>
      </c>
      <c r="Q102" s="27" t="s">
        <v>199</v>
      </c>
      <c r="R102" s="52" t="s">
        <v>200</v>
      </c>
      <c r="S102" s="27" t="s">
        <v>201</v>
      </c>
      <c r="T102" s="52" t="s">
        <v>200</v>
      </c>
      <c r="U102" s="30" t="s">
        <v>200</v>
      </c>
      <c r="V102" s="30" t="s">
        <v>200</v>
      </c>
      <c r="W102" s="32" t="s">
        <v>930</v>
      </c>
      <c r="X102" s="52" t="s">
        <v>931</v>
      </c>
      <c r="Y102" s="27">
        <v>2500</v>
      </c>
      <c r="Z102" s="30" t="s">
        <v>100</v>
      </c>
      <c r="AA102" s="27">
        <v>100</v>
      </c>
      <c r="AB102" s="27">
        <v>0</v>
      </c>
      <c r="AC102" s="52" t="s">
        <v>932</v>
      </c>
      <c r="AD102" s="27">
        <v>500</v>
      </c>
      <c r="AE102" s="26" t="s">
        <v>92</v>
      </c>
      <c r="AF102" s="27" t="s">
        <v>93</v>
      </c>
      <c r="AG102" s="51" t="s">
        <v>921</v>
      </c>
      <c r="AH102" s="34" t="s">
        <v>95</v>
      </c>
    </row>
    <row r="103" spans="2:34" ht="90" customHeight="1">
      <c r="B103" s="24">
        <f t="shared" si="1"/>
        <v>100</v>
      </c>
      <c r="C103" s="25" t="str">
        <f>"$"&amp;VLOOKUP(LEFT([1]!Table2[[#This Row],[Column2]],2),[1]Definitions!$B$51:$C$66,2,FALSE)&amp;MID([1]!Table2[[#This Row],[Column2]],3,3)&amp;RIGHT([1]!Table2[[#This Row],[Column2]],2)</f>
        <v>$98AA11</v>
      </c>
      <c r="D103" s="51" t="s">
        <v>933</v>
      </c>
      <c r="E103" s="33" t="s">
        <v>934</v>
      </c>
      <c r="F103" s="27" t="s">
        <v>138</v>
      </c>
      <c r="G103" s="54" t="s">
        <v>74</v>
      </c>
      <c r="H103" s="54" t="s">
        <v>75</v>
      </c>
      <c r="I103" s="54" t="s">
        <v>76</v>
      </c>
      <c r="J103" s="54">
        <v>2</v>
      </c>
      <c r="K103" s="27" t="s">
        <v>77</v>
      </c>
      <c r="L103" s="27" t="s">
        <v>935</v>
      </c>
      <c r="M103" s="49" t="s">
        <v>712</v>
      </c>
      <c r="N103" s="27" t="s">
        <v>92</v>
      </c>
      <c r="O103" s="26" t="s">
        <v>936</v>
      </c>
      <c r="P103" s="26" t="s">
        <v>122</v>
      </c>
      <c r="Q103" s="27" t="s">
        <v>82</v>
      </c>
      <c r="R103" s="27" t="s">
        <v>937</v>
      </c>
      <c r="S103" s="27" t="s">
        <v>782</v>
      </c>
      <c r="T103" s="27" t="s">
        <v>938</v>
      </c>
      <c r="U103" s="30" t="s">
        <v>939</v>
      </c>
      <c r="V103" s="30" t="s">
        <v>940</v>
      </c>
      <c r="W103" s="32" t="s">
        <v>941</v>
      </c>
      <c r="X103" s="78" t="s">
        <v>942</v>
      </c>
      <c r="Y103" s="27">
        <v>500</v>
      </c>
      <c r="Z103" s="30" t="s">
        <v>90</v>
      </c>
      <c r="AA103" s="27">
        <v>10</v>
      </c>
      <c r="AB103" s="27">
        <v>0</v>
      </c>
      <c r="AC103" s="79" t="s">
        <v>943</v>
      </c>
      <c r="AD103" s="27">
        <v>5000</v>
      </c>
      <c r="AE103" s="26" t="s">
        <v>165</v>
      </c>
      <c r="AF103" s="33" t="s">
        <v>93</v>
      </c>
      <c r="AG103" s="26" t="s">
        <v>944</v>
      </c>
      <c r="AH103" s="34" t="s">
        <v>95</v>
      </c>
    </row>
    <row r="104" spans="2:34" ht="45" customHeight="1">
      <c r="B104" s="46">
        <f t="shared" si="1"/>
        <v>101</v>
      </c>
      <c r="C104" s="25" t="str">
        <f>"$"&amp;VLOOKUP(LEFT([1]!Table2[[#This Row],[Column2]],2),[1]Definitions!$B$51:$C$66,2,FALSE)&amp;MID([1]!Table2[[#This Row],[Column2]],3,3)&amp;RIGHT([1]!Table2[[#This Row],[Column2]],2)</f>
        <v>$98AA12</v>
      </c>
      <c r="D104" s="51" t="s">
        <v>945</v>
      </c>
      <c r="E104" s="33" t="s">
        <v>946</v>
      </c>
      <c r="F104" s="27" t="s">
        <v>138</v>
      </c>
      <c r="G104" s="54" t="s">
        <v>74</v>
      </c>
      <c r="H104" s="54" t="s">
        <v>75</v>
      </c>
      <c r="I104" s="54" t="s">
        <v>76</v>
      </c>
      <c r="J104" s="54">
        <v>2</v>
      </c>
      <c r="K104" s="27" t="s">
        <v>77</v>
      </c>
      <c r="L104" s="27" t="s">
        <v>935</v>
      </c>
      <c r="M104" s="49" t="s">
        <v>712</v>
      </c>
      <c r="N104" s="27" t="s">
        <v>92</v>
      </c>
      <c r="O104" s="26" t="s">
        <v>936</v>
      </c>
      <c r="P104" s="26" t="s">
        <v>122</v>
      </c>
      <c r="Q104" s="27" t="s">
        <v>82</v>
      </c>
      <c r="R104" s="27" t="s">
        <v>937</v>
      </c>
      <c r="S104" s="27" t="s">
        <v>782</v>
      </c>
      <c r="T104" s="27" t="s">
        <v>938</v>
      </c>
      <c r="U104" s="30" t="s">
        <v>939</v>
      </c>
      <c r="V104" s="30" t="s">
        <v>940</v>
      </c>
      <c r="W104" s="32" t="s">
        <v>947</v>
      </c>
      <c r="X104" s="51" t="s">
        <v>877</v>
      </c>
      <c r="Y104" s="27">
        <v>5000</v>
      </c>
      <c r="Z104" s="30" t="s">
        <v>100</v>
      </c>
      <c r="AA104" s="27">
        <v>10</v>
      </c>
      <c r="AB104" s="27">
        <v>0</v>
      </c>
      <c r="AC104" s="26" t="s">
        <v>638</v>
      </c>
      <c r="AD104" s="27">
        <v>5000</v>
      </c>
      <c r="AE104" s="26" t="s">
        <v>92</v>
      </c>
      <c r="AF104" s="33" t="s">
        <v>93</v>
      </c>
      <c r="AG104" s="26" t="s">
        <v>944</v>
      </c>
      <c r="AH104" s="34" t="s">
        <v>95</v>
      </c>
    </row>
    <row r="105" spans="2:34" ht="45" customHeight="1">
      <c r="B105" s="46">
        <f t="shared" si="1"/>
        <v>102</v>
      </c>
      <c r="C105" s="25" t="str">
        <f>"$"&amp;VLOOKUP(LEFT([1]!Table2[[#This Row],[Column2]],2),[1]Definitions!$B$51:$C$66,2,FALSE)&amp;MID([1]!Table2[[#This Row],[Column2]],3,3)&amp;RIGHT([1]!Table2[[#This Row],[Column2]],2)</f>
        <v>$98AA13</v>
      </c>
      <c r="D105" s="51" t="s">
        <v>948</v>
      </c>
      <c r="E105" s="33" t="s">
        <v>949</v>
      </c>
      <c r="F105" s="27" t="s">
        <v>138</v>
      </c>
      <c r="G105" s="54" t="s">
        <v>74</v>
      </c>
      <c r="H105" s="54" t="s">
        <v>75</v>
      </c>
      <c r="I105" s="54" t="s">
        <v>76</v>
      </c>
      <c r="J105" s="54">
        <v>2</v>
      </c>
      <c r="K105" s="27" t="s">
        <v>77</v>
      </c>
      <c r="L105" s="27" t="s">
        <v>935</v>
      </c>
      <c r="M105" s="49" t="s">
        <v>712</v>
      </c>
      <c r="N105" s="27" t="s">
        <v>92</v>
      </c>
      <c r="O105" s="26" t="s">
        <v>936</v>
      </c>
      <c r="P105" s="26" t="s">
        <v>122</v>
      </c>
      <c r="Q105" s="27" t="s">
        <v>82</v>
      </c>
      <c r="R105" s="27" t="s">
        <v>937</v>
      </c>
      <c r="S105" s="27" t="s">
        <v>782</v>
      </c>
      <c r="T105" s="27" t="s">
        <v>938</v>
      </c>
      <c r="U105" s="30" t="s">
        <v>939</v>
      </c>
      <c r="V105" s="30" t="s">
        <v>940</v>
      </c>
      <c r="W105" s="32" t="s">
        <v>947</v>
      </c>
      <c r="X105" s="51" t="s">
        <v>883</v>
      </c>
      <c r="Y105" s="27">
        <v>5000</v>
      </c>
      <c r="Z105" s="30" t="s">
        <v>100</v>
      </c>
      <c r="AA105" s="27">
        <v>10</v>
      </c>
      <c r="AB105" s="27">
        <v>0</v>
      </c>
      <c r="AC105" s="26" t="s">
        <v>884</v>
      </c>
      <c r="AD105" s="27">
        <v>5000</v>
      </c>
      <c r="AE105" s="26" t="s">
        <v>92</v>
      </c>
      <c r="AF105" s="33" t="s">
        <v>93</v>
      </c>
      <c r="AG105" s="26" t="s">
        <v>944</v>
      </c>
      <c r="AH105" s="34" t="s">
        <v>95</v>
      </c>
    </row>
    <row r="106" spans="2:34" ht="101.25" customHeight="1">
      <c r="B106" s="46">
        <f t="shared" si="1"/>
        <v>103</v>
      </c>
      <c r="C106" s="25" t="str">
        <f>"$"&amp;VLOOKUP(LEFT([1]!Table2[[#This Row],[Column2]],2),[1]Definitions!$B$51:$C$66,2,FALSE)&amp;MID([1]!Table2[[#This Row],[Column2]],3,3)&amp;RIGHT([1]!Table2[[#This Row],[Column2]],2)</f>
        <v>$98E12A</v>
      </c>
      <c r="D106" s="25" t="s">
        <v>950</v>
      </c>
      <c r="E106" s="47" t="s">
        <v>951</v>
      </c>
      <c r="F106" s="27" t="s">
        <v>138</v>
      </c>
      <c r="G106" s="52" t="s">
        <v>74</v>
      </c>
      <c r="H106" s="52" t="s">
        <v>75</v>
      </c>
      <c r="I106" s="52" t="s">
        <v>76</v>
      </c>
      <c r="J106" s="52">
        <v>2</v>
      </c>
      <c r="K106" s="27" t="s">
        <v>77</v>
      </c>
      <c r="L106" s="27" t="s">
        <v>952</v>
      </c>
      <c r="M106" s="66" t="s">
        <v>953</v>
      </c>
      <c r="N106" s="27" t="s">
        <v>954</v>
      </c>
      <c r="O106" s="26" t="s">
        <v>230</v>
      </c>
      <c r="P106" s="26" t="s">
        <v>955</v>
      </c>
      <c r="Q106" s="27" t="s">
        <v>199</v>
      </c>
      <c r="R106" s="52" t="s">
        <v>202</v>
      </c>
      <c r="S106" s="27" t="s">
        <v>201</v>
      </c>
      <c r="T106" s="52" t="s">
        <v>202</v>
      </c>
      <c r="U106" s="30" t="s">
        <v>202</v>
      </c>
      <c r="V106" s="30" t="s">
        <v>202</v>
      </c>
      <c r="W106" s="33" t="s">
        <v>956</v>
      </c>
      <c r="X106" s="51" t="s">
        <v>957</v>
      </c>
      <c r="Y106" s="27">
        <v>5000</v>
      </c>
      <c r="Z106" s="30" t="s">
        <v>100</v>
      </c>
      <c r="AA106" s="27">
        <v>100</v>
      </c>
      <c r="AB106" s="27">
        <v>0</v>
      </c>
      <c r="AC106" s="26" t="s">
        <v>958</v>
      </c>
      <c r="AD106" s="27">
        <v>500</v>
      </c>
      <c r="AE106" s="26" t="s">
        <v>92</v>
      </c>
      <c r="AF106" s="27" t="s">
        <v>93</v>
      </c>
      <c r="AG106" s="32" t="s">
        <v>959</v>
      </c>
      <c r="AH106" s="34" t="s">
        <v>95</v>
      </c>
    </row>
    <row r="107" spans="2:34" ht="67.5" customHeight="1">
      <c r="B107" s="46">
        <f t="shared" si="1"/>
        <v>104</v>
      </c>
      <c r="C107" s="25" t="str">
        <f>"$"&amp;VLOOKUP(LEFT([1]!Table2[[#This Row],[Column2]],2),[1]Definitions!$B$51:$C$66,2,FALSE)&amp;MID([1]!Table2[[#This Row],[Column2]],3,3)&amp;RIGHT([1]!Table2[[#This Row],[Column2]],2)</f>
        <v>$9A4000</v>
      </c>
      <c r="D107" s="51" t="s">
        <v>960</v>
      </c>
      <c r="E107" s="26" t="s">
        <v>961</v>
      </c>
      <c r="F107" s="27" t="s">
        <v>962</v>
      </c>
      <c r="G107" s="54" t="s">
        <v>74</v>
      </c>
      <c r="H107" s="54" t="s">
        <v>75</v>
      </c>
      <c r="I107" s="54" t="s">
        <v>76</v>
      </c>
      <c r="J107" s="54">
        <v>2</v>
      </c>
      <c r="K107" s="27" t="s">
        <v>77</v>
      </c>
      <c r="L107" s="27" t="s">
        <v>963</v>
      </c>
      <c r="M107" s="27" t="s">
        <v>963</v>
      </c>
      <c r="N107" s="27" t="s">
        <v>76</v>
      </c>
      <c r="O107" s="26"/>
      <c r="P107" s="62" t="s">
        <v>964</v>
      </c>
      <c r="Q107" s="62" t="s">
        <v>965</v>
      </c>
      <c r="R107" s="27" t="s">
        <v>202</v>
      </c>
      <c r="S107" s="27" t="s">
        <v>201</v>
      </c>
      <c r="T107" s="27" t="s">
        <v>202</v>
      </c>
      <c r="U107" s="30" t="s">
        <v>202</v>
      </c>
      <c r="V107" s="30" t="s">
        <v>202</v>
      </c>
      <c r="W107" s="25" t="s">
        <v>966</v>
      </c>
      <c r="X107" s="62" t="s">
        <v>967</v>
      </c>
      <c r="Y107" s="27">
        <v>0</v>
      </c>
      <c r="Z107" s="30" t="s">
        <v>100</v>
      </c>
      <c r="AA107" s="27">
        <v>100</v>
      </c>
      <c r="AB107" s="27">
        <v>1</v>
      </c>
      <c r="AC107" s="27" t="s">
        <v>968</v>
      </c>
      <c r="AD107" s="27">
        <v>0</v>
      </c>
      <c r="AE107" s="26" t="s">
        <v>92</v>
      </c>
      <c r="AF107" s="80" t="s">
        <v>969</v>
      </c>
      <c r="AG107" s="26" t="s">
        <v>252</v>
      </c>
      <c r="AH107" s="34" t="s">
        <v>95</v>
      </c>
    </row>
    <row r="108" spans="2:34" ht="78.75" customHeight="1">
      <c r="B108" s="46">
        <f t="shared" si="1"/>
        <v>105</v>
      </c>
      <c r="C108" s="25" t="str">
        <f>"$"&amp;VLOOKUP(LEFT([1]!Table2[[#This Row],[Column2]],2),[1]Definitions!$B$51:$C$66,2,FALSE)&amp;MID([1]!Table2[[#This Row],[Column2]],3,3)&amp;RIGHT([1]!Table2[[#This Row],[Column2]],2)</f>
        <v>$9A4A00</v>
      </c>
      <c r="D108" s="51" t="s">
        <v>970</v>
      </c>
      <c r="E108" s="26" t="s">
        <v>971</v>
      </c>
      <c r="F108" s="27" t="s">
        <v>962</v>
      </c>
      <c r="G108" s="54" t="s">
        <v>74</v>
      </c>
      <c r="H108" s="54" t="s">
        <v>75</v>
      </c>
      <c r="I108" s="54" t="s">
        <v>76</v>
      </c>
      <c r="J108" s="54">
        <v>2</v>
      </c>
      <c r="K108" s="27" t="s">
        <v>77</v>
      </c>
      <c r="L108" s="27" t="s">
        <v>963</v>
      </c>
      <c r="M108" s="27" t="s">
        <v>963</v>
      </c>
      <c r="N108" s="27" t="s">
        <v>76</v>
      </c>
      <c r="O108" s="26"/>
      <c r="P108" s="62" t="s">
        <v>972</v>
      </c>
      <c r="Q108" s="62" t="s">
        <v>965</v>
      </c>
      <c r="R108" s="27" t="s">
        <v>202</v>
      </c>
      <c r="S108" s="27" t="s">
        <v>201</v>
      </c>
      <c r="T108" s="27" t="s">
        <v>202</v>
      </c>
      <c r="U108" s="30" t="s">
        <v>202</v>
      </c>
      <c r="V108" s="30" t="s">
        <v>202</v>
      </c>
      <c r="W108" s="25" t="s">
        <v>966</v>
      </c>
      <c r="X108" s="62" t="s">
        <v>973</v>
      </c>
      <c r="Y108" s="27">
        <v>0</v>
      </c>
      <c r="Z108" s="30" t="s">
        <v>100</v>
      </c>
      <c r="AA108" s="27">
        <v>100</v>
      </c>
      <c r="AB108" s="27">
        <v>1</v>
      </c>
      <c r="AC108" s="27" t="s">
        <v>974</v>
      </c>
      <c r="AD108" s="27">
        <v>0</v>
      </c>
      <c r="AE108" s="26" t="s">
        <v>92</v>
      </c>
      <c r="AF108" s="80" t="s">
        <v>969</v>
      </c>
      <c r="AG108" s="26" t="s">
        <v>252</v>
      </c>
      <c r="AH108" s="34" t="s">
        <v>95</v>
      </c>
    </row>
    <row r="109" spans="2:34" ht="45" customHeight="1">
      <c r="B109" s="46">
        <f t="shared" si="1"/>
        <v>106</v>
      </c>
      <c r="C109" s="25" t="str">
        <f>"$"&amp;VLOOKUP(LEFT([1]!Table2[[#This Row],[Column2]],2),[1]Definitions!$B$51:$C$66,2,FALSE)&amp;MID([1]!Table2[[#This Row],[Column2]],3,3)&amp;RIGHT([1]!Table2[[#This Row],[Column2]],2)</f>
        <v>$9A4A91</v>
      </c>
      <c r="D109" s="51" t="s">
        <v>975</v>
      </c>
      <c r="E109" s="26" t="s">
        <v>976</v>
      </c>
      <c r="F109" s="27" t="s">
        <v>962</v>
      </c>
      <c r="G109" s="54" t="s">
        <v>74</v>
      </c>
      <c r="H109" s="54" t="s">
        <v>75</v>
      </c>
      <c r="I109" s="54" t="s">
        <v>76</v>
      </c>
      <c r="J109" s="54">
        <v>2</v>
      </c>
      <c r="K109" s="27" t="s">
        <v>77</v>
      </c>
      <c r="L109" s="27" t="s">
        <v>963</v>
      </c>
      <c r="M109" s="27" t="s">
        <v>963</v>
      </c>
      <c r="N109" s="27" t="s">
        <v>76</v>
      </c>
      <c r="O109" s="26"/>
      <c r="P109" s="32" t="s">
        <v>977</v>
      </c>
      <c r="Q109" s="32" t="s">
        <v>965</v>
      </c>
      <c r="R109" s="27" t="s">
        <v>202</v>
      </c>
      <c r="S109" s="27" t="s">
        <v>201</v>
      </c>
      <c r="T109" s="27" t="s">
        <v>202</v>
      </c>
      <c r="U109" s="30" t="s">
        <v>202</v>
      </c>
      <c r="V109" s="30" t="s">
        <v>202</v>
      </c>
      <c r="W109" s="25" t="s">
        <v>966</v>
      </c>
      <c r="X109" s="32" t="s">
        <v>978</v>
      </c>
      <c r="Y109" s="27">
        <v>0</v>
      </c>
      <c r="Z109" s="30" t="s">
        <v>100</v>
      </c>
      <c r="AA109" s="27">
        <v>100</v>
      </c>
      <c r="AB109" s="27">
        <v>1</v>
      </c>
      <c r="AC109" s="27" t="s">
        <v>979</v>
      </c>
      <c r="AD109" s="27">
        <v>0</v>
      </c>
      <c r="AE109" s="26" t="s">
        <v>92</v>
      </c>
      <c r="AF109" s="80" t="s">
        <v>969</v>
      </c>
      <c r="AG109" s="26" t="s">
        <v>252</v>
      </c>
      <c r="AH109" s="34" t="s">
        <v>95</v>
      </c>
    </row>
    <row r="110" spans="2:34" ht="45" customHeight="1">
      <c r="B110" s="46">
        <f t="shared" si="1"/>
        <v>107</v>
      </c>
      <c r="C110" s="25" t="str">
        <f>"$"&amp;VLOOKUP(LEFT([1]!Table2[[#This Row],[Column2]],2),[1]Definitions!$B$51:$C$66,2,FALSE)&amp;MID([1]!Table2[[#This Row],[Column2]],3,3)&amp;RIGHT([1]!Table2[[#This Row],[Column2]],2)</f>
        <v>$9A4C00</v>
      </c>
      <c r="D110" s="51" t="s">
        <v>980</v>
      </c>
      <c r="E110" s="26" t="s">
        <v>981</v>
      </c>
      <c r="F110" s="27" t="s">
        <v>962</v>
      </c>
      <c r="G110" s="54" t="s">
        <v>74</v>
      </c>
      <c r="H110" s="54" t="s">
        <v>75</v>
      </c>
      <c r="I110" s="54" t="s">
        <v>76</v>
      </c>
      <c r="J110" s="54">
        <v>2</v>
      </c>
      <c r="K110" s="27" t="s">
        <v>77</v>
      </c>
      <c r="L110" s="27" t="s">
        <v>963</v>
      </c>
      <c r="M110" s="27" t="s">
        <v>963</v>
      </c>
      <c r="N110" s="27" t="s">
        <v>76</v>
      </c>
      <c r="O110" s="26"/>
      <c r="P110" s="62" t="s">
        <v>982</v>
      </c>
      <c r="Q110" s="62" t="s">
        <v>965</v>
      </c>
      <c r="R110" s="27" t="s">
        <v>202</v>
      </c>
      <c r="S110" s="27" t="s">
        <v>201</v>
      </c>
      <c r="T110" s="27" t="s">
        <v>202</v>
      </c>
      <c r="U110" s="30" t="s">
        <v>202</v>
      </c>
      <c r="V110" s="30" t="s">
        <v>202</v>
      </c>
      <c r="W110" s="25" t="s">
        <v>966</v>
      </c>
      <c r="X110" s="62" t="s">
        <v>983</v>
      </c>
      <c r="Y110" s="27">
        <v>0</v>
      </c>
      <c r="Z110" s="30" t="s">
        <v>100</v>
      </c>
      <c r="AA110" s="27">
        <v>100</v>
      </c>
      <c r="AB110" s="27">
        <v>1</v>
      </c>
      <c r="AC110" s="27" t="s">
        <v>984</v>
      </c>
      <c r="AD110" s="27">
        <v>0</v>
      </c>
      <c r="AE110" s="26" t="s">
        <v>92</v>
      </c>
      <c r="AF110" s="80" t="s">
        <v>969</v>
      </c>
      <c r="AG110" s="26" t="s">
        <v>252</v>
      </c>
      <c r="AH110" s="34" t="s">
        <v>95</v>
      </c>
    </row>
    <row r="111" spans="2:34" ht="45" customHeight="1">
      <c r="B111" s="46">
        <f t="shared" si="1"/>
        <v>108</v>
      </c>
      <c r="C111" s="25" t="str">
        <f>"$"&amp;VLOOKUP(LEFT([1]!Table2[[#This Row],[Column2]],2),[1]Definitions!$B$51:$C$66,2,FALSE)&amp;MID([1]!Table2[[#This Row],[Column2]],3,3)&amp;RIGHT([1]!Table2[[#This Row],[Column2]],2)</f>
        <v>$9A4D00</v>
      </c>
      <c r="D111" s="51" t="s">
        <v>985</v>
      </c>
      <c r="E111" s="26" t="s">
        <v>986</v>
      </c>
      <c r="F111" s="27" t="s">
        <v>962</v>
      </c>
      <c r="G111" s="54" t="s">
        <v>74</v>
      </c>
      <c r="H111" s="54" t="s">
        <v>75</v>
      </c>
      <c r="I111" s="54" t="s">
        <v>76</v>
      </c>
      <c r="J111" s="54">
        <v>2</v>
      </c>
      <c r="K111" s="27" t="s">
        <v>77</v>
      </c>
      <c r="L111" s="27" t="s">
        <v>963</v>
      </c>
      <c r="M111" s="27" t="s">
        <v>963</v>
      </c>
      <c r="N111" s="27" t="s">
        <v>76</v>
      </c>
      <c r="O111" s="26"/>
      <c r="P111" s="62" t="s">
        <v>987</v>
      </c>
      <c r="Q111" s="62" t="s">
        <v>965</v>
      </c>
      <c r="R111" s="27" t="s">
        <v>202</v>
      </c>
      <c r="S111" s="27" t="s">
        <v>201</v>
      </c>
      <c r="T111" s="27" t="s">
        <v>202</v>
      </c>
      <c r="U111" s="30" t="s">
        <v>202</v>
      </c>
      <c r="V111" s="30" t="s">
        <v>202</v>
      </c>
      <c r="W111" s="25" t="s">
        <v>966</v>
      </c>
      <c r="X111" s="62" t="s">
        <v>988</v>
      </c>
      <c r="Y111" s="27">
        <v>0</v>
      </c>
      <c r="Z111" s="30" t="s">
        <v>100</v>
      </c>
      <c r="AA111" s="27">
        <v>100</v>
      </c>
      <c r="AB111" s="27">
        <v>1</v>
      </c>
      <c r="AC111" s="27" t="s">
        <v>989</v>
      </c>
      <c r="AD111" s="27">
        <v>0</v>
      </c>
      <c r="AE111" s="26" t="s">
        <v>92</v>
      </c>
      <c r="AF111" s="80" t="s">
        <v>969</v>
      </c>
      <c r="AG111" s="26" t="s">
        <v>252</v>
      </c>
      <c r="AH111" s="34" t="s">
        <v>95</v>
      </c>
    </row>
    <row r="112" spans="2:34" ht="78.75" customHeight="1">
      <c r="B112" s="46">
        <f t="shared" si="1"/>
        <v>109</v>
      </c>
      <c r="C112" s="52" t="str">
        <f>"$"&amp;VLOOKUP(LEFT([1]!Table2[[#This Row],[Column2]],2),[1]Definitions!$B$51:$C$66,2,FALSE)&amp;MID([1]!Table2[[#This Row],[Column2]],3,3)&amp;RIGHT([1]!Table2[[#This Row],[Column2]],2)</f>
        <v>$9A9000</v>
      </c>
      <c r="D112" s="47" t="s">
        <v>990</v>
      </c>
      <c r="E112" s="47" t="s">
        <v>991</v>
      </c>
      <c r="F112" s="52" t="s">
        <v>227</v>
      </c>
      <c r="G112" s="52" t="s">
        <v>74</v>
      </c>
      <c r="H112" s="52" t="s">
        <v>75</v>
      </c>
      <c r="I112" s="52" t="s">
        <v>76</v>
      </c>
      <c r="J112" s="52">
        <v>2</v>
      </c>
      <c r="K112" s="52" t="s">
        <v>77</v>
      </c>
      <c r="L112" s="52" t="s">
        <v>992</v>
      </c>
      <c r="M112" s="52" t="s">
        <v>993</v>
      </c>
      <c r="N112" s="52" t="s">
        <v>994</v>
      </c>
      <c r="O112" s="52" t="s">
        <v>995</v>
      </c>
      <c r="P112" s="52" t="s">
        <v>440</v>
      </c>
      <c r="Q112" s="27" t="s">
        <v>199</v>
      </c>
      <c r="R112" s="52" t="s">
        <v>202</v>
      </c>
      <c r="S112" s="52" t="s">
        <v>201</v>
      </c>
      <c r="T112" s="52" t="s">
        <v>202</v>
      </c>
      <c r="U112" s="52" t="s">
        <v>202</v>
      </c>
      <c r="V112" s="52" t="s">
        <v>202</v>
      </c>
      <c r="W112" s="47" t="s">
        <v>996</v>
      </c>
      <c r="X112" s="51" t="s">
        <v>997</v>
      </c>
      <c r="Y112" s="52">
        <v>1000</v>
      </c>
      <c r="Z112" s="30" t="s">
        <v>998</v>
      </c>
      <c r="AA112" s="52">
        <v>100</v>
      </c>
      <c r="AB112" s="52">
        <v>0</v>
      </c>
      <c r="AC112" s="26" t="s">
        <v>999</v>
      </c>
      <c r="AD112" s="52">
        <v>750</v>
      </c>
      <c r="AE112" s="26" t="s">
        <v>92</v>
      </c>
      <c r="AF112" s="27" t="s">
        <v>93</v>
      </c>
      <c r="AG112" s="25" t="s">
        <v>1000</v>
      </c>
      <c r="AH112" s="34" t="s">
        <v>95</v>
      </c>
    </row>
    <row r="113" spans="2:34" ht="123.75" customHeight="1">
      <c r="B113" s="46">
        <f t="shared" si="1"/>
        <v>110</v>
      </c>
      <c r="C113" s="51" t="str">
        <f>"$"&amp;VLOOKUP(LEFT([1]!Table2[[#This Row],[Column2]],2),[1]Definitions!$B$51:$C$66,2,FALSE)&amp;MID([1]!Table2[[#This Row],[Column2]],3,3)&amp;RIGHT([1]!Table2[[#This Row],[Column2]],2)</f>
        <v>$9E7211</v>
      </c>
      <c r="D113" s="51" t="s">
        <v>1001</v>
      </c>
      <c r="E113" s="26" t="s">
        <v>1002</v>
      </c>
      <c r="F113" s="27" t="s">
        <v>1003</v>
      </c>
      <c r="G113" s="27" t="s">
        <v>74</v>
      </c>
      <c r="H113" s="27" t="s">
        <v>75</v>
      </c>
      <c r="I113" s="27" t="s">
        <v>76</v>
      </c>
      <c r="J113" s="27">
        <v>2</v>
      </c>
      <c r="K113" s="27" t="s">
        <v>77</v>
      </c>
      <c r="L113" s="27" t="s">
        <v>1004</v>
      </c>
      <c r="M113" s="66" t="s">
        <v>1005</v>
      </c>
      <c r="N113" s="27" t="s">
        <v>1006</v>
      </c>
      <c r="O113" s="26" t="s">
        <v>1007</v>
      </c>
      <c r="P113" s="26" t="s">
        <v>311</v>
      </c>
      <c r="Q113" s="27" t="s">
        <v>82</v>
      </c>
      <c r="R113" s="27" t="s">
        <v>1008</v>
      </c>
      <c r="S113" s="32" t="s">
        <v>178</v>
      </c>
      <c r="T113" s="27" t="s">
        <v>1009</v>
      </c>
      <c r="U113" s="30" t="s">
        <v>608</v>
      </c>
      <c r="V113" s="30" t="s">
        <v>1010</v>
      </c>
      <c r="W113" s="33" t="s">
        <v>1011</v>
      </c>
      <c r="X113" s="51" t="s">
        <v>1012</v>
      </c>
      <c r="Y113" s="27">
        <v>5000</v>
      </c>
      <c r="Z113" s="30" t="s">
        <v>90</v>
      </c>
      <c r="AA113" s="27">
        <v>10</v>
      </c>
      <c r="AB113" s="27">
        <v>0</v>
      </c>
      <c r="AC113" s="26" t="s">
        <v>184</v>
      </c>
      <c r="AD113" s="27">
        <v>500</v>
      </c>
      <c r="AE113" s="26" t="s">
        <v>165</v>
      </c>
      <c r="AF113" s="27" t="s">
        <v>93</v>
      </c>
      <c r="AG113" s="81" t="s">
        <v>1013</v>
      </c>
      <c r="AH113" s="34" t="s">
        <v>95</v>
      </c>
    </row>
    <row r="114" spans="2:34" ht="101.25" customHeight="1">
      <c r="B114" s="46">
        <f t="shared" si="1"/>
        <v>111</v>
      </c>
      <c r="C114" s="25" t="str">
        <f>"$"&amp;VLOOKUP(LEFT([1]!Table2[[#This Row],[Column2]],2),[1]Definitions!$B$51:$C$66,2,FALSE)&amp;MID([1]!Table2[[#This Row],[Column2]],3,3)&amp;RIGHT([1]!Table2[[#This Row],[Column2]],2)</f>
        <v>$9EAB00</v>
      </c>
      <c r="D114" s="33" t="s">
        <v>1014</v>
      </c>
      <c r="E114" s="33" t="s">
        <v>1015</v>
      </c>
      <c r="F114" s="27" t="s">
        <v>227</v>
      </c>
      <c r="G114" s="54" t="s">
        <v>74</v>
      </c>
      <c r="H114" s="54" t="s">
        <v>75</v>
      </c>
      <c r="I114" s="54" t="s">
        <v>76</v>
      </c>
      <c r="J114" s="54">
        <v>2</v>
      </c>
      <c r="K114" s="27" t="s">
        <v>77</v>
      </c>
      <c r="L114" s="27" t="s">
        <v>1016</v>
      </c>
      <c r="M114" s="49" t="s">
        <v>1017</v>
      </c>
      <c r="N114" s="27" t="s">
        <v>76</v>
      </c>
      <c r="O114" s="26" t="s">
        <v>218</v>
      </c>
      <c r="P114" s="26" t="s">
        <v>219</v>
      </c>
      <c r="Q114" s="27" t="s">
        <v>199</v>
      </c>
      <c r="R114" s="52" t="s">
        <v>202</v>
      </c>
      <c r="S114" s="27" t="s">
        <v>201</v>
      </c>
      <c r="T114" s="52" t="s">
        <v>202</v>
      </c>
      <c r="U114" s="30" t="s">
        <v>202</v>
      </c>
      <c r="V114" s="30" t="s">
        <v>202</v>
      </c>
      <c r="W114" s="32" t="s">
        <v>1018</v>
      </c>
      <c r="X114" s="51" t="s">
        <v>1019</v>
      </c>
      <c r="Y114" s="27">
        <v>5000</v>
      </c>
      <c r="Z114" s="30" t="s">
        <v>100</v>
      </c>
      <c r="AA114" s="27">
        <v>100</v>
      </c>
      <c r="AB114" s="27">
        <v>0</v>
      </c>
      <c r="AC114" s="26" t="s">
        <v>1020</v>
      </c>
      <c r="AD114" s="27">
        <v>5000</v>
      </c>
      <c r="AE114" s="33" t="s">
        <v>1021</v>
      </c>
      <c r="AF114" s="27" t="s">
        <v>93</v>
      </c>
      <c r="AG114" s="51" t="s">
        <v>376</v>
      </c>
      <c r="AH114" s="34" t="s">
        <v>208</v>
      </c>
    </row>
    <row r="115" spans="2:34" ht="90" customHeight="1">
      <c r="B115" s="46">
        <f t="shared" si="1"/>
        <v>112</v>
      </c>
      <c r="C115" s="25" t="str">
        <f>"$"&amp;VLOOKUP(LEFT([1]!Table2[[#This Row],[Column2]],2),[1]Definitions!$B$51:$C$66,2,FALSE)&amp;MID([1]!Table2[[#This Row],[Column2]],3,3)&amp;RIGHT([1]!Table2[[#This Row],[Column2]],2)</f>
        <v>$9F0864</v>
      </c>
      <c r="D115" s="47" t="s">
        <v>1022</v>
      </c>
      <c r="E115" s="47" t="s">
        <v>1023</v>
      </c>
      <c r="F115" s="27" t="s">
        <v>227</v>
      </c>
      <c r="G115" s="54" t="s">
        <v>74</v>
      </c>
      <c r="H115" s="54" t="s">
        <v>75</v>
      </c>
      <c r="I115" s="54" t="s">
        <v>76</v>
      </c>
      <c r="J115" s="54">
        <v>2</v>
      </c>
      <c r="K115" s="54" t="s">
        <v>77</v>
      </c>
      <c r="L115" s="27" t="s">
        <v>1024</v>
      </c>
      <c r="M115" s="49" t="s">
        <v>1025</v>
      </c>
      <c r="N115" s="27" t="s">
        <v>76</v>
      </c>
      <c r="O115" s="26" t="s">
        <v>1026</v>
      </c>
      <c r="P115" s="26" t="s">
        <v>1027</v>
      </c>
      <c r="Q115" s="27" t="s">
        <v>1028</v>
      </c>
      <c r="R115" s="52" t="s">
        <v>200</v>
      </c>
      <c r="S115" s="27" t="s">
        <v>201</v>
      </c>
      <c r="T115" s="52" t="s">
        <v>200</v>
      </c>
      <c r="U115" s="30" t="s">
        <v>200</v>
      </c>
      <c r="V115" s="30" t="s">
        <v>200</v>
      </c>
      <c r="W115" s="32" t="s">
        <v>1029</v>
      </c>
      <c r="X115" s="52" t="s">
        <v>1030</v>
      </c>
      <c r="Y115" s="27">
        <v>2500</v>
      </c>
      <c r="Z115" s="30" t="s">
        <v>100</v>
      </c>
      <c r="AA115" s="27">
        <v>100</v>
      </c>
      <c r="AB115" s="27">
        <v>0</v>
      </c>
      <c r="AC115" s="54" t="s">
        <v>1031</v>
      </c>
      <c r="AD115" s="27">
        <v>500</v>
      </c>
      <c r="AE115" s="26" t="s">
        <v>1032</v>
      </c>
      <c r="AF115" s="27" t="s">
        <v>93</v>
      </c>
      <c r="AG115" s="51" t="s">
        <v>207</v>
      </c>
      <c r="AH115" s="34" t="s">
        <v>208</v>
      </c>
    </row>
    <row r="116" spans="2:34" ht="101.25" customHeight="1">
      <c r="B116" s="46">
        <f t="shared" si="1"/>
        <v>113</v>
      </c>
      <c r="C116" s="25" t="str">
        <f>"$"&amp;VLOOKUP(LEFT([1]!Table2[[#This Row],[Column2]],2),[1]Definitions!$B$51:$C$66,2,FALSE)&amp;MID([1]!Table2[[#This Row],[Column2]],3,3)&amp;RIGHT([1]!Table2[[#This Row],[Column2]],2)</f>
        <v>$9F1A98</v>
      </c>
      <c r="D116" s="47" t="s">
        <v>1033</v>
      </c>
      <c r="E116" s="47" t="s">
        <v>1034</v>
      </c>
      <c r="F116" s="27" t="s">
        <v>1003</v>
      </c>
      <c r="G116" s="48" t="s">
        <v>74</v>
      </c>
      <c r="H116" s="30" t="s">
        <v>75</v>
      </c>
      <c r="I116" s="30" t="s">
        <v>76</v>
      </c>
      <c r="J116" s="27">
        <v>2</v>
      </c>
      <c r="K116" s="27" t="s">
        <v>77</v>
      </c>
      <c r="L116" s="27" t="s">
        <v>1035</v>
      </c>
      <c r="M116" s="66" t="s">
        <v>1036</v>
      </c>
      <c r="N116" s="27" t="s">
        <v>1037</v>
      </c>
      <c r="O116" s="26" t="s">
        <v>1038</v>
      </c>
      <c r="P116" s="26" t="s">
        <v>1039</v>
      </c>
      <c r="Q116" s="27" t="s">
        <v>199</v>
      </c>
      <c r="R116" s="30" t="s">
        <v>202</v>
      </c>
      <c r="S116" s="27" t="s">
        <v>201</v>
      </c>
      <c r="T116" s="30" t="s">
        <v>202</v>
      </c>
      <c r="U116" s="30" t="s">
        <v>202</v>
      </c>
      <c r="V116" s="30" t="s">
        <v>202</v>
      </c>
      <c r="W116" s="33" t="s">
        <v>1040</v>
      </c>
      <c r="X116" s="51" t="s">
        <v>1041</v>
      </c>
      <c r="Y116" s="27">
        <v>7500</v>
      </c>
      <c r="Z116" s="30" t="s">
        <v>100</v>
      </c>
      <c r="AA116" s="27">
        <v>100</v>
      </c>
      <c r="AB116" s="27">
        <v>0</v>
      </c>
      <c r="AC116" s="51" t="s">
        <v>1042</v>
      </c>
      <c r="AD116" s="27">
        <v>5000</v>
      </c>
      <c r="AE116" s="26" t="s">
        <v>92</v>
      </c>
      <c r="AF116" s="27" t="s">
        <v>93</v>
      </c>
      <c r="AG116" s="62" t="s">
        <v>152</v>
      </c>
      <c r="AH116" s="34" t="s">
        <v>95</v>
      </c>
    </row>
    <row r="117" spans="2:34" ht="112.5" customHeight="1">
      <c r="B117" s="46">
        <f t="shared" si="1"/>
        <v>114</v>
      </c>
      <c r="C117" s="51" t="str">
        <f>"$"&amp;VLOOKUP(LEFT([1]!Table2[[#This Row],[Column2]],2),[1]Definitions!$B$51:$C$66,2,FALSE)&amp;MID([1]!Table2[[#This Row],[Column2]],3,3)&amp;RIGHT([1]!Table2[[#This Row],[Column2]],2)</f>
        <v>$A10311</v>
      </c>
      <c r="D117" s="26" t="s">
        <v>1043</v>
      </c>
      <c r="E117" s="26" t="s">
        <v>1044</v>
      </c>
      <c r="F117" s="27" t="s">
        <v>1045</v>
      </c>
      <c r="G117" s="27" t="s">
        <v>74</v>
      </c>
      <c r="H117" s="27" t="s">
        <v>75</v>
      </c>
      <c r="I117" s="27" t="s">
        <v>76</v>
      </c>
      <c r="J117" s="27">
        <v>2</v>
      </c>
      <c r="K117" s="27" t="s">
        <v>77</v>
      </c>
      <c r="L117" s="27" t="s">
        <v>1046</v>
      </c>
      <c r="M117" s="49" t="s">
        <v>712</v>
      </c>
      <c r="N117" s="27" t="s">
        <v>1047</v>
      </c>
      <c r="O117" s="26" t="s">
        <v>1048</v>
      </c>
      <c r="P117" s="26" t="s">
        <v>268</v>
      </c>
      <c r="Q117" s="27" t="s">
        <v>82</v>
      </c>
      <c r="R117" s="27" t="s">
        <v>1049</v>
      </c>
      <c r="S117" s="27" t="s">
        <v>270</v>
      </c>
      <c r="T117" s="27" t="s">
        <v>1050</v>
      </c>
      <c r="U117" s="30" t="s">
        <v>1051</v>
      </c>
      <c r="V117" s="30" t="s">
        <v>1052</v>
      </c>
      <c r="W117" s="26" t="s">
        <v>872</v>
      </c>
      <c r="X117" s="32" t="s">
        <v>1053</v>
      </c>
      <c r="Y117" s="27">
        <v>5000</v>
      </c>
      <c r="Z117" s="30" t="s">
        <v>90</v>
      </c>
      <c r="AA117" s="27">
        <v>10</v>
      </c>
      <c r="AB117" s="27">
        <v>0</v>
      </c>
      <c r="AC117" s="32" t="s">
        <v>1054</v>
      </c>
      <c r="AD117" s="27">
        <v>500</v>
      </c>
      <c r="AE117" s="26" t="s">
        <v>165</v>
      </c>
      <c r="AF117" s="27" t="s">
        <v>93</v>
      </c>
      <c r="AG117" s="62" t="s">
        <v>152</v>
      </c>
      <c r="AH117" s="34" t="s">
        <v>95</v>
      </c>
    </row>
    <row r="118" spans="2:34" ht="123.75" customHeight="1">
      <c r="B118" s="46">
        <f t="shared" si="1"/>
        <v>115</v>
      </c>
      <c r="C118" s="51" t="str">
        <f>"$"&amp;VLOOKUP(LEFT([1]!Table2[[#This Row],[Column2]],2),[1]Definitions!$B$51:$C$66,2,FALSE)&amp;MID([1]!Table2[[#This Row],[Column2]],3,3)&amp;RIGHT([1]!Table2[[#This Row],[Column2]],2)</f>
        <v>$A10315</v>
      </c>
      <c r="D118" s="26" t="s">
        <v>1055</v>
      </c>
      <c r="E118" s="26" t="s">
        <v>1056</v>
      </c>
      <c r="F118" s="27" t="s">
        <v>1045</v>
      </c>
      <c r="G118" s="27" t="s">
        <v>74</v>
      </c>
      <c r="H118" s="27" t="s">
        <v>75</v>
      </c>
      <c r="I118" s="27" t="s">
        <v>76</v>
      </c>
      <c r="J118" s="27">
        <v>2</v>
      </c>
      <c r="K118" s="27" t="s">
        <v>77</v>
      </c>
      <c r="L118" s="27" t="s">
        <v>1046</v>
      </c>
      <c r="M118" s="49" t="s">
        <v>712</v>
      </c>
      <c r="N118" s="27" t="s">
        <v>1047</v>
      </c>
      <c r="O118" s="26" t="s">
        <v>197</v>
      </c>
      <c r="P118" s="26" t="s">
        <v>1057</v>
      </c>
      <c r="Q118" s="27" t="s">
        <v>82</v>
      </c>
      <c r="R118" s="27" t="s">
        <v>1049</v>
      </c>
      <c r="S118" s="27" t="s">
        <v>270</v>
      </c>
      <c r="T118" s="27" t="s">
        <v>1050</v>
      </c>
      <c r="U118" s="30" t="s">
        <v>1051</v>
      </c>
      <c r="V118" s="30" t="s">
        <v>1052</v>
      </c>
      <c r="W118" s="33" t="s">
        <v>1058</v>
      </c>
      <c r="X118" s="62" t="s">
        <v>1059</v>
      </c>
      <c r="Y118" s="27">
        <v>5000</v>
      </c>
      <c r="Z118" s="30" t="s">
        <v>100</v>
      </c>
      <c r="AA118" s="27">
        <v>10</v>
      </c>
      <c r="AB118" s="27">
        <v>0</v>
      </c>
      <c r="AC118" s="32" t="s">
        <v>283</v>
      </c>
      <c r="AD118" s="27">
        <v>5000</v>
      </c>
      <c r="AE118" s="26" t="s">
        <v>92</v>
      </c>
      <c r="AF118" s="27" t="s">
        <v>93</v>
      </c>
      <c r="AG118" s="62" t="s">
        <v>152</v>
      </c>
      <c r="AH118" s="34" t="s">
        <v>95</v>
      </c>
    </row>
    <row r="119" spans="2:34" ht="112.5" customHeight="1">
      <c r="B119" s="46">
        <f t="shared" si="1"/>
        <v>116</v>
      </c>
      <c r="C119" s="51" t="str">
        <f>"$"&amp;VLOOKUP(LEFT([1]!Table2[[#This Row],[Column2]],2),[1]Definitions!$B$51:$C$66,2,FALSE)&amp;MID([1]!Table2[[#This Row],[Column2]],3,3)&amp;RIGHT([1]!Table2[[#This Row],[Column2]],2)</f>
        <v>$A11911</v>
      </c>
      <c r="D119" s="26" t="s">
        <v>1060</v>
      </c>
      <c r="E119" s="26" t="s">
        <v>1061</v>
      </c>
      <c r="F119" s="27" t="s">
        <v>1045</v>
      </c>
      <c r="G119" s="27" t="s">
        <v>74</v>
      </c>
      <c r="H119" s="27" t="s">
        <v>75</v>
      </c>
      <c r="I119" s="27" t="s">
        <v>76</v>
      </c>
      <c r="J119" s="27">
        <v>2</v>
      </c>
      <c r="K119" s="27" t="s">
        <v>77</v>
      </c>
      <c r="L119" s="27" t="s">
        <v>1046</v>
      </c>
      <c r="M119" s="49" t="s">
        <v>712</v>
      </c>
      <c r="N119" s="62" t="s">
        <v>1062</v>
      </c>
      <c r="O119" s="26" t="s">
        <v>1048</v>
      </c>
      <c r="P119" s="26" t="s">
        <v>1063</v>
      </c>
      <c r="Q119" s="27" t="s">
        <v>82</v>
      </c>
      <c r="R119" s="27" t="s">
        <v>1064</v>
      </c>
      <c r="S119" s="27" t="s">
        <v>178</v>
      </c>
      <c r="T119" s="27" t="s">
        <v>1065</v>
      </c>
      <c r="U119" s="30" t="s">
        <v>1066</v>
      </c>
      <c r="V119" s="30" t="s">
        <v>1067</v>
      </c>
      <c r="W119" s="26" t="s">
        <v>872</v>
      </c>
      <c r="X119" s="51" t="s">
        <v>1068</v>
      </c>
      <c r="Y119" s="27">
        <v>5000</v>
      </c>
      <c r="Z119" s="30" t="s">
        <v>90</v>
      </c>
      <c r="AA119" s="27">
        <v>10</v>
      </c>
      <c r="AB119" s="27">
        <v>0</v>
      </c>
      <c r="AC119" s="51" t="s">
        <v>1069</v>
      </c>
      <c r="AD119" s="27">
        <v>500</v>
      </c>
      <c r="AE119" s="26" t="s">
        <v>165</v>
      </c>
      <c r="AF119" s="27" t="s">
        <v>93</v>
      </c>
      <c r="AG119" s="62" t="s">
        <v>152</v>
      </c>
      <c r="AH119" s="34" t="s">
        <v>95</v>
      </c>
    </row>
    <row r="120" spans="2:34" ht="213.75" customHeight="1">
      <c r="B120" s="46">
        <f t="shared" si="1"/>
        <v>117</v>
      </c>
      <c r="C120" s="51" t="str">
        <f>"$"&amp;VLOOKUP(LEFT([1]!Table2[[#This Row],[Column2]],2),[1]Definitions!$B$51:$C$66,2,FALSE)&amp;MID([1]!Table2[[#This Row],[Column2]],3,3)&amp;RIGHT([1]!Table2[[#This Row],[Column2]],2)</f>
        <v>$A11915</v>
      </c>
      <c r="D120" s="26" t="s">
        <v>1070</v>
      </c>
      <c r="E120" s="26" t="s">
        <v>1071</v>
      </c>
      <c r="F120" s="27" t="s">
        <v>1045</v>
      </c>
      <c r="G120" s="27" t="s">
        <v>74</v>
      </c>
      <c r="H120" s="27" t="s">
        <v>75</v>
      </c>
      <c r="I120" s="27" t="s">
        <v>76</v>
      </c>
      <c r="J120" s="27">
        <v>2</v>
      </c>
      <c r="K120" s="27" t="s">
        <v>77</v>
      </c>
      <c r="L120" s="27" t="s">
        <v>1046</v>
      </c>
      <c r="M120" s="49" t="s">
        <v>712</v>
      </c>
      <c r="N120" s="54" t="s">
        <v>1062</v>
      </c>
      <c r="O120" s="26" t="s">
        <v>1072</v>
      </c>
      <c r="P120" s="26" t="s">
        <v>1073</v>
      </c>
      <c r="Q120" s="27" t="s">
        <v>82</v>
      </c>
      <c r="R120" s="27" t="s">
        <v>1064</v>
      </c>
      <c r="S120" s="27" t="s">
        <v>1074</v>
      </c>
      <c r="T120" s="27" t="s">
        <v>1075</v>
      </c>
      <c r="U120" s="30" t="s">
        <v>1066</v>
      </c>
      <c r="V120" s="30" t="s">
        <v>1067</v>
      </c>
      <c r="W120" s="26" t="s">
        <v>1076</v>
      </c>
      <c r="X120" s="51" t="s">
        <v>1077</v>
      </c>
      <c r="Y120" s="27">
        <v>5000</v>
      </c>
      <c r="Z120" s="30" t="s">
        <v>100</v>
      </c>
      <c r="AA120" s="27">
        <v>10</v>
      </c>
      <c r="AB120" s="27">
        <v>0</v>
      </c>
      <c r="AC120" s="51" t="s">
        <v>1078</v>
      </c>
      <c r="AD120" s="27">
        <v>5000</v>
      </c>
      <c r="AE120" s="26" t="s">
        <v>92</v>
      </c>
      <c r="AF120" s="27" t="s">
        <v>93</v>
      </c>
      <c r="AG120" s="62" t="s">
        <v>822</v>
      </c>
      <c r="AH120" s="34" t="s">
        <v>95</v>
      </c>
    </row>
    <row r="121" spans="2:34" ht="112.5" customHeight="1">
      <c r="B121" s="46">
        <f t="shared" si="1"/>
        <v>118</v>
      </c>
      <c r="C121" s="51" t="str">
        <f>"$"&amp;VLOOKUP(LEFT([1]!Table2[[#This Row],[Column2]],2),[1]Definitions!$B$51:$C$66,2,FALSE)&amp;MID([1]!Table2[[#This Row],[Column2]],3,3)&amp;RIGHT([1]!Table2[[#This Row],[Column2]],2)</f>
        <v>$A12111</v>
      </c>
      <c r="D121" s="26" t="s">
        <v>1079</v>
      </c>
      <c r="E121" s="26" t="s">
        <v>1080</v>
      </c>
      <c r="F121" s="27" t="s">
        <v>1045</v>
      </c>
      <c r="G121" s="27" t="s">
        <v>74</v>
      </c>
      <c r="H121" s="27" t="s">
        <v>75</v>
      </c>
      <c r="I121" s="27" t="s">
        <v>76</v>
      </c>
      <c r="J121" s="27">
        <v>2</v>
      </c>
      <c r="K121" s="27" t="s">
        <v>77</v>
      </c>
      <c r="L121" s="27" t="s">
        <v>1046</v>
      </c>
      <c r="M121" s="49" t="s">
        <v>712</v>
      </c>
      <c r="N121" s="27" t="s">
        <v>76</v>
      </c>
      <c r="O121" s="26" t="s">
        <v>1048</v>
      </c>
      <c r="P121" s="26" t="s">
        <v>1063</v>
      </c>
      <c r="Q121" s="27" t="s">
        <v>82</v>
      </c>
      <c r="R121" s="27" t="s">
        <v>1081</v>
      </c>
      <c r="S121" s="27" t="s">
        <v>270</v>
      </c>
      <c r="T121" s="27" t="s">
        <v>1082</v>
      </c>
      <c r="U121" s="30" t="s">
        <v>1083</v>
      </c>
      <c r="V121" s="30" t="s">
        <v>1084</v>
      </c>
      <c r="W121" s="33" t="s">
        <v>872</v>
      </c>
      <c r="X121" s="32" t="s">
        <v>1085</v>
      </c>
      <c r="Y121" s="27">
        <v>5000</v>
      </c>
      <c r="Z121" s="30" t="s">
        <v>90</v>
      </c>
      <c r="AA121" s="27">
        <v>10</v>
      </c>
      <c r="AB121" s="27">
        <v>0</v>
      </c>
      <c r="AC121" s="32" t="s">
        <v>1086</v>
      </c>
      <c r="AD121" s="27">
        <v>500</v>
      </c>
      <c r="AE121" s="26" t="s">
        <v>165</v>
      </c>
      <c r="AF121" s="27" t="s">
        <v>93</v>
      </c>
      <c r="AG121" s="62" t="s">
        <v>152</v>
      </c>
      <c r="AH121" s="34" t="s">
        <v>95</v>
      </c>
    </row>
    <row r="122" spans="2:34" ht="123.75" customHeight="1">
      <c r="B122" s="46">
        <f t="shared" si="1"/>
        <v>119</v>
      </c>
      <c r="C122" s="51" t="str">
        <f>"$"&amp;VLOOKUP(LEFT([1]!Table2[[#This Row],[Column2]],2),[1]Definitions!$B$51:$C$66,2,FALSE)&amp;MID([1]!Table2[[#This Row],[Column2]],3,3)&amp;RIGHT([1]!Table2[[#This Row],[Column2]],2)</f>
        <v>$A12115</v>
      </c>
      <c r="D122" s="26" t="s">
        <v>1087</v>
      </c>
      <c r="E122" s="26" t="s">
        <v>1088</v>
      </c>
      <c r="F122" s="27" t="s">
        <v>1045</v>
      </c>
      <c r="G122" s="27" t="s">
        <v>74</v>
      </c>
      <c r="H122" s="27" t="s">
        <v>75</v>
      </c>
      <c r="I122" s="27" t="s">
        <v>76</v>
      </c>
      <c r="J122" s="27">
        <v>2</v>
      </c>
      <c r="K122" s="27" t="s">
        <v>77</v>
      </c>
      <c r="L122" s="27" t="s">
        <v>1046</v>
      </c>
      <c r="M122" s="49" t="s">
        <v>712</v>
      </c>
      <c r="N122" s="27" t="s">
        <v>76</v>
      </c>
      <c r="O122" s="26" t="s">
        <v>197</v>
      </c>
      <c r="P122" s="26" t="s">
        <v>1057</v>
      </c>
      <c r="Q122" s="27" t="s">
        <v>82</v>
      </c>
      <c r="R122" s="27" t="s">
        <v>1081</v>
      </c>
      <c r="S122" s="27" t="s">
        <v>270</v>
      </c>
      <c r="T122" s="27" t="s">
        <v>1082</v>
      </c>
      <c r="U122" s="30" t="s">
        <v>1083</v>
      </c>
      <c r="V122" s="30" t="s">
        <v>1084</v>
      </c>
      <c r="W122" s="33" t="s">
        <v>1058</v>
      </c>
      <c r="X122" s="32" t="s">
        <v>1089</v>
      </c>
      <c r="Y122" s="27">
        <v>5000</v>
      </c>
      <c r="Z122" s="30" t="s">
        <v>100</v>
      </c>
      <c r="AA122" s="27">
        <v>10</v>
      </c>
      <c r="AB122" s="27">
        <v>0</v>
      </c>
      <c r="AC122" s="32" t="s">
        <v>283</v>
      </c>
      <c r="AD122" s="27">
        <v>5000</v>
      </c>
      <c r="AE122" s="26" t="s">
        <v>92</v>
      </c>
      <c r="AF122" s="27" t="s">
        <v>93</v>
      </c>
      <c r="AG122" s="62" t="s">
        <v>152</v>
      </c>
      <c r="AH122" s="34" t="s">
        <v>95</v>
      </c>
    </row>
    <row r="123" spans="2:34" ht="112.5" customHeight="1">
      <c r="B123" s="46">
        <f t="shared" si="1"/>
        <v>120</v>
      </c>
      <c r="C123" s="51" t="str">
        <f>"$"&amp;VLOOKUP(LEFT([1]!Table2[[#This Row],[Column2]],2),[1]Definitions!$B$51:$C$66,2,FALSE)&amp;MID([1]!Table2[[#This Row],[Column2]],3,3)&amp;RIGHT([1]!Table2[[#This Row],[Column2]],2)</f>
        <v>$A14311</v>
      </c>
      <c r="D123" s="26" t="s">
        <v>1090</v>
      </c>
      <c r="E123" s="40" t="s">
        <v>1091</v>
      </c>
      <c r="F123" s="41" t="s">
        <v>73</v>
      </c>
      <c r="G123" s="27" t="s">
        <v>74</v>
      </c>
      <c r="H123" s="27" t="s">
        <v>75</v>
      </c>
      <c r="I123" s="27" t="s">
        <v>76</v>
      </c>
      <c r="J123" s="27">
        <v>2</v>
      </c>
      <c r="K123" s="41" t="s">
        <v>77</v>
      </c>
      <c r="L123" s="41" t="s">
        <v>1092</v>
      </c>
      <c r="M123" s="82" t="s">
        <v>1093</v>
      </c>
      <c r="N123" s="41" t="s">
        <v>1094</v>
      </c>
      <c r="O123" s="42" t="s">
        <v>1095</v>
      </c>
      <c r="P123" s="42" t="s">
        <v>1096</v>
      </c>
      <c r="Q123" s="41" t="s">
        <v>82</v>
      </c>
      <c r="R123" s="27" t="s">
        <v>1097</v>
      </c>
      <c r="S123" s="41" t="s">
        <v>84</v>
      </c>
      <c r="T123" s="27" t="s">
        <v>1098</v>
      </c>
      <c r="U123" s="43" t="s">
        <v>1099</v>
      </c>
      <c r="V123" s="43" t="s">
        <v>1100</v>
      </c>
      <c r="W123" s="26" t="s">
        <v>1101</v>
      </c>
      <c r="X123" s="83" t="s">
        <v>1012</v>
      </c>
      <c r="Y123" s="41">
        <v>5000</v>
      </c>
      <c r="Z123" s="43" t="s">
        <v>90</v>
      </c>
      <c r="AA123" s="41">
        <v>10</v>
      </c>
      <c r="AB123" s="41">
        <v>0</v>
      </c>
      <c r="AC123" s="83" t="s">
        <v>1069</v>
      </c>
      <c r="AD123" s="41">
        <v>500</v>
      </c>
      <c r="AE123" s="26" t="s">
        <v>165</v>
      </c>
      <c r="AF123" s="44" t="s">
        <v>93</v>
      </c>
      <c r="AG123" s="84" t="s">
        <v>152</v>
      </c>
      <c r="AH123" s="34" t="s">
        <v>95</v>
      </c>
    </row>
    <row r="124" spans="2:34" ht="123.75" customHeight="1">
      <c r="B124" s="46">
        <f t="shared" si="1"/>
        <v>121</v>
      </c>
      <c r="C124" s="25" t="str">
        <f>"$"&amp;VLOOKUP(LEFT([1]!Table2[[#This Row],[Column2]],2),[1]Definitions!$B$51:$C$66,2,FALSE)&amp;MID([1]!Table2[[#This Row],[Column2]],3,3)&amp;RIGHT([1]!Table2[[#This Row],[Column2]],2)</f>
        <v>$A15B11</v>
      </c>
      <c r="D124" s="25" t="s">
        <v>1102</v>
      </c>
      <c r="E124" s="26" t="s">
        <v>1103</v>
      </c>
      <c r="F124" s="27" t="s">
        <v>1104</v>
      </c>
      <c r="G124" s="48" t="s">
        <v>74</v>
      </c>
      <c r="H124" s="48" t="s">
        <v>75</v>
      </c>
      <c r="I124" s="48" t="s">
        <v>76</v>
      </c>
      <c r="J124" s="48">
        <v>2</v>
      </c>
      <c r="K124" s="27" t="s">
        <v>77</v>
      </c>
      <c r="L124" s="27" t="s">
        <v>1105</v>
      </c>
      <c r="M124" s="49" t="s">
        <v>712</v>
      </c>
      <c r="N124" s="27" t="s">
        <v>76</v>
      </c>
      <c r="O124" s="85" t="s">
        <v>1106</v>
      </c>
      <c r="P124" s="85" t="s">
        <v>1107</v>
      </c>
      <c r="Q124" s="85" t="s">
        <v>82</v>
      </c>
      <c r="R124" s="86" t="s">
        <v>1108</v>
      </c>
      <c r="S124" s="27" t="s">
        <v>270</v>
      </c>
      <c r="T124" s="48" t="s">
        <v>1109</v>
      </c>
      <c r="U124" s="30" t="s">
        <v>1110</v>
      </c>
      <c r="V124" s="30" t="s">
        <v>1111</v>
      </c>
      <c r="W124" s="51" t="s">
        <v>872</v>
      </c>
      <c r="X124" s="51" t="s">
        <v>434</v>
      </c>
      <c r="Y124" s="52">
        <v>500</v>
      </c>
      <c r="Z124" s="30" t="s">
        <v>90</v>
      </c>
      <c r="AA124" s="27">
        <v>10</v>
      </c>
      <c r="AB124" s="27">
        <v>0</v>
      </c>
      <c r="AC124" s="26" t="s">
        <v>1112</v>
      </c>
      <c r="AD124" s="27">
        <v>100</v>
      </c>
      <c r="AE124" s="26" t="s">
        <v>165</v>
      </c>
      <c r="AF124" s="27" t="s">
        <v>93</v>
      </c>
      <c r="AG124" s="26" t="s">
        <v>822</v>
      </c>
      <c r="AH124" s="34" t="s">
        <v>95</v>
      </c>
    </row>
    <row r="125" spans="2:34" ht="123.75" customHeight="1">
      <c r="B125" s="46">
        <f t="shared" si="1"/>
        <v>122</v>
      </c>
      <c r="C125" s="25" t="str">
        <f>"$"&amp;VLOOKUP(LEFT([1]!Table2[[#This Row],[Column2]],2),[1]Definitions!$B$51:$C$66,2,FALSE)&amp;MID([1]!Table2[[#This Row],[Column2]],3,3)&amp;RIGHT([1]!Table2[[#This Row],[Column2]],2)</f>
        <v>$A15B15</v>
      </c>
      <c r="D125" s="25" t="s">
        <v>1113</v>
      </c>
      <c r="E125" s="40" t="s">
        <v>1114</v>
      </c>
      <c r="F125" s="41" t="s">
        <v>1104</v>
      </c>
      <c r="G125" s="48" t="s">
        <v>74</v>
      </c>
      <c r="H125" s="48" t="s">
        <v>75</v>
      </c>
      <c r="I125" s="48" t="s">
        <v>76</v>
      </c>
      <c r="J125" s="48">
        <v>2</v>
      </c>
      <c r="K125" s="41" t="s">
        <v>77</v>
      </c>
      <c r="L125" s="41" t="s">
        <v>1105</v>
      </c>
      <c r="M125" s="82" t="s">
        <v>712</v>
      </c>
      <c r="N125" s="41" t="s">
        <v>76</v>
      </c>
      <c r="O125" s="87" t="s">
        <v>1106</v>
      </c>
      <c r="P125" s="87" t="s">
        <v>1107</v>
      </c>
      <c r="Q125" s="87" t="s">
        <v>82</v>
      </c>
      <c r="R125" s="86" t="s">
        <v>1108</v>
      </c>
      <c r="S125" s="41" t="s">
        <v>270</v>
      </c>
      <c r="T125" s="48" t="s">
        <v>1109</v>
      </c>
      <c r="U125" s="43" t="s">
        <v>1110</v>
      </c>
      <c r="V125" s="43" t="s">
        <v>1111</v>
      </c>
      <c r="W125" s="51" t="s">
        <v>1058</v>
      </c>
      <c r="X125" s="83" t="s">
        <v>1059</v>
      </c>
      <c r="Y125" s="88">
        <v>5000</v>
      </c>
      <c r="Z125" s="43" t="s">
        <v>100</v>
      </c>
      <c r="AA125" s="41">
        <v>10</v>
      </c>
      <c r="AB125" s="41">
        <v>0</v>
      </c>
      <c r="AC125" s="42" t="s">
        <v>283</v>
      </c>
      <c r="AD125" s="41">
        <v>5000</v>
      </c>
      <c r="AE125" s="26" t="s">
        <v>92</v>
      </c>
      <c r="AF125" s="44" t="s">
        <v>93</v>
      </c>
      <c r="AG125" s="89" t="s">
        <v>822</v>
      </c>
      <c r="AH125" s="34" t="s">
        <v>95</v>
      </c>
    </row>
    <row r="126" spans="2:34" ht="123.75" customHeight="1">
      <c r="B126" s="46">
        <f t="shared" si="1"/>
        <v>123</v>
      </c>
      <c r="C126" s="51" t="str">
        <f>"$"&amp;VLOOKUP(LEFT([1]!Table2[[#This Row],[Column2]],2),[1]Definitions!$B$51:$C$66,2,FALSE)&amp;MID([1]!Table2[[#This Row],[Column2]],3,3)&amp;RIGHT([1]!Table2[[#This Row],[Column2]],2)</f>
        <v>$A18311</v>
      </c>
      <c r="D126" s="51" t="s">
        <v>1115</v>
      </c>
      <c r="E126" s="26" t="s">
        <v>1116</v>
      </c>
      <c r="F126" s="27" t="s">
        <v>1045</v>
      </c>
      <c r="G126" s="27" t="s">
        <v>74</v>
      </c>
      <c r="H126" s="27" t="s">
        <v>75</v>
      </c>
      <c r="I126" s="27" t="s">
        <v>76</v>
      </c>
      <c r="J126" s="27">
        <v>2</v>
      </c>
      <c r="K126" s="27" t="s">
        <v>77</v>
      </c>
      <c r="L126" s="27" t="s">
        <v>1105</v>
      </c>
      <c r="M126" s="49" t="s">
        <v>1117</v>
      </c>
      <c r="N126" s="62" t="s">
        <v>1118</v>
      </c>
      <c r="O126" s="26" t="s">
        <v>1119</v>
      </c>
      <c r="P126" s="26" t="s">
        <v>1063</v>
      </c>
      <c r="Q126" s="27" t="s">
        <v>82</v>
      </c>
      <c r="R126" s="27" t="s">
        <v>1120</v>
      </c>
      <c r="S126" s="27" t="s">
        <v>84</v>
      </c>
      <c r="T126" s="27" t="s">
        <v>1121</v>
      </c>
      <c r="U126" s="30" t="s">
        <v>1122</v>
      </c>
      <c r="V126" s="30" t="s">
        <v>1123</v>
      </c>
      <c r="W126" s="33" t="s">
        <v>1124</v>
      </c>
      <c r="X126" s="51" t="s">
        <v>1012</v>
      </c>
      <c r="Y126" s="27">
        <v>5000</v>
      </c>
      <c r="Z126" s="27" t="s">
        <v>100</v>
      </c>
      <c r="AA126" s="27">
        <v>10</v>
      </c>
      <c r="AB126" s="27">
        <v>0</v>
      </c>
      <c r="AC126" s="26" t="s">
        <v>184</v>
      </c>
      <c r="AD126" s="27">
        <v>500</v>
      </c>
      <c r="AE126" s="26" t="s">
        <v>1125</v>
      </c>
      <c r="AF126" s="27" t="s">
        <v>93</v>
      </c>
      <c r="AG126" s="32" t="s">
        <v>1126</v>
      </c>
      <c r="AH126" s="34" t="s">
        <v>208</v>
      </c>
    </row>
    <row r="127" spans="2:34" ht="90" customHeight="1">
      <c r="B127" s="46">
        <f t="shared" si="1"/>
        <v>124</v>
      </c>
      <c r="C127" s="51" t="str">
        <f>"$"&amp;VLOOKUP(LEFT([1]!Table2[[#This Row],[Column2]],2),[1]Definitions!$B$51:$C$66,2,FALSE)&amp;MID([1]!Table2[[#This Row],[Column2]],3,3)&amp;RIGHT([1]!Table2[[#This Row],[Column2]],2)</f>
        <v>$A19083</v>
      </c>
      <c r="D127" s="51" t="s">
        <v>1127</v>
      </c>
      <c r="E127" s="26" t="s">
        <v>1128</v>
      </c>
      <c r="F127" s="51" t="s">
        <v>199</v>
      </c>
      <c r="G127" s="51" t="s">
        <v>74</v>
      </c>
      <c r="H127" s="51" t="s">
        <v>75</v>
      </c>
      <c r="I127" s="51" t="s">
        <v>76</v>
      </c>
      <c r="J127" s="51">
        <v>2</v>
      </c>
      <c r="K127" s="51" t="s">
        <v>77</v>
      </c>
      <c r="L127" s="51" t="s">
        <v>1129</v>
      </c>
      <c r="M127" s="51" t="s">
        <v>1130</v>
      </c>
      <c r="N127" s="54" t="s">
        <v>76</v>
      </c>
      <c r="O127" s="51" t="s">
        <v>1131</v>
      </c>
      <c r="P127" s="51" t="s">
        <v>440</v>
      </c>
      <c r="Q127" s="51" t="s">
        <v>199</v>
      </c>
      <c r="R127" s="51" t="s">
        <v>202</v>
      </c>
      <c r="S127" s="51" t="s">
        <v>201</v>
      </c>
      <c r="T127" s="51" t="s">
        <v>202</v>
      </c>
      <c r="U127" s="51" t="s">
        <v>202</v>
      </c>
      <c r="V127" s="51" t="s">
        <v>202</v>
      </c>
      <c r="W127" s="51" t="s">
        <v>1132</v>
      </c>
      <c r="X127" s="51" t="s">
        <v>1133</v>
      </c>
      <c r="Y127" s="51">
        <v>5000</v>
      </c>
      <c r="Z127" s="51" t="s">
        <v>100</v>
      </c>
      <c r="AA127" s="51">
        <v>100</v>
      </c>
      <c r="AB127" s="51">
        <v>0</v>
      </c>
      <c r="AC127" s="51" t="s">
        <v>1134</v>
      </c>
      <c r="AD127" s="51">
        <v>3000</v>
      </c>
      <c r="AE127" s="51" t="s">
        <v>1135</v>
      </c>
      <c r="AF127" s="51" t="s">
        <v>93</v>
      </c>
      <c r="AG127" s="51" t="s">
        <v>1136</v>
      </c>
      <c r="AH127" s="34" t="s">
        <v>95</v>
      </c>
    </row>
    <row r="128" spans="2:34" ht="78.75" customHeight="1">
      <c r="B128" s="46">
        <f t="shared" si="1"/>
        <v>125</v>
      </c>
      <c r="C128" s="51" t="str">
        <f>"$"&amp;VLOOKUP(LEFT([1]!Table2[[#This Row],[Column2]],2),[1]Definitions!$B$51:$C$66,2,FALSE)&amp;MID([1]!Table2[[#This Row],[Column2]],3,3)&amp;RIGHT([1]!Table2[[#This Row],[Column2]],2)</f>
        <v>$A19183</v>
      </c>
      <c r="D128" s="51" t="s">
        <v>1137</v>
      </c>
      <c r="E128" s="26" t="s">
        <v>1138</v>
      </c>
      <c r="F128" s="51" t="s">
        <v>199</v>
      </c>
      <c r="G128" s="51" t="s">
        <v>74</v>
      </c>
      <c r="H128" s="51" t="s">
        <v>75</v>
      </c>
      <c r="I128" s="51" t="s">
        <v>76</v>
      </c>
      <c r="J128" s="51">
        <v>2</v>
      </c>
      <c r="K128" s="51" t="s">
        <v>77</v>
      </c>
      <c r="L128" s="51" t="s">
        <v>1129</v>
      </c>
      <c r="M128" s="51" t="s">
        <v>1130</v>
      </c>
      <c r="N128" s="54" t="s">
        <v>76</v>
      </c>
      <c r="O128" s="51" t="s">
        <v>1139</v>
      </c>
      <c r="P128" s="51" t="s">
        <v>440</v>
      </c>
      <c r="Q128" s="51" t="s">
        <v>199</v>
      </c>
      <c r="R128" s="51" t="s">
        <v>202</v>
      </c>
      <c r="S128" s="51" t="s">
        <v>201</v>
      </c>
      <c r="T128" s="51" t="s">
        <v>202</v>
      </c>
      <c r="U128" s="51" t="s">
        <v>202</v>
      </c>
      <c r="V128" s="51" t="s">
        <v>202</v>
      </c>
      <c r="W128" s="51" t="s">
        <v>1140</v>
      </c>
      <c r="X128" s="56" t="s">
        <v>1141</v>
      </c>
      <c r="Y128" s="51">
        <v>5000</v>
      </c>
      <c r="Z128" s="51" t="s">
        <v>100</v>
      </c>
      <c r="AA128" s="51">
        <v>100</v>
      </c>
      <c r="AB128" s="51">
        <v>0</v>
      </c>
      <c r="AC128" s="51" t="s">
        <v>1134</v>
      </c>
      <c r="AD128" s="51">
        <v>3000</v>
      </c>
      <c r="AE128" s="51" t="s">
        <v>1135</v>
      </c>
      <c r="AF128" s="51" t="s">
        <v>93</v>
      </c>
      <c r="AG128" s="51" t="s">
        <v>1142</v>
      </c>
      <c r="AH128" s="34" t="s">
        <v>95</v>
      </c>
    </row>
    <row r="129" spans="2:34" ht="78.75" customHeight="1">
      <c r="B129" s="46">
        <f t="shared" si="1"/>
        <v>126</v>
      </c>
      <c r="C129" s="25" t="str">
        <f>"$"&amp;VLOOKUP(LEFT([1]!Table2[[#This Row],[Column2]],2),[1]Definitions!$B$51:$C$66,2,FALSE)&amp;MID([1]!Table2[[#This Row],[Column2]],3,3)&amp;RIGHT([1]!Table2[[#This Row],[Column2]],2)</f>
        <v>$A19916</v>
      </c>
      <c r="D129" s="47" t="s">
        <v>1143</v>
      </c>
      <c r="E129" s="47" t="s">
        <v>1144</v>
      </c>
      <c r="F129" s="27" t="s">
        <v>1003</v>
      </c>
      <c r="G129" s="52" t="s">
        <v>74</v>
      </c>
      <c r="H129" s="52" t="s">
        <v>75</v>
      </c>
      <c r="I129" s="52" t="s">
        <v>76</v>
      </c>
      <c r="J129" s="52">
        <v>2</v>
      </c>
      <c r="K129" s="27" t="s">
        <v>77</v>
      </c>
      <c r="L129" s="27" t="s">
        <v>1145</v>
      </c>
      <c r="M129" s="49" t="s">
        <v>1146</v>
      </c>
      <c r="N129" s="27" t="s">
        <v>1147</v>
      </c>
      <c r="O129" s="26" t="s">
        <v>1148</v>
      </c>
      <c r="P129" s="26" t="s">
        <v>1149</v>
      </c>
      <c r="Q129" s="27" t="s">
        <v>82</v>
      </c>
      <c r="R129" s="52" t="s">
        <v>1150</v>
      </c>
      <c r="S129" s="27" t="s">
        <v>145</v>
      </c>
      <c r="T129" s="52" t="s">
        <v>200</v>
      </c>
      <c r="U129" s="30" t="s">
        <v>1151</v>
      </c>
      <c r="V129" s="30" t="s">
        <v>1152</v>
      </c>
      <c r="W129" s="47" t="s">
        <v>1153</v>
      </c>
      <c r="X129" s="51" t="s">
        <v>1154</v>
      </c>
      <c r="Y129" s="27">
        <v>15000</v>
      </c>
      <c r="Z129" s="30" t="s">
        <v>100</v>
      </c>
      <c r="AA129" s="27">
        <v>100</v>
      </c>
      <c r="AB129" s="27">
        <v>0</v>
      </c>
      <c r="AC129" s="26" t="s">
        <v>1155</v>
      </c>
      <c r="AD129" s="27">
        <v>15000</v>
      </c>
      <c r="AE129" s="26" t="s">
        <v>92</v>
      </c>
      <c r="AF129" s="27" t="s">
        <v>93</v>
      </c>
      <c r="AG129" s="51" t="s">
        <v>152</v>
      </c>
      <c r="AH129" s="34" t="s">
        <v>95</v>
      </c>
    </row>
    <row r="130" spans="2:34" ht="78.75" customHeight="1">
      <c r="B130" s="46">
        <f t="shared" si="1"/>
        <v>127</v>
      </c>
      <c r="C130" s="25" t="str">
        <f>"$"&amp;VLOOKUP(LEFT([1]!Table2[[#This Row],[Column2]],2),[1]Definitions!$B$51:$C$66,2,FALSE)&amp;MID([1]!Table2[[#This Row],[Column2]],3,3)&amp;RIGHT([1]!Table2[[#This Row],[Column2]],2)</f>
        <v>$A19917</v>
      </c>
      <c r="D130" s="47" t="s">
        <v>1156</v>
      </c>
      <c r="E130" s="47" t="s">
        <v>1157</v>
      </c>
      <c r="F130" s="27" t="s">
        <v>1003</v>
      </c>
      <c r="G130" s="52" t="s">
        <v>74</v>
      </c>
      <c r="H130" s="52" t="s">
        <v>75</v>
      </c>
      <c r="I130" s="52" t="s">
        <v>76</v>
      </c>
      <c r="J130" s="52">
        <v>2</v>
      </c>
      <c r="K130" s="27" t="s">
        <v>77</v>
      </c>
      <c r="L130" s="27" t="s">
        <v>1145</v>
      </c>
      <c r="M130" s="49" t="s">
        <v>1146</v>
      </c>
      <c r="N130" s="27" t="s">
        <v>1158</v>
      </c>
      <c r="O130" s="26" t="s">
        <v>1148</v>
      </c>
      <c r="P130" s="26" t="s">
        <v>1149</v>
      </c>
      <c r="Q130" s="27" t="s">
        <v>82</v>
      </c>
      <c r="R130" s="52" t="s">
        <v>1150</v>
      </c>
      <c r="S130" s="27" t="s">
        <v>145</v>
      </c>
      <c r="T130" s="52" t="s">
        <v>200</v>
      </c>
      <c r="U130" s="30" t="s">
        <v>1151</v>
      </c>
      <c r="V130" s="30" t="s">
        <v>1152</v>
      </c>
      <c r="W130" s="47" t="s">
        <v>1153</v>
      </c>
      <c r="X130" s="32" t="s">
        <v>1159</v>
      </c>
      <c r="Y130" s="27">
        <v>15000</v>
      </c>
      <c r="Z130" s="30" t="s">
        <v>100</v>
      </c>
      <c r="AA130" s="27">
        <v>10</v>
      </c>
      <c r="AB130" s="27">
        <v>0</v>
      </c>
      <c r="AC130" s="26" t="s">
        <v>1160</v>
      </c>
      <c r="AD130" s="27">
        <v>15000</v>
      </c>
      <c r="AE130" s="26" t="s">
        <v>92</v>
      </c>
      <c r="AF130" s="27" t="s">
        <v>93</v>
      </c>
      <c r="AG130" s="51" t="s">
        <v>152</v>
      </c>
      <c r="AH130" s="34" t="s">
        <v>95</v>
      </c>
    </row>
    <row r="131" spans="2:34" ht="207.75" customHeight="1">
      <c r="B131" s="46">
        <f t="shared" si="1"/>
        <v>128</v>
      </c>
      <c r="C131" s="51" t="str">
        <f>"$"&amp;VLOOKUP(LEFT([1]!Table2[[#This Row],[Column2]],2),[1]Definitions!$B$51:$C$66,2,FALSE)&amp;MID([1]!Table2[[#This Row],[Column2]],3,3)&amp;RIGHT([1]!Table2[[#This Row],[Column2]],2)</f>
        <v>$A1E611</v>
      </c>
      <c r="D131" s="26" t="s">
        <v>1161</v>
      </c>
      <c r="E131" s="26" t="s">
        <v>1162</v>
      </c>
      <c r="F131" s="27" t="s">
        <v>1045</v>
      </c>
      <c r="G131" s="27" t="s">
        <v>74</v>
      </c>
      <c r="H131" s="27" t="s">
        <v>75</v>
      </c>
      <c r="I131" s="27" t="s">
        <v>76</v>
      </c>
      <c r="J131" s="27">
        <v>2</v>
      </c>
      <c r="K131" s="27" t="s">
        <v>77</v>
      </c>
      <c r="L131" s="27" t="s">
        <v>1046</v>
      </c>
      <c r="M131" s="49" t="s">
        <v>712</v>
      </c>
      <c r="N131" s="80" t="s">
        <v>1163</v>
      </c>
      <c r="O131" s="26" t="s">
        <v>1048</v>
      </c>
      <c r="P131" s="26" t="s">
        <v>1063</v>
      </c>
      <c r="Q131" s="27" t="s">
        <v>82</v>
      </c>
      <c r="R131" s="27" t="s">
        <v>1081</v>
      </c>
      <c r="S131" s="27" t="s">
        <v>178</v>
      </c>
      <c r="T131" s="27" t="s">
        <v>1164</v>
      </c>
      <c r="U131" s="30" t="s">
        <v>1165</v>
      </c>
      <c r="V131" s="30" t="s">
        <v>1166</v>
      </c>
      <c r="W131" s="26" t="s">
        <v>872</v>
      </c>
      <c r="X131" s="51" t="s">
        <v>1167</v>
      </c>
      <c r="Y131" s="27">
        <v>5000</v>
      </c>
      <c r="Z131" s="30" t="s">
        <v>90</v>
      </c>
      <c r="AA131" s="27">
        <v>10</v>
      </c>
      <c r="AB131" s="27">
        <v>0</v>
      </c>
      <c r="AC131" s="51" t="s">
        <v>1168</v>
      </c>
      <c r="AD131" s="27">
        <v>500</v>
      </c>
      <c r="AE131" s="26" t="s">
        <v>165</v>
      </c>
      <c r="AF131" s="27" t="s">
        <v>93</v>
      </c>
      <c r="AG131" s="62" t="s">
        <v>152</v>
      </c>
      <c r="AH131" s="34" t="s">
        <v>95</v>
      </c>
    </row>
    <row r="132" spans="2:34" ht="90.75" customHeight="1">
      <c r="B132" s="46">
        <f t="shared" ref="B132:B195" si="2">ROW()-3</f>
        <v>129</v>
      </c>
      <c r="C132" s="25" t="str">
        <f>"$"&amp;VLOOKUP(LEFT([1]!Table2[[#This Row],[Column2]],2),[1]Definitions!$B$51:$C$66,2,FALSE)&amp;MID([1]!Table2[[#This Row],[Column2]],3,3)&amp;RIGHT([1]!Table2[[#This Row],[Column2]],2)</f>
        <v>$A1E615</v>
      </c>
      <c r="D132" s="51" t="s">
        <v>1169</v>
      </c>
      <c r="E132" s="26" t="s">
        <v>1170</v>
      </c>
      <c r="F132" s="27" t="s">
        <v>1045</v>
      </c>
      <c r="G132" s="30" t="s">
        <v>74</v>
      </c>
      <c r="H132" s="30" t="s">
        <v>75</v>
      </c>
      <c r="I132" s="30" t="s">
        <v>76</v>
      </c>
      <c r="J132" s="30">
        <v>2</v>
      </c>
      <c r="K132" s="27" t="s">
        <v>77</v>
      </c>
      <c r="L132" s="27" t="s">
        <v>1105</v>
      </c>
      <c r="M132" s="27" t="s">
        <v>1171</v>
      </c>
      <c r="N132" s="27" t="s">
        <v>92</v>
      </c>
      <c r="O132" s="25" t="s">
        <v>1048</v>
      </c>
      <c r="P132" s="26" t="s">
        <v>1172</v>
      </c>
      <c r="Q132" s="27" t="s">
        <v>82</v>
      </c>
      <c r="R132" s="27" t="s">
        <v>1081</v>
      </c>
      <c r="S132" s="27" t="s">
        <v>1074</v>
      </c>
      <c r="T132" s="30" t="s">
        <v>1173</v>
      </c>
      <c r="U132" s="30" t="s">
        <v>1165</v>
      </c>
      <c r="V132" s="30" t="s">
        <v>1166</v>
      </c>
      <c r="W132" s="33" t="s">
        <v>1058</v>
      </c>
      <c r="X132" s="32" t="s">
        <v>1174</v>
      </c>
      <c r="Y132" s="27">
        <v>5000</v>
      </c>
      <c r="Z132" s="30" t="s">
        <v>100</v>
      </c>
      <c r="AA132" s="27">
        <v>10</v>
      </c>
      <c r="AB132" s="27">
        <v>0</v>
      </c>
      <c r="AC132" s="33" t="s">
        <v>170</v>
      </c>
      <c r="AD132" s="27">
        <v>5000</v>
      </c>
      <c r="AE132" s="26" t="s">
        <v>92</v>
      </c>
      <c r="AF132" s="51" t="s">
        <v>93</v>
      </c>
      <c r="AG132" s="62" t="s">
        <v>822</v>
      </c>
      <c r="AH132" s="34" t="s">
        <v>95</v>
      </c>
    </row>
    <row r="133" spans="2:34" ht="135" customHeight="1">
      <c r="B133" s="46">
        <f t="shared" si="2"/>
        <v>130</v>
      </c>
      <c r="C133" s="51" t="str">
        <f>"$"&amp;VLOOKUP(LEFT([1]!Table2[[#This Row],[Column2]],2),[1]Definitions!$B$51:$C$66,2,FALSE)&amp;MID([1]!Table2[[#This Row],[Column2]],3,3)&amp;RIGHT([1]!Table2[[#This Row],[Column2]],2)</f>
        <v>$A20400</v>
      </c>
      <c r="D133" s="26" t="s">
        <v>1175</v>
      </c>
      <c r="E133" s="26" t="s">
        <v>1176</v>
      </c>
      <c r="F133" s="27" t="s">
        <v>227</v>
      </c>
      <c r="G133" s="27" t="s">
        <v>74</v>
      </c>
      <c r="H133" s="27" t="s">
        <v>75</v>
      </c>
      <c r="I133" s="27" t="s">
        <v>76</v>
      </c>
      <c r="J133" s="27">
        <v>2</v>
      </c>
      <c r="K133" s="27" t="s">
        <v>77</v>
      </c>
      <c r="L133" s="27" t="s">
        <v>1177</v>
      </c>
      <c r="M133" s="26" t="s">
        <v>1178</v>
      </c>
      <c r="N133" s="80" t="s">
        <v>1179</v>
      </c>
      <c r="O133" s="26" t="s">
        <v>1048</v>
      </c>
      <c r="P133" s="26" t="s">
        <v>1180</v>
      </c>
      <c r="Q133" s="27" t="s">
        <v>199</v>
      </c>
      <c r="R133" s="27" t="s">
        <v>202</v>
      </c>
      <c r="S133" s="27" t="s">
        <v>201</v>
      </c>
      <c r="T133" s="27" t="s">
        <v>202</v>
      </c>
      <c r="U133" s="27" t="s">
        <v>202</v>
      </c>
      <c r="V133" s="27" t="s">
        <v>202</v>
      </c>
      <c r="W133" s="32" t="s">
        <v>1181</v>
      </c>
      <c r="X133" s="51" t="s">
        <v>1182</v>
      </c>
      <c r="Y133" s="27">
        <v>5000</v>
      </c>
      <c r="Z133" s="30" t="s">
        <v>998</v>
      </c>
      <c r="AA133" s="27">
        <v>400</v>
      </c>
      <c r="AB133" s="27">
        <v>0</v>
      </c>
      <c r="AC133" s="26" t="s">
        <v>1183</v>
      </c>
      <c r="AD133" s="27">
        <v>5000</v>
      </c>
      <c r="AE133" s="26" t="s">
        <v>92</v>
      </c>
      <c r="AF133" s="27" t="s">
        <v>93</v>
      </c>
      <c r="AG133" s="51" t="s">
        <v>152</v>
      </c>
      <c r="AH133" s="34" t="s">
        <v>95</v>
      </c>
    </row>
    <row r="134" spans="2:34" ht="90" customHeight="1">
      <c r="B134" s="46">
        <f t="shared" si="2"/>
        <v>131</v>
      </c>
      <c r="C134" s="51" t="str">
        <f>"$"&amp;VLOOKUP(LEFT([1]!Table2[[#This Row],[Column2]],2),[1]Definitions!$B$51:$C$66,2,FALSE)&amp;MID([1]!Table2[[#This Row],[Column2]],3,3)&amp;RIGHT([1]!Table2[[#This Row],[Column2]],2)</f>
        <v>$A20455</v>
      </c>
      <c r="D134" s="33" t="s">
        <v>1184</v>
      </c>
      <c r="E134" s="26" t="s">
        <v>1185</v>
      </c>
      <c r="F134" s="27" t="s">
        <v>227</v>
      </c>
      <c r="G134" s="27" t="s">
        <v>74</v>
      </c>
      <c r="H134" s="27" t="s">
        <v>75</v>
      </c>
      <c r="I134" s="27" t="s">
        <v>76</v>
      </c>
      <c r="J134" s="27">
        <v>2</v>
      </c>
      <c r="K134" s="27" t="s">
        <v>77</v>
      </c>
      <c r="L134" s="27" t="s">
        <v>1177</v>
      </c>
      <c r="M134" s="26" t="s">
        <v>76</v>
      </c>
      <c r="N134" s="27" t="s">
        <v>76</v>
      </c>
      <c r="O134" s="26" t="s">
        <v>1186</v>
      </c>
      <c r="P134" s="26" t="s">
        <v>1180</v>
      </c>
      <c r="Q134" s="27" t="s">
        <v>199</v>
      </c>
      <c r="R134" s="27" t="s">
        <v>202</v>
      </c>
      <c r="S134" s="27" t="s">
        <v>201</v>
      </c>
      <c r="T134" s="27" t="s">
        <v>202</v>
      </c>
      <c r="U134" s="27" t="s">
        <v>202</v>
      </c>
      <c r="V134" s="27" t="s">
        <v>202</v>
      </c>
      <c r="W134" s="33" t="s">
        <v>1187</v>
      </c>
      <c r="X134" s="51" t="s">
        <v>1188</v>
      </c>
      <c r="Y134" s="27">
        <v>5000</v>
      </c>
      <c r="Z134" s="30" t="s">
        <v>100</v>
      </c>
      <c r="AA134" s="27">
        <v>100</v>
      </c>
      <c r="AB134" s="27">
        <v>0</v>
      </c>
      <c r="AC134" s="26" t="s">
        <v>1183</v>
      </c>
      <c r="AD134" s="27">
        <v>500</v>
      </c>
      <c r="AE134" s="26" t="s">
        <v>92</v>
      </c>
      <c r="AF134" s="27" t="s">
        <v>93</v>
      </c>
      <c r="AG134" s="84" t="s">
        <v>152</v>
      </c>
      <c r="AH134" s="34" t="s">
        <v>95</v>
      </c>
    </row>
    <row r="135" spans="2:34" ht="78.75" customHeight="1">
      <c r="B135" s="46">
        <f t="shared" si="2"/>
        <v>132</v>
      </c>
      <c r="C135" s="51" t="str">
        <f>"$"&amp;VLOOKUP(LEFT([1]!Table2[[#This Row],[Column2]],2),[1]Definitions!$B$51:$C$66,2,FALSE)&amp;MID([1]!Table2[[#This Row],[Column2]],3,3)&amp;RIGHT([1]!Table2[[#This Row],[Column2]],2)</f>
        <v>$A20487</v>
      </c>
      <c r="D135" s="26" t="s">
        <v>1189</v>
      </c>
      <c r="E135" s="26" t="s">
        <v>1190</v>
      </c>
      <c r="F135" s="27" t="s">
        <v>227</v>
      </c>
      <c r="G135" s="27" t="s">
        <v>74</v>
      </c>
      <c r="H135" s="27" t="s">
        <v>75</v>
      </c>
      <c r="I135" s="27" t="s">
        <v>76</v>
      </c>
      <c r="J135" s="27">
        <v>2</v>
      </c>
      <c r="K135" s="27" t="s">
        <v>77</v>
      </c>
      <c r="L135" s="27" t="s">
        <v>1177</v>
      </c>
      <c r="M135" s="26" t="s">
        <v>76</v>
      </c>
      <c r="N135" s="27" t="s">
        <v>76</v>
      </c>
      <c r="O135" s="26" t="s">
        <v>1186</v>
      </c>
      <c r="P135" s="26" t="s">
        <v>1180</v>
      </c>
      <c r="Q135" s="27" t="s">
        <v>199</v>
      </c>
      <c r="R135" s="27" t="s">
        <v>202</v>
      </c>
      <c r="S135" s="27" t="s">
        <v>201</v>
      </c>
      <c r="T135" s="27" t="s">
        <v>202</v>
      </c>
      <c r="U135" s="27" t="s">
        <v>202</v>
      </c>
      <c r="V135" s="27" t="s">
        <v>202</v>
      </c>
      <c r="W135" s="33" t="s">
        <v>1187</v>
      </c>
      <c r="X135" s="51" t="s">
        <v>1191</v>
      </c>
      <c r="Y135" s="27">
        <v>5000</v>
      </c>
      <c r="Z135" s="30" t="s">
        <v>100</v>
      </c>
      <c r="AA135" s="27">
        <v>100</v>
      </c>
      <c r="AB135" s="27">
        <v>0</v>
      </c>
      <c r="AC135" s="26" t="s">
        <v>1192</v>
      </c>
      <c r="AD135" s="27">
        <v>500</v>
      </c>
      <c r="AE135" s="26" t="s">
        <v>92</v>
      </c>
      <c r="AF135" s="27" t="s">
        <v>93</v>
      </c>
      <c r="AG135" s="84" t="s">
        <v>152</v>
      </c>
      <c r="AH135" s="34" t="s">
        <v>95</v>
      </c>
    </row>
    <row r="136" spans="2:34" ht="78.75" customHeight="1">
      <c r="B136" s="46">
        <f t="shared" si="2"/>
        <v>133</v>
      </c>
      <c r="C136" s="90" t="str">
        <f>"$"&amp;VLOOKUP(LEFT([1]!Table2[[#This Row],[Column2]],2),[1]Definitions!$B$51:$C$66,2,FALSE)&amp;MID([1]!Table2[[#This Row],[Column2]],3,3)&amp;RIGHT([1]!Table2[[#This Row],[Column2]],2)</f>
        <v>$A20600</v>
      </c>
      <c r="D136" s="47" t="s">
        <v>1193</v>
      </c>
      <c r="E136" s="47" t="s">
        <v>1194</v>
      </c>
      <c r="F136" s="27" t="s">
        <v>227</v>
      </c>
      <c r="G136" s="27" t="s">
        <v>74</v>
      </c>
      <c r="H136" s="30" t="s">
        <v>75</v>
      </c>
      <c r="I136" s="30" t="s">
        <v>76</v>
      </c>
      <c r="J136" s="48">
        <v>2</v>
      </c>
      <c r="K136" s="27" t="s">
        <v>77</v>
      </c>
      <c r="L136" s="27" t="s">
        <v>1195</v>
      </c>
      <c r="M136" s="49" t="s">
        <v>1196</v>
      </c>
      <c r="N136" s="27" t="s">
        <v>76</v>
      </c>
      <c r="O136" s="26" t="s">
        <v>1197</v>
      </c>
      <c r="P136" s="26" t="s">
        <v>1180</v>
      </c>
      <c r="Q136" s="27" t="s">
        <v>199</v>
      </c>
      <c r="R136" s="30" t="s">
        <v>202</v>
      </c>
      <c r="S136" s="27" t="s">
        <v>202</v>
      </c>
      <c r="T136" s="27" t="s">
        <v>202</v>
      </c>
      <c r="U136" s="30" t="s">
        <v>1198</v>
      </c>
      <c r="V136" s="30" t="s">
        <v>1198</v>
      </c>
      <c r="W136" s="32" t="s">
        <v>1199</v>
      </c>
      <c r="X136" s="51" t="s">
        <v>1200</v>
      </c>
      <c r="Y136" s="27">
        <v>5000</v>
      </c>
      <c r="Z136" s="30" t="s">
        <v>100</v>
      </c>
      <c r="AA136" s="27">
        <v>400</v>
      </c>
      <c r="AB136" s="27">
        <v>0</v>
      </c>
      <c r="AC136" s="26" t="s">
        <v>1201</v>
      </c>
      <c r="AD136" s="27">
        <v>5000</v>
      </c>
      <c r="AE136" s="26" t="s">
        <v>1202</v>
      </c>
      <c r="AF136" s="27" t="s">
        <v>93</v>
      </c>
      <c r="AG136" s="84" t="s">
        <v>152</v>
      </c>
      <c r="AH136" s="34" t="s">
        <v>208</v>
      </c>
    </row>
    <row r="137" spans="2:34" ht="101.25" customHeight="1">
      <c r="B137" s="46">
        <f t="shared" si="2"/>
        <v>134</v>
      </c>
      <c r="C137" s="32" t="str">
        <f>"$"&amp;VLOOKUP(LEFT([1]!Table2[[#This Row],[Column2]],2),[1]Definitions!$B$51:$C$66,2,FALSE)&amp;MID([1]!Table2[[#This Row],[Column2]],3,3)&amp;RIGHT([1]!Table2[[#This Row],[Column2]],2)</f>
        <v>$A2078B</v>
      </c>
      <c r="D137" s="32" t="s">
        <v>1203</v>
      </c>
      <c r="E137" s="33" t="s">
        <v>1204</v>
      </c>
      <c r="F137" s="27" t="s">
        <v>199</v>
      </c>
      <c r="G137" s="54" t="s">
        <v>74</v>
      </c>
      <c r="H137" s="54" t="s">
        <v>75</v>
      </c>
      <c r="I137" s="54" t="s">
        <v>76</v>
      </c>
      <c r="J137" s="54">
        <v>2</v>
      </c>
      <c r="K137" s="27" t="s">
        <v>77</v>
      </c>
      <c r="L137" s="27" t="s">
        <v>255</v>
      </c>
      <c r="M137" s="49" t="s">
        <v>255</v>
      </c>
      <c r="N137" s="27" t="s">
        <v>76</v>
      </c>
      <c r="O137" s="26" t="s">
        <v>1205</v>
      </c>
      <c r="P137" s="26" t="s">
        <v>1206</v>
      </c>
      <c r="Q137" s="27" t="s">
        <v>199</v>
      </c>
      <c r="R137" s="54" t="s">
        <v>202</v>
      </c>
      <c r="S137" s="27" t="s">
        <v>201</v>
      </c>
      <c r="T137" s="54" t="s">
        <v>202</v>
      </c>
      <c r="U137" s="30" t="s">
        <v>202</v>
      </c>
      <c r="V137" s="30" t="s">
        <v>202</v>
      </c>
      <c r="W137" s="33" t="s">
        <v>1207</v>
      </c>
      <c r="X137" s="51" t="s">
        <v>1208</v>
      </c>
      <c r="Y137" s="27">
        <v>5000</v>
      </c>
      <c r="Z137" s="30" t="s">
        <v>100</v>
      </c>
      <c r="AA137" s="27">
        <v>100</v>
      </c>
      <c r="AB137" s="27">
        <v>0</v>
      </c>
      <c r="AC137" s="26" t="s">
        <v>260</v>
      </c>
      <c r="AD137" s="27">
        <v>5000</v>
      </c>
      <c r="AE137" s="26" t="s">
        <v>92</v>
      </c>
      <c r="AF137" s="27" t="s">
        <v>93</v>
      </c>
      <c r="AG137" s="26" t="s">
        <v>822</v>
      </c>
      <c r="AH137" s="34" t="s">
        <v>95</v>
      </c>
    </row>
    <row r="138" spans="2:34" ht="123.75" customHeight="1">
      <c r="B138" s="46">
        <f t="shared" si="2"/>
        <v>135</v>
      </c>
      <c r="C138" s="25" t="str">
        <f>"$"&amp;VLOOKUP(LEFT([1]!Table2[[#This Row],[Column2]],2),[1]Definitions!$B$51:$C$66,2,FALSE)&amp;MID([1]!Table2[[#This Row],[Column2]],3,3)&amp;RIGHT([1]!Table2[[#This Row],[Column2]],2)</f>
        <v>$A21D49</v>
      </c>
      <c r="D138" s="47" t="s">
        <v>1209</v>
      </c>
      <c r="E138" s="47" t="s">
        <v>1210</v>
      </c>
      <c r="F138" s="27" t="s">
        <v>199</v>
      </c>
      <c r="G138" s="52" t="s">
        <v>74</v>
      </c>
      <c r="H138" s="52" t="s">
        <v>75</v>
      </c>
      <c r="I138" s="52" t="s">
        <v>76</v>
      </c>
      <c r="J138" s="52">
        <v>2</v>
      </c>
      <c r="K138" s="27" t="s">
        <v>77</v>
      </c>
      <c r="L138" s="27" t="s">
        <v>1211</v>
      </c>
      <c r="M138" s="49" t="s">
        <v>1212</v>
      </c>
      <c r="N138" s="27" t="s">
        <v>1213</v>
      </c>
      <c r="O138" s="26" t="s">
        <v>1214</v>
      </c>
      <c r="P138" s="26" t="s">
        <v>1215</v>
      </c>
      <c r="Q138" s="27" t="s">
        <v>199</v>
      </c>
      <c r="R138" s="52" t="s">
        <v>200</v>
      </c>
      <c r="S138" s="27" t="s">
        <v>201</v>
      </c>
      <c r="T138" s="52" t="s">
        <v>202</v>
      </c>
      <c r="U138" s="30" t="s">
        <v>202</v>
      </c>
      <c r="V138" s="30" t="s">
        <v>202</v>
      </c>
      <c r="W138" s="32" t="s">
        <v>1216</v>
      </c>
      <c r="X138" s="32" t="s">
        <v>1217</v>
      </c>
      <c r="Y138" s="27">
        <v>3000</v>
      </c>
      <c r="Z138" s="30" t="s">
        <v>100</v>
      </c>
      <c r="AA138" s="27">
        <v>400</v>
      </c>
      <c r="AB138" s="27">
        <v>0</v>
      </c>
      <c r="AC138" s="33" t="s">
        <v>1218</v>
      </c>
      <c r="AD138" s="27">
        <v>3000</v>
      </c>
      <c r="AE138" s="26" t="s">
        <v>1219</v>
      </c>
      <c r="AF138" s="27" t="s">
        <v>93</v>
      </c>
      <c r="AG138" s="51" t="s">
        <v>649</v>
      </c>
      <c r="AH138" s="34" t="s">
        <v>208</v>
      </c>
    </row>
    <row r="139" spans="2:34" ht="90" customHeight="1">
      <c r="B139" s="46">
        <f t="shared" si="2"/>
        <v>136</v>
      </c>
      <c r="C139" s="32" t="str">
        <f>"$"&amp;VLOOKUP(LEFT([1]!Table2[[#This Row],[Column2]],2),[1]Definitions!$B$51:$C$66,2,FALSE)&amp;MID([1]!Table2[[#This Row],[Column2]],3,3)&amp;RIGHT([1]!Table2[[#This Row],[Column2]],2)</f>
        <v>$A23C64</v>
      </c>
      <c r="D139" s="32" t="s">
        <v>1220</v>
      </c>
      <c r="E139" s="33" t="s">
        <v>1221</v>
      </c>
      <c r="F139" s="27" t="s">
        <v>199</v>
      </c>
      <c r="G139" s="54" t="s">
        <v>74</v>
      </c>
      <c r="H139" s="54" t="s">
        <v>75</v>
      </c>
      <c r="I139" s="54" t="s">
        <v>76</v>
      </c>
      <c r="J139" s="54">
        <v>2</v>
      </c>
      <c r="K139" s="27" t="s">
        <v>77</v>
      </c>
      <c r="L139" s="27" t="s">
        <v>255</v>
      </c>
      <c r="M139" s="49" t="s">
        <v>255</v>
      </c>
      <c r="N139" s="27" t="s">
        <v>76</v>
      </c>
      <c r="O139" s="26" t="s">
        <v>1222</v>
      </c>
      <c r="P139" s="26" t="s">
        <v>1223</v>
      </c>
      <c r="Q139" s="27" t="s">
        <v>199</v>
      </c>
      <c r="R139" s="54" t="s">
        <v>202</v>
      </c>
      <c r="S139" s="27" t="s">
        <v>201</v>
      </c>
      <c r="T139" s="54" t="s">
        <v>202</v>
      </c>
      <c r="U139" s="30" t="s">
        <v>202</v>
      </c>
      <c r="V139" s="30" t="s">
        <v>202</v>
      </c>
      <c r="W139" s="33" t="s">
        <v>1224</v>
      </c>
      <c r="X139" s="51" t="s">
        <v>1225</v>
      </c>
      <c r="Y139" s="27">
        <v>5000</v>
      </c>
      <c r="Z139" s="30" t="s">
        <v>100</v>
      </c>
      <c r="AA139" s="27">
        <v>100</v>
      </c>
      <c r="AB139" s="27">
        <v>0</v>
      </c>
      <c r="AC139" s="26" t="s">
        <v>1226</v>
      </c>
      <c r="AD139" s="27">
        <v>5000</v>
      </c>
      <c r="AE139" s="26" t="s">
        <v>92</v>
      </c>
      <c r="AF139" s="27" t="s">
        <v>93</v>
      </c>
      <c r="AG139" s="33" t="s">
        <v>649</v>
      </c>
      <c r="AH139" s="34" t="s">
        <v>95</v>
      </c>
    </row>
    <row r="140" spans="2:34" ht="90" customHeight="1">
      <c r="B140" s="46">
        <f t="shared" si="2"/>
        <v>137</v>
      </c>
      <c r="C140" s="32" t="str">
        <f>"$"&amp;VLOOKUP(LEFT([1]!Table2[[#This Row],[Column2]],2),[1]Definitions!$B$51:$C$66,2,FALSE)&amp;MID([1]!Table2[[#This Row],[Column2]],3,3)&amp;RIGHT([1]!Table2[[#This Row],[Column2]],2)</f>
        <v>$A23C87</v>
      </c>
      <c r="D140" s="32" t="s">
        <v>1227</v>
      </c>
      <c r="E140" s="33" t="s">
        <v>1228</v>
      </c>
      <c r="F140" s="27" t="s">
        <v>199</v>
      </c>
      <c r="G140" s="54" t="s">
        <v>74</v>
      </c>
      <c r="H140" s="54" t="s">
        <v>75</v>
      </c>
      <c r="I140" s="54" t="s">
        <v>76</v>
      </c>
      <c r="J140" s="54">
        <v>2</v>
      </c>
      <c r="K140" s="27" t="s">
        <v>77</v>
      </c>
      <c r="L140" s="27" t="s">
        <v>255</v>
      </c>
      <c r="M140" s="49" t="s">
        <v>255</v>
      </c>
      <c r="N140" s="27" t="s">
        <v>76</v>
      </c>
      <c r="O140" s="26" t="s">
        <v>1222</v>
      </c>
      <c r="P140" s="26" t="s">
        <v>1223</v>
      </c>
      <c r="Q140" s="27" t="s">
        <v>199</v>
      </c>
      <c r="R140" s="54" t="s">
        <v>202</v>
      </c>
      <c r="S140" s="27" t="s">
        <v>201</v>
      </c>
      <c r="T140" s="54" t="s">
        <v>202</v>
      </c>
      <c r="U140" s="30" t="s">
        <v>202</v>
      </c>
      <c r="V140" s="30" t="s">
        <v>202</v>
      </c>
      <c r="W140" s="33" t="s">
        <v>1229</v>
      </c>
      <c r="X140" s="51" t="s">
        <v>1230</v>
      </c>
      <c r="Y140" s="27">
        <v>5000</v>
      </c>
      <c r="Z140" s="30" t="s">
        <v>100</v>
      </c>
      <c r="AA140" s="27">
        <v>100</v>
      </c>
      <c r="AB140" s="27">
        <v>0</v>
      </c>
      <c r="AC140" s="26" t="s">
        <v>1231</v>
      </c>
      <c r="AD140" s="27">
        <v>5000</v>
      </c>
      <c r="AE140" s="26" t="s">
        <v>92</v>
      </c>
      <c r="AF140" s="27" t="s">
        <v>93</v>
      </c>
      <c r="AG140" s="33" t="s">
        <v>649</v>
      </c>
      <c r="AH140" s="34" t="s">
        <v>95</v>
      </c>
    </row>
    <row r="141" spans="2:34" ht="112.5" customHeight="1">
      <c r="B141" s="46">
        <f t="shared" si="2"/>
        <v>138</v>
      </c>
      <c r="C141" s="51" t="str">
        <f>"$"&amp;VLOOKUP(LEFT([1]!Table2[[#This Row],[Column2]],2),[1]Definitions!$B$51:$C$66,2,FALSE)&amp;MID([1]!Table2[[#This Row],[Column2]],3,3)&amp;RIGHT([1]!Table2[[#This Row],[Column2]],2)</f>
        <v>$A25000</v>
      </c>
      <c r="D141" s="26" t="s">
        <v>1232</v>
      </c>
      <c r="E141" s="26" t="s">
        <v>1233</v>
      </c>
      <c r="F141" s="27" t="s">
        <v>227</v>
      </c>
      <c r="G141" s="27" t="s">
        <v>74</v>
      </c>
      <c r="H141" s="27" t="s">
        <v>75</v>
      </c>
      <c r="I141" s="27" t="s">
        <v>76</v>
      </c>
      <c r="J141" s="91">
        <v>1</v>
      </c>
      <c r="K141" s="27" t="s">
        <v>77</v>
      </c>
      <c r="L141" s="27" t="s">
        <v>1234</v>
      </c>
      <c r="M141" s="26" t="s">
        <v>1235</v>
      </c>
      <c r="N141" s="27" t="s">
        <v>1236</v>
      </c>
      <c r="O141" s="26" t="s">
        <v>1237</v>
      </c>
      <c r="P141" s="26" t="s">
        <v>1238</v>
      </c>
      <c r="Q141" s="27" t="s">
        <v>82</v>
      </c>
      <c r="R141" s="27" t="s">
        <v>202</v>
      </c>
      <c r="S141" s="27" t="s">
        <v>202</v>
      </c>
      <c r="T141" s="27" t="s">
        <v>202</v>
      </c>
      <c r="U141" s="27" t="s">
        <v>202</v>
      </c>
      <c r="V141" s="27" t="s">
        <v>202</v>
      </c>
      <c r="W141" s="32" t="s">
        <v>1239</v>
      </c>
      <c r="X141" s="51" t="s">
        <v>1240</v>
      </c>
      <c r="Y141" s="27">
        <v>0</v>
      </c>
      <c r="Z141" s="30" t="s">
        <v>100</v>
      </c>
      <c r="AA141" s="27">
        <v>400</v>
      </c>
      <c r="AB141" s="27">
        <v>0</v>
      </c>
      <c r="AC141" s="26" t="s">
        <v>1241</v>
      </c>
      <c r="AD141" s="27">
        <v>0</v>
      </c>
      <c r="AE141" s="26" t="s">
        <v>92</v>
      </c>
      <c r="AF141" s="27" t="s">
        <v>93</v>
      </c>
      <c r="AG141" s="51" t="s">
        <v>152</v>
      </c>
      <c r="AH141" s="34" t="s">
        <v>95</v>
      </c>
    </row>
    <row r="142" spans="2:34" ht="78.75" customHeight="1">
      <c r="B142" s="46">
        <f t="shared" si="2"/>
        <v>139</v>
      </c>
      <c r="C142" s="25" t="str">
        <f>"$"&amp;VLOOKUP(LEFT([1]!Table2[[#This Row],[Column2]],2),[1]Definitions!$B$51:$C$66,2,FALSE)&amp;MID([1]!Table2[[#This Row],[Column2]],3,3)&amp;RIGHT([1]!Table2[[#This Row],[Column2]],2)</f>
        <v>$A25F49</v>
      </c>
      <c r="D142" s="26" t="s">
        <v>1242</v>
      </c>
      <c r="E142" s="26" t="s">
        <v>1243</v>
      </c>
      <c r="F142" s="27" t="s">
        <v>73</v>
      </c>
      <c r="G142" s="27" t="s">
        <v>74</v>
      </c>
      <c r="H142" s="27" t="s">
        <v>75</v>
      </c>
      <c r="I142" s="27" t="s">
        <v>76</v>
      </c>
      <c r="J142" s="27">
        <v>2</v>
      </c>
      <c r="K142" s="27" t="s">
        <v>77</v>
      </c>
      <c r="L142" s="27" t="s">
        <v>228</v>
      </c>
      <c r="M142" s="49" t="s">
        <v>1244</v>
      </c>
      <c r="N142" s="27" t="s">
        <v>1245</v>
      </c>
      <c r="O142" s="26" t="s">
        <v>1246</v>
      </c>
      <c r="P142" s="26" t="s">
        <v>1247</v>
      </c>
      <c r="Q142" s="27" t="s">
        <v>199</v>
      </c>
      <c r="R142" s="27" t="s">
        <v>1198</v>
      </c>
      <c r="S142" s="27" t="s">
        <v>201</v>
      </c>
      <c r="T142" s="27" t="s">
        <v>1198</v>
      </c>
      <c r="U142" s="30" t="s">
        <v>1198</v>
      </c>
      <c r="V142" s="30" t="s">
        <v>1198</v>
      </c>
      <c r="W142" s="51" t="s">
        <v>1248</v>
      </c>
      <c r="X142" s="32" t="s">
        <v>1249</v>
      </c>
      <c r="Y142" s="27">
        <v>5000</v>
      </c>
      <c r="Z142" s="30" t="s">
        <v>100</v>
      </c>
      <c r="AA142" s="27">
        <v>100</v>
      </c>
      <c r="AB142" s="27">
        <v>0</v>
      </c>
      <c r="AC142" s="33" t="s">
        <v>1250</v>
      </c>
      <c r="AD142" s="27">
        <v>1000</v>
      </c>
      <c r="AE142" s="33" t="s">
        <v>1251</v>
      </c>
      <c r="AF142" s="27" t="s">
        <v>93</v>
      </c>
      <c r="AG142" s="51" t="s">
        <v>152</v>
      </c>
      <c r="AH142" s="34" t="s">
        <v>208</v>
      </c>
    </row>
    <row r="143" spans="2:34" ht="78.75" customHeight="1">
      <c r="B143" s="46">
        <f t="shared" si="2"/>
        <v>140</v>
      </c>
      <c r="C143" s="25" t="str">
        <f>"$"&amp;VLOOKUP(LEFT([1]!Table2[[#This Row],[Column2]],2),[1]Definitions!$B$51:$C$66,2,FALSE)&amp;MID([1]!Table2[[#This Row],[Column2]],3,3)&amp;RIGHT([1]!Table2[[#This Row],[Column2]],2)</f>
        <v>$A25F64</v>
      </c>
      <c r="D143" s="26" t="s">
        <v>1252</v>
      </c>
      <c r="E143" s="26" t="s">
        <v>1253</v>
      </c>
      <c r="F143" s="27" t="s">
        <v>227</v>
      </c>
      <c r="G143" s="54" t="s">
        <v>74</v>
      </c>
      <c r="H143" s="54" t="s">
        <v>75</v>
      </c>
      <c r="I143" s="54" t="s">
        <v>76</v>
      </c>
      <c r="J143" s="54">
        <v>2</v>
      </c>
      <c r="K143" s="27" t="s">
        <v>77</v>
      </c>
      <c r="L143" s="27" t="s">
        <v>602</v>
      </c>
      <c r="M143" s="49" t="s">
        <v>1254</v>
      </c>
      <c r="N143" s="27" t="s">
        <v>1255</v>
      </c>
      <c r="O143" s="26" t="s">
        <v>1256</v>
      </c>
      <c r="P143" s="26" t="s">
        <v>1257</v>
      </c>
      <c r="Q143" s="27" t="s">
        <v>82</v>
      </c>
      <c r="R143" s="27" t="s">
        <v>202</v>
      </c>
      <c r="S143" s="27" t="s">
        <v>201</v>
      </c>
      <c r="T143" s="27" t="s">
        <v>202</v>
      </c>
      <c r="U143" s="30" t="s">
        <v>202</v>
      </c>
      <c r="V143" s="30" t="s">
        <v>202</v>
      </c>
      <c r="W143" s="32" t="s">
        <v>1258</v>
      </c>
      <c r="X143" s="51" t="s">
        <v>1259</v>
      </c>
      <c r="Y143" s="27">
        <v>1000</v>
      </c>
      <c r="Z143" s="30" t="s">
        <v>100</v>
      </c>
      <c r="AA143" s="27">
        <v>100</v>
      </c>
      <c r="AB143" s="27">
        <v>0</v>
      </c>
      <c r="AC143" s="26" t="s">
        <v>1260</v>
      </c>
      <c r="AD143" s="27">
        <v>500</v>
      </c>
      <c r="AE143" s="33" t="s">
        <v>1261</v>
      </c>
      <c r="AF143" s="27" t="s">
        <v>93</v>
      </c>
      <c r="AG143" s="33" t="s">
        <v>152</v>
      </c>
      <c r="AH143" s="34" t="s">
        <v>208</v>
      </c>
    </row>
    <row r="144" spans="2:34" ht="78.75" customHeight="1">
      <c r="B144" s="46">
        <f t="shared" si="2"/>
        <v>141</v>
      </c>
      <c r="C144" s="51" t="str">
        <f>"$"&amp;VLOOKUP(LEFT([1]!Table2[[#This Row],[Column2]],2),[1]Definitions!$B$51:$C$66,2,FALSE)&amp;MID([1]!Table2[[#This Row],[Column2]],3,3)&amp;RIGHT([1]!Table2[[#This Row],[Column2]],2)</f>
        <v>$A26749</v>
      </c>
      <c r="D144" s="26" t="s">
        <v>1262</v>
      </c>
      <c r="E144" s="40" t="s">
        <v>1263</v>
      </c>
      <c r="F144" s="41" t="s">
        <v>227</v>
      </c>
      <c r="G144" s="27" t="s">
        <v>74</v>
      </c>
      <c r="H144" s="27" t="s">
        <v>75</v>
      </c>
      <c r="I144" s="27" t="s">
        <v>76</v>
      </c>
      <c r="J144" s="30">
        <v>2</v>
      </c>
      <c r="K144" s="41" t="s">
        <v>77</v>
      </c>
      <c r="L144" s="41" t="s">
        <v>1264</v>
      </c>
      <c r="M144" s="82" t="s">
        <v>1265</v>
      </c>
      <c r="N144" s="41" t="s">
        <v>76</v>
      </c>
      <c r="O144" s="92" t="s">
        <v>1266</v>
      </c>
      <c r="P144" s="42" t="s">
        <v>1267</v>
      </c>
      <c r="Q144" s="41" t="s">
        <v>199</v>
      </c>
      <c r="R144" s="27" t="s">
        <v>202</v>
      </c>
      <c r="S144" s="41" t="s">
        <v>201</v>
      </c>
      <c r="T144" s="27" t="s">
        <v>202</v>
      </c>
      <c r="U144" s="43" t="s">
        <v>202</v>
      </c>
      <c r="V144" s="43" t="s">
        <v>202</v>
      </c>
      <c r="W144" s="33" t="s">
        <v>1268</v>
      </c>
      <c r="X144" s="64" t="s">
        <v>1269</v>
      </c>
      <c r="Y144" s="41">
        <v>7500</v>
      </c>
      <c r="Z144" s="43" t="s">
        <v>100</v>
      </c>
      <c r="AA144" s="41">
        <v>100</v>
      </c>
      <c r="AB144" s="41">
        <v>0</v>
      </c>
      <c r="AC144" s="64" t="s">
        <v>1270</v>
      </c>
      <c r="AD144" s="41">
        <v>7500</v>
      </c>
      <c r="AE144" s="42" t="s">
        <v>92</v>
      </c>
      <c r="AF144" s="44" t="s">
        <v>93</v>
      </c>
      <c r="AG144" s="84" t="s">
        <v>152</v>
      </c>
      <c r="AH144" s="34" t="s">
        <v>95</v>
      </c>
    </row>
    <row r="145" spans="2:34" ht="101.25" customHeight="1">
      <c r="B145" s="46">
        <f t="shared" si="2"/>
        <v>142</v>
      </c>
      <c r="C145" s="25" t="str">
        <f>"$"&amp;VLOOKUP(LEFT([1]!Table2[[#This Row],[Column2]],2),[1]Definitions!$B$51:$C$66,2,FALSE)&amp;MID([1]!Table2[[#This Row],[Column2]],3,3)&amp;RIGHT([1]!Table2[[#This Row],[Column2]],2)</f>
        <v>$A29801</v>
      </c>
      <c r="D145" s="25" t="s">
        <v>1271</v>
      </c>
      <c r="E145" s="26" t="s">
        <v>1272</v>
      </c>
      <c r="F145" s="27" t="s">
        <v>155</v>
      </c>
      <c r="G145" s="54" t="s">
        <v>74</v>
      </c>
      <c r="H145" s="54" t="s">
        <v>75</v>
      </c>
      <c r="I145" s="54" t="s">
        <v>76</v>
      </c>
      <c r="J145" s="54">
        <v>2</v>
      </c>
      <c r="K145" s="27" t="s">
        <v>77</v>
      </c>
      <c r="L145" s="27" t="s">
        <v>1211</v>
      </c>
      <c r="M145" s="49" t="s">
        <v>1273</v>
      </c>
      <c r="N145" s="27" t="s">
        <v>1213</v>
      </c>
      <c r="O145" s="26" t="s">
        <v>1274</v>
      </c>
      <c r="P145" s="26" t="s">
        <v>1275</v>
      </c>
      <c r="Q145" s="27" t="s">
        <v>199</v>
      </c>
      <c r="R145" s="52" t="s">
        <v>200</v>
      </c>
      <c r="S145" s="27" t="s">
        <v>201</v>
      </c>
      <c r="T145" s="52" t="s">
        <v>202</v>
      </c>
      <c r="U145" s="30" t="s">
        <v>202</v>
      </c>
      <c r="V145" s="30" t="s">
        <v>202</v>
      </c>
      <c r="W145" s="32" t="s">
        <v>1276</v>
      </c>
      <c r="X145" s="51" t="s">
        <v>1277</v>
      </c>
      <c r="Y145" s="27">
        <v>5000</v>
      </c>
      <c r="Z145" s="30" t="s">
        <v>100</v>
      </c>
      <c r="AA145" s="27">
        <v>400</v>
      </c>
      <c r="AB145" s="27">
        <v>0</v>
      </c>
      <c r="AC145" s="26" t="s">
        <v>1278</v>
      </c>
      <c r="AD145" s="27">
        <v>5000</v>
      </c>
      <c r="AE145" s="26" t="s">
        <v>1279</v>
      </c>
      <c r="AF145" s="27" t="s">
        <v>93</v>
      </c>
      <c r="AG145" s="26" t="s">
        <v>649</v>
      </c>
      <c r="AH145" s="34" t="s">
        <v>208</v>
      </c>
    </row>
    <row r="146" spans="2:34" ht="292.5" customHeight="1">
      <c r="B146" s="46">
        <f t="shared" si="2"/>
        <v>143</v>
      </c>
      <c r="C146" s="90" t="str">
        <f>"$"&amp;VLOOKUP(LEFT([1]!Table2[[#This Row],[Column2]],2),[1]Definitions!$B$51:$C$66,2,FALSE)&amp;MID([1]!Table2[[#This Row],[Column2]],3,3)&amp;RIGHT([1]!Table2[[#This Row],[Column2]],2)</f>
        <v>$A2A944</v>
      </c>
      <c r="D146" s="47" t="s">
        <v>1280</v>
      </c>
      <c r="E146" s="47" t="s">
        <v>1281</v>
      </c>
      <c r="F146" s="27" t="s">
        <v>227</v>
      </c>
      <c r="G146" s="48" t="s">
        <v>74</v>
      </c>
      <c r="H146" s="27" t="s">
        <v>75</v>
      </c>
      <c r="I146" s="27" t="s">
        <v>76</v>
      </c>
      <c r="J146" s="30">
        <v>1</v>
      </c>
      <c r="K146" s="27">
        <v>0</v>
      </c>
      <c r="L146" s="27" t="s">
        <v>1282</v>
      </c>
      <c r="M146" s="49" t="s">
        <v>1283</v>
      </c>
      <c r="N146" s="27" t="s">
        <v>76</v>
      </c>
      <c r="O146" s="26" t="s">
        <v>1284</v>
      </c>
      <c r="P146" s="26" t="s">
        <v>1285</v>
      </c>
      <c r="Q146" s="27" t="s">
        <v>82</v>
      </c>
      <c r="R146" s="48" t="s">
        <v>202</v>
      </c>
      <c r="S146" s="27" t="s">
        <v>202</v>
      </c>
      <c r="T146" s="30" t="s">
        <v>202</v>
      </c>
      <c r="U146" s="30" t="s">
        <v>202</v>
      </c>
      <c r="V146" s="30" t="s">
        <v>202</v>
      </c>
      <c r="W146" s="32" t="s">
        <v>1286</v>
      </c>
      <c r="X146" s="51" t="s">
        <v>1287</v>
      </c>
      <c r="Y146" s="27">
        <v>0</v>
      </c>
      <c r="Z146" s="30" t="s">
        <v>100</v>
      </c>
      <c r="AA146" s="27">
        <v>100</v>
      </c>
      <c r="AB146" s="27">
        <v>0</v>
      </c>
      <c r="AC146" s="26" t="s">
        <v>1288</v>
      </c>
      <c r="AD146" s="27">
        <v>0</v>
      </c>
      <c r="AE146" s="33" t="s">
        <v>1289</v>
      </c>
      <c r="AF146" s="27" t="s">
        <v>93</v>
      </c>
      <c r="AG146" s="32" t="s">
        <v>1290</v>
      </c>
      <c r="AH146" s="34" t="s">
        <v>208</v>
      </c>
    </row>
    <row r="147" spans="2:34" ht="292.5" customHeight="1">
      <c r="B147" s="46">
        <f t="shared" si="2"/>
        <v>144</v>
      </c>
      <c r="C147" s="90" t="str">
        <f>"$"&amp;VLOOKUP(LEFT([1]!Table2[[#This Row],[Column2]],2),[1]Definitions!$B$51:$C$66,2,FALSE)&amp;MID([1]!Table2[[#This Row],[Column2]],3,3)&amp;RIGHT([1]!Table2[[#This Row],[Column2]],2)</f>
        <v>$A2A945</v>
      </c>
      <c r="D147" s="47" t="s">
        <v>1291</v>
      </c>
      <c r="E147" s="47" t="s">
        <v>1292</v>
      </c>
      <c r="F147" s="27" t="s">
        <v>227</v>
      </c>
      <c r="G147" s="48" t="s">
        <v>74</v>
      </c>
      <c r="H147" s="27" t="s">
        <v>75</v>
      </c>
      <c r="I147" s="27" t="s">
        <v>76</v>
      </c>
      <c r="J147" s="30">
        <v>1</v>
      </c>
      <c r="K147" s="27">
        <v>0</v>
      </c>
      <c r="L147" s="27" t="s">
        <v>1282</v>
      </c>
      <c r="M147" s="49" t="s">
        <v>1283</v>
      </c>
      <c r="N147" s="27" t="s">
        <v>76</v>
      </c>
      <c r="O147" s="26" t="s">
        <v>1293</v>
      </c>
      <c r="P147" s="26" t="s">
        <v>1285</v>
      </c>
      <c r="Q147" s="27" t="s">
        <v>82</v>
      </c>
      <c r="R147" s="48" t="s">
        <v>202</v>
      </c>
      <c r="S147" s="85" t="s">
        <v>1294</v>
      </c>
      <c r="T147" s="30" t="s">
        <v>202</v>
      </c>
      <c r="U147" s="30" t="s">
        <v>202</v>
      </c>
      <c r="V147" s="30" t="s">
        <v>202</v>
      </c>
      <c r="W147" s="32" t="s">
        <v>1295</v>
      </c>
      <c r="X147" s="51" t="s">
        <v>1296</v>
      </c>
      <c r="Y147" s="27">
        <v>25000</v>
      </c>
      <c r="Z147" s="30" t="s">
        <v>100</v>
      </c>
      <c r="AA147" s="27">
        <v>100</v>
      </c>
      <c r="AB147" s="27">
        <v>0</v>
      </c>
      <c r="AC147" s="26" t="s">
        <v>1288</v>
      </c>
      <c r="AD147" s="27">
        <v>0</v>
      </c>
      <c r="AE147" s="33" t="s">
        <v>1297</v>
      </c>
      <c r="AF147" s="27" t="s">
        <v>93</v>
      </c>
      <c r="AG147" s="32" t="s">
        <v>1290</v>
      </c>
      <c r="AH147" s="34" t="s">
        <v>208</v>
      </c>
    </row>
    <row r="148" spans="2:34" ht="78.75" customHeight="1">
      <c r="B148" s="46">
        <f t="shared" si="2"/>
        <v>145</v>
      </c>
      <c r="C148" s="90" t="str">
        <f>"$"&amp;VLOOKUP(LEFT([1]!Table2[[#This Row],[Column2]],2),[1]Definitions!$B$51:$C$66,2,FALSE)&amp;MID([1]!Table2[[#This Row],[Column2]],3,3)&amp;RIGHT([1]!Table2[[#This Row],[Column2]],2)</f>
        <v>$A2A947</v>
      </c>
      <c r="D148" s="47" t="s">
        <v>1298</v>
      </c>
      <c r="E148" s="47" t="s">
        <v>1299</v>
      </c>
      <c r="F148" s="27" t="s">
        <v>227</v>
      </c>
      <c r="G148" s="48" t="s">
        <v>74</v>
      </c>
      <c r="H148" s="27" t="s">
        <v>75</v>
      </c>
      <c r="I148" s="27" t="s">
        <v>76</v>
      </c>
      <c r="J148" s="30">
        <v>1</v>
      </c>
      <c r="K148" s="27">
        <v>0</v>
      </c>
      <c r="L148" s="27" t="s">
        <v>1300</v>
      </c>
      <c r="M148" s="49" t="s">
        <v>712</v>
      </c>
      <c r="N148" s="27" t="s">
        <v>76</v>
      </c>
      <c r="O148" s="26" t="s">
        <v>1301</v>
      </c>
      <c r="P148" s="26" t="s">
        <v>1285</v>
      </c>
      <c r="Q148" s="27" t="s">
        <v>82</v>
      </c>
      <c r="R148" s="48" t="s">
        <v>202</v>
      </c>
      <c r="S148" s="27" t="s">
        <v>202</v>
      </c>
      <c r="T148" s="30" t="s">
        <v>202</v>
      </c>
      <c r="U148" s="30" t="s">
        <v>202</v>
      </c>
      <c r="V148" s="30" t="s">
        <v>202</v>
      </c>
      <c r="W148" s="32" t="s">
        <v>1286</v>
      </c>
      <c r="X148" s="51" t="s">
        <v>1302</v>
      </c>
      <c r="Y148" s="27">
        <v>0</v>
      </c>
      <c r="Z148" s="30" t="s">
        <v>100</v>
      </c>
      <c r="AA148" s="27">
        <v>100</v>
      </c>
      <c r="AB148" s="27">
        <v>0</v>
      </c>
      <c r="AC148" s="26" t="s">
        <v>1288</v>
      </c>
      <c r="AD148" s="27">
        <v>0</v>
      </c>
      <c r="AE148" s="26" t="s">
        <v>92</v>
      </c>
      <c r="AF148" s="27" t="s">
        <v>93</v>
      </c>
      <c r="AG148" s="62" t="s">
        <v>152</v>
      </c>
      <c r="AH148" s="34" t="s">
        <v>95</v>
      </c>
    </row>
    <row r="149" spans="2:34" ht="56.25" customHeight="1">
      <c r="B149" s="46">
        <f t="shared" si="2"/>
        <v>146</v>
      </c>
      <c r="C149" s="25" t="str">
        <f>"$"&amp;VLOOKUP(LEFT([1]!Table2[[#This Row],[Column2]],2),[1]Definitions!$B$51:$C$66,2,FALSE)&amp;MID([1]!Table2[[#This Row],[Column2]],3,3)&amp;RIGHT([1]!Table2[[#This Row],[Column2]],2)</f>
        <v>$A2AD00</v>
      </c>
      <c r="D149" s="25" t="s">
        <v>1303</v>
      </c>
      <c r="E149" s="47" t="s">
        <v>1304</v>
      </c>
      <c r="F149" s="27" t="s">
        <v>227</v>
      </c>
      <c r="G149" s="48" t="s">
        <v>74</v>
      </c>
      <c r="H149" s="48" t="s">
        <v>75</v>
      </c>
      <c r="I149" s="48" t="s">
        <v>76</v>
      </c>
      <c r="J149" s="48">
        <v>2</v>
      </c>
      <c r="K149" s="27" t="s">
        <v>77</v>
      </c>
      <c r="L149" s="27" t="s">
        <v>1305</v>
      </c>
      <c r="M149" s="49" t="s">
        <v>1306</v>
      </c>
      <c r="N149" s="27" t="s">
        <v>76</v>
      </c>
      <c r="O149" s="26" t="s">
        <v>1307</v>
      </c>
      <c r="P149" s="26" t="s">
        <v>1308</v>
      </c>
      <c r="Q149" s="27" t="s">
        <v>199</v>
      </c>
      <c r="R149" s="48" t="s">
        <v>202</v>
      </c>
      <c r="S149" s="27" t="s">
        <v>201</v>
      </c>
      <c r="T149" s="48" t="s">
        <v>202</v>
      </c>
      <c r="U149" s="30" t="s">
        <v>202</v>
      </c>
      <c r="V149" s="30" t="s">
        <v>202</v>
      </c>
      <c r="W149" s="33" t="s">
        <v>1309</v>
      </c>
      <c r="X149" s="51" t="s">
        <v>1310</v>
      </c>
      <c r="Y149" s="27">
        <v>5000</v>
      </c>
      <c r="Z149" s="30" t="s">
        <v>100</v>
      </c>
      <c r="AA149" s="27">
        <v>100</v>
      </c>
      <c r="AB149" s="27">
        <v>0</v>
      </c>
      <c r="AC149" s="26" t="s">
        <v>1311</v>
      </c>
      <c r="AD149" s="27">
        <v>3000</v>
      </c>
      <c r="AE149" s="26" t="s">
        <v>92</v>
      </c>
      <c r="AF149" s="27" t="s">
        <v>93</v>
      </c>
      <c r="AG149" s="51" t="s">
        <v>207</v>
      </c>
      <c r="AH149" s="34" t="s">
        <v>95</v>
      </c>
    </row>
    <row r="150" spans="2:34" ht="123.75" customHeight="1">
      <c r="B150" s="46">
        <f t="shared" si="2"/>
        <v>147</v>
      </c>
      <c r="C150" s="51" t="str">
        <f>"$"&amp;VLOOKUP(LEFT([1]!Table2[[#This Row],[Column2]],2),[1]Definitions!$B$51:$C$66,2,FALSE)&amp;MID([1]!Table2[[#This Row],[Column2]],3,3)&amp;RIGHT([1]!Table2[[#This Row],[Column2]],2)</f>
        <v>$A30311</v>
      </c>
      <c r="D150" s="32" t="s">
        <v>1312</v>
      </c>
      <c r="E150" s="33" t="s">
        <v>1313</v>
      </c>
      <c r="F150" s="27" t="s">
        <v>155</v>
      </c>
      <c r="G150" s="27" t="s">
        <v>74</v>
      </c>
      <c r="H150" s="27" t="s">
        <v>75</v>
      </c>
      <c r="I150" s="27" t="s">
        <v>76</v>
      </c>
      <c r="J150" s="27">
        <v>2</v>
      </c>
      <c r="K150" s="27" t="s">
        <v>77</v>
      </c>
      <c r="L150" s="27" t="s">
        <v>1211</v>
      </c>
      <c r="M150" s="49" t="s">
        <v>1314</v>
      </c>
      <c r="N150" s="27" t="s">
        <v>1315</v>
      </c>
      <c r="O150" s="26" t="s">
        <v>1316</v>
      </c>
      <c r="P150" s="26" t="s">
        <v>1317</v>
      </c>
      <c r="Q150" s="27" t="s">
        <v>82</v>
      </c>
      <c r="R150" s="27" t="s">
        <v>1318</v>
      </c>
      <c r="S150" s="27" t="s">
        <v>1319</v>
      </c>
      <c r="T150" s="52" t="s">
        <v>1320</v>
      </c>
      <c r="U150" s="30" t="s">
        <v>1321</v>
      </c>
      <c r="V150" s="30" t="s">
        <v>1322</v>
      </c>
      <c r="W150" s="51" t="s">
        <v>1323</v>
      </c>
      <c r="X150" s="32" t="s">
        <v>1324</v>
      </c>
      <c r="Y150" s="27">
        <v>10000</v>
      </c>
      <c r="Z150" s="30" t="s">
        <v>100</v>
      </c>
      <c r="AA150" s="27">
        <v>10</v>
      </c>
      <c r="AB150" s="27">
        <v>0</v>
      </c>
      <c r="AC150" s="33" t="s">
        <v>1325</v>
      </c>
      <c r="AD150" s="27">
        <v>500</v>
      </c>
      <c r="AE150" s="26" t="s">
        <v>92</v>
      </c>
      <c r="AF150" s="27" t="s">
        <v>93</v>
      </c>
      <c r="AG150" s="32" t="s">
        <v>224</v>
      </c>
      <c r="AH150" s="34" t="s">
        <v>95</v>
      </c>
    </row>
    <row r="151" spans="2:34" ht="123.75" customHeight="1">
      <c r="B151" s="46">
        <f t="shared" si="2"/>
        <v>148</v>
      </c>
      <c r="C151" s="25" t="str">
        <f>"$"&amp;VLOOKUP(LEFT([1]!Table2[[#This Row],[Column2]],2),[1]Definitions!$B$51:$C$66,2,FALSE)&amp;MID([1]!Table2[[#This Row],[Column2]],3,3)&amp;RIGHT([1]!Table2[[#This Row],[Column2]],2)</f>
        <v>$A30315</v>
      </c>
      <c r="D151" s="27" t="s">
        <v>1326</v>
      </c>
      <c r="E151" s="26" t="s">
        <v>1327</v>
      </c>
      <c r="F151" s="27" t="s">
        <v>155</v>
      </c>
      <c r="G151" s="27" t="s">
        <v>74</v>
      </c>
      <c r="H151" s="27" t="s">
        <v>75</v>
      </c>
      <c r="I151" s="27" t="s">
        <v>76</v>
      </c>
      <c r="J151" s="27">
        <v>2</v>
      </c>
      <c r="K151" s="27" t="s">
        <v>77</v>
      </c>
      <c r="L151" s="27" t="s">
        <v>1211</v>
      </c>
      <c r="M151" s="49" t="s">
        <v>1314</v>
      </c>
      <c r="N151" s="27" t="s">
        <v>1315</v>
      </c>
      <c r="O151" s="26" t="s">
        <v>1316</v>
      </c>
      <c r="P151" s="26" t="s">
        <v>1317</v>
      </c>
      <c r="Q151" s="27" t="s">
        <v>82</v>
      </c>
      <c r="R151" s="27" t="s">
        <v>1318</v>
      </c>
      <c r="S151" s="27" t="s">
        <v>1319</v>
      </c>
      <c r="T151" s="52" t="s">
        <v>1320</v>
      </c>
      <c r="U151" s="30" t="s">
        <v>1321</v>
      </c>
      <c r="V151" s="30" t="s">
        <v>1322</v>
      </c>
      <c r="W151" s="51" t="s">
        <v>1323</v>
      </c>
      <c r="X151" s="51" t="s">
        <v>1328</v>
      </c>
      <c r="Y151" s="27">
        <v>10000</v>
      </c>
      <c r="Z151" s="30" t="s">
        <v>100</v>
      </c>
      <c r="AA151" s="27">
        <v>10</v>
      </c>
      <c r="AB151" s="27">
        <v>0</v>
      </c>
      <c r="AC151" s="26" t="s">
        <v>1329</v>
      </c>
      <c r="AD151" s="27">
        <v>500</v>
      </c>
      <c r="AE151" s="26" t="s">
        <v>92</v>
      </c>
      <c r="AF151" s="27" t="s">
        <v>93</v>
      </c>
      <c r="AG151" s="33" t="s">
        <v>1330</v>
      </c>
      <c r="AH151" s="34" t="s">
        <v>95</v>
      </c>
    </row>
    <row r="152" spans="2:34" ht="123.75" customHeight="1">
      <c r="B152" s="46">
        <f t="shared" si="2"/>
        <v>149</v>
      </c>
      <c r="C152" s="25" t="str">
        <f>"$"&amp;VLOOKUP(LEFT([1]!Table2[[#This Row],[Column2]],2),[1]Definitions!$B$51:$C$66,2,FALSE)&amp;MID([1]!Table2[[#This Row],[Column2]],3,3)&amp;RIGHT([1]!Table2[[#This Row],[Column2]],2)</f>
        <v>$A30C11</v>
      </c>
      <c r="D152" s="51" t="s">
        <v>1331</v>
      </c>
      <c r="E152" s="26" t="s">
        <v>1332</v>
      </c>
      <c r="F152" s="27" t="s">
        <v>155</v>
      </c>
      <c r="G152" s="27" t="s">
        <v>74</v>
      </c>
      <c r="H152" s="27" t="s">
        <v>75</v>
      </c>
      <c r="I152" s="27" t="s">
        <v>76</v>
      </c>
      <c r="J152" s="27">
        <v>2</v>
      </c>
      <c r="K152" s="27" t="s">
        <v>77</v>
      </c>
      <c r="L152" s="27" t="s">
        <v>156</v>
      </c>
      <c r="M152" s="49" t="s">
        <v>173</v>
      </c>
      <c r="N152" s="27" t="s">
        <v>1333</v>
      </c>
      <c r="O152" s="26" t="s">
        <v>1316</v>
      </c>
      <c r="P152" s="26" t="s">
        <v>1334</v>
      </c>
      <c r="Q152" s="27" t="s">
        <v>82</v>
      </c>
      <c r="R152" s="27" t="s">
        <v>1335</v>
      </c>
      <c r="S152" s="27" t="s">
        <v>1319</v>
      </c>
      <c r="T152" s="52" t="s">
        <v>1336</v>
      </c>
      <c r="U152" s="30" t="s">
        <v>1337</v>
      </c>
      <c r="V152" s="30" t="s">
        <v>1338</v>
      </c>
      <c r="W152" s="32" t="s">
        <v>1339</v>
      </c>
      <c r="X152" s="51" t="s">
        <v>1340</v>
      </c>
      <c r="Y152" s="27">
        <v>5000</v>
      </c>
      <c r="Z152" s="30" t="s">
        <v>100</v>
      </c>
      <c r="AA152" s="27">
        <v>10</v>
      </c>
      <c r="AB152" s="27">
        <v>0</v>
      </c>
      <c r="AC152" s="26" t="s">
        <v>1341</v>
      </c>
      <c r="AD152" s="27">
        <v>5000</v>
      </c>
      <c r="AE152" s="26" t="s">
        <v>92</v>
      </c>
      <c r="AF152" s="27" t="s">
        <v>93</v>
      </c>
      <c r="AG152" s="51" t="s">
        <v>1126</v>
      </c>
      <c r="AH152" s="34" t="s">
        <v>95</v>
      </c>
    </row>
    <row r="153" spans="2:34" ht="146.25" customHeight="1">
      <c r="B153" s="46">
        <f t="shared" si="2"/>
        <v>150</v>
      </c>
      <c r="C153" s="25" t="str">
        <f>"$"&amp;VLOOKUP(LEFT([1]!Table2[[#This Row],[Column2]],2),[1]Definitions!$B$51:$C$66,2,FALSE)&amp;MID([1]!Table2[[#This Row],[Column2]],3,3)&amp;RIGHT([1]!Table2[[#This Row],[Column2]],2)</f>
        <v>$A30C15</v>
      </c>
      <c r="D153" s="51" t="s">
        <v>1342</v>
      </c>
      <c r="E153" s="26" t="s">
        <v>1343</v>
      </c>
      <c r="F153" s="27" t="s">
        <v>155</v>
      </c>
      <c r="G153" s="27" t="s">
        <v>74</v>
      </c>
      <c r="H153" s="27" t="s">
        <v>75</v>
      </c>
      <c r="I153" s="27" t="s">
        <v>76</v>
      </c>
      <c r="J153" s="27">
        <v>2</v>
      </c>
      <c r="K153" s="27" t="s">
        <v>77</v>
      </c>
      <c r="L153" s="27" t="s">
        <v>156</v>
      </c>
      <c r="M153" s="49" t="s">
        <v>173</v>
      </c>
      <c r="N153" s="27" t="s">
        <v>1344</v>
      </c>
      <c r="O153" s="26" t="s">
        <v>1345</v>
      </c>
      <c r="P153" s="26" t="s">
        <v>1346</v>
      </c>
      <c r="Q153" s="27" t="s">
        <v>82</v>
      </c>
      <c r="R153" s="27" t="s">
        <v>1335</v>
      </c>
      <c r="S153" s="27" t="s">
        <v>1319</v>
      </c>
      <c r="T153" s="52" t="s">
        <v>1336</v>
      </c>
      <c r="U153" s="30" t="s">
        <v>1337</v>
      </c>
      <c r="V153" s="30" t="s">
        <v>1338</v>
      </c>
      <c r="W153" s="32" t="s">
        <v>1347</v>
      </c>
      <c r="X153" s="32" t="s">
        <v>1348</v>
      </c>
      <c r="Y153" s="27">
        <v>5000</v>
      </c>
      <c r="Z153" s="30" t="s">
        <v>100</v>
      </c>
      <c r="AA153" s="27">
        <v>10</v>
      </c>
      <c r="AB153" s="27">
        <v>0</v>
      </c>
      <c r="AC153" s="26" t="s">
        <v>1349</v>
      </c>
      <c r="AD153" s="27">
        <v>5000</v>
      </c>
      <c r="AE153" s="26" t="s">
        <v>92</v>
      </c>
      <c r="AF153" s="27" t="s">
        <v>93</v>
      </c>
      <c r="AG153" s="56" t="s">
        <v>1126</v>
      </c>
      <c r="AH153" s="34" t="s">
        <v>95</v>
      </c>
    </row>
    <row r="154" spans="2:34" ht="123.75" customHeight="1">
      <c r="B154" s="46">
        <f t="shared" si="2"/>
        <v>151</v>
      </c>
      <c r="C154" s="25" t="str">
        <f>"$"&amp;VLOOKUP(LEFT([1]!Table2[[#This Row],[Column2]],2),[1]Definitions!$B$51:$C$66,2,FALSE)&amp;MID([1]!Table2[[#This Row],[Column2]],3,3)&amp;RIGHT([1]!Table2[[#This Row],[Column2]],2)</f>
        <v>$A31211</v>
      </c>
      <c r="D154" s="47" t="s">
        <v>1350</v>
      </c>
      <c r="E154" s="47" t="s">
        <v>1351</v>
      </c>
      <c r="F154" s="27" t="s">
        <v>155</v>
      </c>
      <c r="G154" s="48" t="s">
        <v>74</v>
      </c>
      <c r="H154" s="48" t="s">
        <v>75</v>
      </c>
      <c r="I154" s="48" t="s">
        <v>76</v>
      </c>
      <c r="J154" s="48">
        <v>2</v>
      </c>
      <c r="K154" s="27" t="s">
        <v>77</v>
      </c>
      <c r="L154" s="27" t="s">
        <v>1211</v>
      </c>
      <c r="M154" s="49" t="s">
        <v>712</v>
      </c>
      <c r="N154" s="27" t="s">
        <v>76</v>
      </c>
      <c r="O154" s="26" t="s">
        <v>1352</v>
      </c>
      <c r="P154" s="26" t="s">
        <v>1353</v>
      </c>
      <c r="Q154" s="27" t="s">
        <v>82</v>
      </c>
      <c r="R154" s="48" t="s">
        <v>1354</v>
      </c>
      <c r="S154" s="27" t="s">
        <v>178</v>
      </c>
      <c r="T154" s="48" t="s">
        <v>1355</v>
      </c>
      <c r="U154" s="30" t="s">
        <v>1356</v>
      </c>
      <c r="V154" s="30" t="s">
        <v>1357</v>
      </c>
      <c r="W154" s="26" t="s">
        <v>128</v>
      </c>
      <c r="X154" s="51" t="s">
        <v>1012</v>
      </c>
      <c r="Y154" s="27">
        <v>5000</v>
      </c>
      <c r="Z154" s="30" t="s">
        <v>90</v>
      </c>
      <c r="AA154" s="27">
        <v>10</v>
      </c>
      <c r="AB154" s="27">
        <v>0</v>
      </c>
      <c r="AC154" s="26" t="s">
        <v>184</v>
      </c>
      <c r="AD154" s="27">
        <v>500</v>
      </c>
      <c r="AE154" s="26" t="s">
        <v>165</v>
      </c>
      <c r="AF154" s="27" t="s">
        <v>93</v>
      </c>
      <c r="AG154" s="51" t="s">
        <v>152</v>
      </c>
      <c r="AH154" s="34" t="s">
        <v>95</v>
      </c>
    </row>
    <row r="155" spans="2:34" ht="123.75" customHeight="1">
      <c r="B155" s="46">
        <f t="shared" si="2"/>
        <v>152</v>
      </c>
      <c r="C155" s="25" t="str">
        <f>"$"&amp;VLOOKUP(LEFT([1]!Table2[[#This Row],[Column2]],2),[1]Definitions!$B$51:$C$66,2,FALSE)&amp;MID([1]!Table2[[#This Row],[Column2]],3,3)&amp;RIGHT([1]!Table2[[#This Row],[Column2]],2)</f>
        <v>$A31215</v>
      </c>
      <c r="D155" s="25" t="s">
        <v>1358</v>
      </c>
      <c r="E155" s="47" t="s">
        <v>1359</v>
      </c>
      <c r="F155" s="27" t="s">
        <v>155</v>
      </c>
      <c r="G155" s="48" t="s">
        <v>74</v>
      </c>
      <c r="H155" s="48" t="s">
        <v>75</v>
      </c>
      <c r="I155" s="48" t="s">
        <v>76</v>
      </c>
      <c r="J155" s="48">
        <v>2</v>
      </c>
      <c r="K155" s="27" t="s">
        <v>77</v>
      </c>
      <c r="L155" s="27" t="s">
        <v>1211</v>
      </c>
      <c r="M155" s="49" t="s">
        <v>1314</v>
      </c>
      <c r="N155" s="27" t="s">
        <v>1360</v>
      </c>
      <c r="O155" s="26" t="s">
        <v>1352</v>
      </c>
      <c r="P155" s="26" t="s">
        <v>1361</v>
      </c>
      <c r="Q155" s="27" t="s">
        <v>82</v>
      </c>
      <c r="R155" s="48" t="s">
        <v>1354</v>
      </c>
      <c r="S155" s="27" t="s">
        <v>178</v>
      </c>
      <c r="T155" s="48" t="s">
        <v>1355</v>
      </c>
      <c r="U155" s="30" t="s">
        <v>1356</v>
      </c>
      <c r="V155" s="30" t="s">
        <v>1357</v>
      </c>
      <c r="W155" s="33" t="s">
        <v>1362</v>
      </c>
      <c r="X155" s="32" t="s">
        <v>1174</v>
      </c>
      <c r="Y155" s="27">
        <v>5000</v>
      </c>
      <c r="Z155" s="30" t="s">
        <v>100</v>
      </c>
      <c r="AA155" s="27">
        <v>10</v>
      </c>
      <c r="AB155" s="27">
        <v>0</v>
      </c>
      <c r="AC155" s="26" t="s">
        <v>170</v>
      </c>
      <c r="AD155" s="27">
        <v>5000</v>
      </c>
      <c r="AE155" s="26" t="s">
        <v>92</v>
      </c>
      <c r="AF155" s="27" t="s">
        <v>93</v>
      </c>
      <c r="AG155" s="51" t="s">
        <v>152</v>
      </c>
      <c r="AH155" s="34" t="s">
        <v>95</v>
      </c>
    </row>
    <row r="156" spans="2:34" ht="123.75" customHeight="1">
      <c r="B156" s="46">
        <f t="shared" si="2"/>
        <v>153</v>
      </c>
      <c r="C156" s="25" t="str">
        <f>"$"&amp;VLOOKUP(LEFT([1]!Table2[[#This Row],[Column2]],2),[1]Definitions!$B$51:$C$66,2,FALSE)&amp;MID([1]!Table2[[#This Row],[Column2]],3,3)&amp;RIGHT([1]!Table2[[#This Row],[Column2]],2)</f>
        <v>$A31611</v>
      </c>
      <c r="D156" s="25" t="s">
        <v>1363</v>
      </c>
      <c r="E156" s="47" t="s">
        <v>1364</v>
      </c>
      <c r="F156" s="27" t="s">
        <v>155</v>
      </c>
      <c r="G156" s="48" t="s">
        <v>74</v>
      </c>
      <c r="H156" s="48" t="s">
        <v>75</v>
      </c>
      <c r="I156" s="48" t="s">
        <v>76</v>
      </c>
      <c r="J156" s="48">
        <v>2</v>
      </c>
      <c r="K156" s="27" t="s">
        <v>77</v>
      </c>
      <c r="L156" s="27" t="s">
        <v>1211</v>
      </c>
      <c r="M156" s="49" t="s">
        <v>712</v>
      </c>
      <c r="N156" s="27" t="s">
        <v>1365</v>
      </c>
      <c r="O156" s="26" t="s">
        <v>1352</v>
      </c>
      <c r="P156" s="26" t="s">
        <v>1353</v>
      </c>
      <c r="Q156" s="27" t="s">
        <v>82</v>
      </c>
      <c r="R156" s="48" t="s">
        <v>1366</v>
      </c>
      <c r="S156" s="27" t="s">
        <v>178</v>
      </c>
      <c r="T156" s="48" t="s">
        <v>1367</v>
      </c>
      <c r="U156" s="30" t="s">
        <v>1368</v>
      </c>
      <c r="V156" s="30" t="s">
        <v>1369</v>
      </c>
      <c r="W156" s="26" t="s">
        <v>128</v>
      </c>
      <c r="X156" s="51" t="s">
        <v>1012</v>
      </c>
      <c r="Y156" s="27">
        <v>5000</v>
      </c>
      <c r="Z156" s="30" t="s">
        <v>90</v>
      </c>
      <c r="AA156" s="27">
        <v>10</v>
      </c>
      <c r="AB156" s="27">
        <v>0</v>
      </c>
      <c r="AC156" s="26" t="s">
        <v>184</v>
      </c>
      <c r="AD156" s="27">
        <v>500</v>
      </c>
      <c r="AE156" s="26" t="s">
        <v>165</v>
      </c>
      <c r="AF156" s="27" t="s">
        <v>93</v>
      </c>
      <c r="AG156" s="51" t="s">
        <v>152</v>
      </c>
      <c r="AH156" s="34" t="s">
        <v>95</v>
      </c>
    </row>
    <row r="157" spans="2:34" ht="123.75" customHeight="1">
      <c r="B157" s="46">
        <f t="shared" si="2"/>
        <v>154</v>
      </c>
      <c r="C157" s="25" t="str">
        <f>"$"&amp;VLOOKUP(LEFT([1]!Table2[[#This Row],[Column2]],2),[1]Definitions!$B$51:$C$66,2,FALSE)&amp;MID([1]!Table2[[#This Row],[Column2]],3,3)&amp;RIGHT([1]!Table2[[#This Row],[Column2]],2)</f>
        <v>$A31615</v>
      </c>
      <c r="D157" s="47" t="s">
        <v>1370</v>
      </c>
      <c r="E157" s="47" t="s">
        <v>1371</v>
      </c>
      <c r="F157" s="27" t="s">
        <v>155</v>
      </c>
      <c r="G157" s="48" t="s">
        <v>74</v>
      </c>
      <c r="H157" s="48" t="s">
        <v>75</v>
      </c>
      <c r="I157" s="48" t="s">
        <v>76</v>
      </c>
      <c r="J157" s="48">
        <v>2</v>
      </c>
      <c r="K157" s="27" t="s">
        <v>77</v>
      </c>
      <c r="L157" s="27" t="s">
        <v>156</v>
      </c>
      <c r="M157" s="49" t="s">
        <v>1372</v>
      </c>
      <c r="N157" s="27" t="s">
        <v>1365</v>
      </c>
      <c r="O157" s="26" t="s">
        <v>1352</v>
      </c>
      <c r="P157" s="26" t="s">
        <v>1353</v>
      </c>
      <c r="Q157" s="27" t="s">
        <v>82</v>
      </c>
      <c r="R157" s="48" t="s">
        <v>1366</v>
      </c>
      <c r="S157" s="27" t="s">
        <v>178</v>
      </c>
      <c r="T157" s="48" t="s">
        <v>1367</v>
      </c>
      <c r="U157" s="30" t="s">
        <v>1368</v>
      </c>
      <c r="V157" s="30" t="s">
        <v>1369</v>
      </c>
      <c r="W157" s="33" t="s">
        <v>820</v>
      </c>
      <c r="X157" s="32" t="s">
        <v>1174</v>
      </c>
      <c r="Y157" s="27">
        <v>5000</v>
      </c>
      <c r="Z157" s="30" t="s">
        <v>100</v>
      </c>
      <c r="AA157" s="27">
        <v>10</v>
      </c>
      <c r="AB157" s="27">
        <v>0</v>
      </c>
      <c r="AC157" s="26" t="s">
        <v>170</v>
      </c>
      <c r="AD157" s="27">
        <v>5000</v>
      </c>
      <c r="AE157" s="26" t="s">
        <v>92</v>
      </c>
      <c r="AF157" s="27" t="s">
        <v>93</v>
      </c>
      <c r="AG157" s="62" t="s">
        <v>152</v>
      </c>
      <c r="AH157" s="34" t="s">
        <v>95</v>
      </c>
    </row>
    <row r="158" spans="2:34" ht="123.75" customHeight="1">
      <c r="B158" s="46">
        <f t="shared" si="2"/>
        <v>155</v>
      </c>
      <c r="C158" s="51" t="str">
        <f>"$"&amp;VLOOKUP(LEFT([1]!Table2[[#This Row],[Column2]],2),[1]Definitions!$B$51:$C$66,2,FALSE)&amp;MID([1]!Table2[[#This Row],[Column2]],3,3)&amp;RIGHT([1]!Table2[[#This Row],[Column2]],2)</f>
        <v>$A31A11</v>
      </c>
      <c r="D158" s="51" t="s">
        <v>1373</v>
      </c>
      <c r="E158" s="26" t="s">
        <v>1374</v>
      </c>
      <c r="F158" s="27" t="s">
        <v>155</v>
      </c>
      <c r="G158" s="27" t="s">
        <v>74</v>
      </c>
      <c r="H158" s="27" t="s">
        <v>75</v>
      </c>
      <c r="I158" s="27" t="s">
        <v>76</v>
      </c>
      <c r="J158" s="27">
        <v>2</v>
      </c>
      <c r="K158" s="27" t="s">
        <v>77</v>
      </c>
      <c r="L158" s="27" t="s">
        <v>156</v>
      </c>
      <c r="M158" s="49" t="s">
        <v>1314</v>
      </c>
      <c r="N158" s="27" t="s">
        <v>1333</v>
      </c>
      <c r="O158" s="26" t="s">
        <v>197</v>
      </c>
      <c r="P158" s="26" t="s">
        <v>1375</v>
      </c>
      <c r="Q158" s="27" t="s">
        <v>82</v>
      </c>
      <c r="R158" s="27" t="s">
        <v>1376</v>
      </c>
      <c r="S158" s="27" t="s">
        <v>124</v>
      </c>
      <c r="T158" s="27" t="s">
        <v>1377</v>
      </c>
      <c r="U158" s="30" t="s">
        <v>1378</v>
      </c>
      <c r="V158" s="30" t="s">
        <v>1379</v>
      </c>
      <c r="W158" s="51" t="s">
        <v>1380</v>
      </c>
      <c r="X158" s="51" t="s">
        <v>1381</v>
      </c>
      <c r="Y158" s="27">
        <v>5000</v>
      </c>
      <c r="Z158" s="30" t="s">
        <v>90</v>
      </c>
      <c r="AA158" s="27">
        <v>10</v>
      </c>
      <c r="AB158" s="27">
        <v>0</v>
      </c>
      <c r="AC158" s="26" t="s">
        <v>1382</v>
      </c>
      <c r="AD158" s="27">
        <v>500</v>
      </c>
      <c r="AE158" s="26" t="s">
        <v>165</v>
      </c>
      <c r="AF158" s="27" t="s">
        <v>93</v>
      </c>
      <c r="AG158" s="51" t="s">
        <v>1383</v>
      </c>
      <c r="AH158" s="34" t="s">
        <v>95</v>
      </c>
    </row>
    <row r="159" spans="2:34" ht="123.75" customHeight="1">
      <c r="B159" s="46">
        <f t="shared" si="2"/>
        <v>156</v>
      </c>
      <c r="C159" s="25" t="str">
        <f>"$"&amp;VLOOKUP(LEFT([1]!Table2[[#This Row],[Column2]],2),[1]Definitions!$B$51:$C$66,2,FALSE)&amp;MID([1]!Table2[[#This Row],[Column2]],3,3)&amp;RIGHT([1]!Table2[[#This Row],[Column2]],2)</f>
        <v>$A31A15</v>
      </c>
      <c r="D159" s="51" t="s">
        <v>1384</v>
      </c>
      <c r="E159" s="26" t="s">
        <v>1385</v>
      </c>
      <c r="F159" s="27" t="s">
        <v>155</v>
      </c>
      <c r="G159" s="27" t="s">
        <v>74</v>
      </c>
      <c r="H159" s="27" t="s">
        <v>75</v>
      </c>
      <c r="I159" s="27" t="s">
        <v>76</v>
      </c>
      <c r="J159" s="27">
        <v>2</v>
      </c>
      <c r="K159" s="27" t="s">
        <v>77</v>
      </c>
      <c r="L159" s="27" t="s">
        <v>156</v>
      </c>
      <c r="M159" s="49" t="s">
        <v>1314</v>
      </c>
      <c r="N159" s="27" t="s">
        <v>1386</v>
      </c>
      <c r="O159" s="26" t="s">
        <v>197</v>
      </c>
      <c r="P159" s="26" t="s">
        <v>1387</v>
      </c>
      <c r="Q159" s="27" t="s">
        <v>82</v>
      </c>
      <c r="R159" s="27" t="s">
        <v>1376</v>
      </c>
      <c r="S159" s="27" t="s">
        <v>124</v>
      </c>
      <c r="T159" s="27" t="s">
        <v>1377</v>
      </c>
      <c r="U159" s="30" t="s">
        <v>1378</v>
      </c>
      <c r="V159" s="30" t="s">
        <v>1379</v>
      </c>
      <c r="W159" s="32" t="s">
        <v>1388</v>
      </c>
      <c r="X159" s="32" t="s">
        <v>1389</v>
      </c>
      <c r="Y159" s="27">
        <v>5000</v>
      </c>
      <c r="Z159" s="30" t="s">
        <v>100</v>
      </c>
      <c r="AA159" s="27">
        <v>10</v>
      </c>
      <c r="AB159" s="27">
        <v>0</v>
      </c>
      <c r="AC159" s="26" t="s">
        <v>1390</v>
      </c>
      <c r="AD159" s="27">
        <v>5000</v>
      </c>
      <c r="AE159" s="26" t="s">
        <v>165</v>
      </c>
      <c r="AF159" s="27" t="s">
        <v>93</v>
      </c>
      <c r="AG159" s="51" t="s">
        <v>1383</v>
      </c>
      <c r="AH159" s="34" t="s">
        <v>95</v>
      </c>
    </row>
    <row r="160" spans="2:34" ht="112.5" customHeight="1">
      <c r="B160" s="46">
        <f t="shared" si="2"/>
        <v>157</v>
      </c>
      <c r="C160" s="25" t="str">
        <f>"$"&amp;VLOOKUP(LEFT([1]!Table2[[#This Row],[Column2]],2),[1]Definitions!$B$51:$C$66,2,FALSE)&amp;MID([1]!Table2[[#This Row],[Column2]],3,3)&amp;RIGHT([1]!Table2[[#This Row],[Column2]],2)</f>
        <v>$A3322A</v>
      </c>
      <c r="D160" s="26" t="s">
        <v>1391</v>
      </c>
      <c r="E160" s="26" t="s">
        <v>1392</v>
      </c>
      <c r="F160" s="27" t="s">
        <v>73</v>
      </c>
      <c r="G160" s="27" t="s">
        <v>74</v>
      </c>
      <c r="H160" s="27" t="s">
        <v>75</v>
      </c>
      <c r="I160" s="27" t="s">
        <v>76</v>
      </c>
      <c r="J160" s="27">
        <v>2</v>
      </c>
      <c r="K160" s="27" t="s">
        <v>77</v>
      </c>
      <c r="L160" s="27" t="s">
        <v>1393</v>
      </c>
      <c r="M160" s="49" t="s">
        <v>1394</v>
      </c>
      <c r="N160" s="27" t="s">
        <v>1395</v>
      </c>
      <c r="O160" s="26" t="s">
        <v>175</v>
      </c>
      <c r="P160" s="26" t="s">
        <v>1396</v>
      </c>
      <c r="Q160" s="27" t="s">
        <v>82</v>
      </c>
      <c r="R160" s="27" t="s">
        <v>1397</v>
      </c>
      <c r="S160" s="27" t="s">
        <v>145</v>
      </c>
      <c r="T160" s="27" t="s">
        <v>1398</v>
      </c>
      <c r="U160" s="27" t="s">
        <v>1399</v>
      </c>
      <c r="V160" s="27" t="s">
        <v>1400</v>
      </c>
      <c r="W160" s="33" t="s">
        <v>1401</v>
      </c>
      <c r="X160" s="32" t="s">
        <v>1402</v>
      </c>
      <c r="Y160" s="27">
        <v>30000</v>
      </c>
      <c r="Z160" s="30" t="s">
        <v>100</v>
      </c>
      <c r="AA160" s="27">
        <v>10</v>
      </c>
      <c r="AB160" s="27">
        <v>0</v>
      </c>
      <c r="AC160" s="51" t="s">
        <v>1403</v>
      </c>
      <c r="AD160" s="27">
        <v>5000</v>
      </c>
      <c r="AE160" s="26" t="s">
        <v>92</v>
      </c>
      <c r="AF160" s="27" t="s">
        <v>93</v>
      </c>
      <c r="AG160" s="62" t="s">
        <v>822</v>
      </c>
      <c r="AH160" s="34" t="s">
        <v>95</v>
      </c>
    </row>
    <row r="161" spans="2:34" ht="112.5" customHeight="1">
      <c r="B161" s="46">
        <f t="shared" si="2"/>
        <v>158</v>
      </c>
      <c r="C161" s="51" t="str">
        <f>"$"&amp;VLOOKUP(LEFT([1]!Table2[[#This Row],[Column2]],2),[1]Definitions!$B$51:$C$66,2,FALSE)&amp;MID([1]!Table2[[#This Row],[Column2]],3,3)&amp;RIGHT([1]!Table2[[#This Row],[Column2]],2)</f>
        <v>$A33511</v>
      </c>
      <c r="D161" s="26" t="s">
        <v>1404</v>
      </c>
      <c r="E161" s="26" t="s">
        <v>1405</v>
      </c>
      <c r="F161" s="27" t="s">
        <v>73</v>
      </c>
      <c r="G161" s="27" t="s">
        <v>74</v>
      </c>
      <c r="H161" s="27" t="s">
        <v>75</v>
      </c>
      <c r="I161" s="27" t="s">
        <v>76</v>
      </c>
      <c r="J161" s="27">
        <v>2</v>
      </c>
      <c r="K161" s="27" t="s">
        <v>77</v>
      </c>
      <c r="L161" s="27" t="s">
        <v>1393</v>
      </c>
      <c r="M161" s="49" t="s">
        <v>1406</v>
      </c>
      <c r="N161" s="27" t="s">
        <v>1407</v>
      </c>
      <c r="O161" s="26" t="s">
        <v>175</v>
      </c>
      <c r="P161" s="26" t="s">
        <v>1408</v>
      </c>
      <c r="Q161" s="27" t="s">
        <v>82</v>
      </c>
      <c r="R161" s="27" t="s">
        <v>1409</v>
      </c>
      <c r="S161" s="27" t="s">
        <v>270</v>
      </c>
      <c r="T161" s="27" t="s">
        <v>1410</v>
      </c>
      <c r="U161" s="27" t="s">
        <v>1411</v>
      </c>
      <c r="V161" s="27" t="s">
        <v>1412</v>
      </c>
      <c r="W161" s="26" t="s">
        <v>1413</v>
      </c>
      <c r="X161" s="32" t="s">
        <v>434</v>
      </c>
      <c r="Y161" s="27">
        <v>5000</v>
      </c>
      <c r="Z161" s="30" t="s">
        <v>90</v>
      </c>
      <c r="AA161" s="27">
        <v>10</v>
      </c>
      <c r="AB161" s="27">
        <v>0</v>
      </c>
      <c r="AC161" s="51" t="s">
        <v>1414</v>
      </c>
      <c r="AD161" s="27">
        <v>500</v>
      </c>
      <c r="AE161" s="26" t="s">
        <v>165</v>
      </c>
      <c r="AF161" s="27" t="s">
        <v>93</v>
      </c>
      <c r="AG161" s="62" t="s">
        <v>152</v>
      </c>
      <c r="AH161" s="34" t="s">
        <v>95</v>
      </c>
    </row>
    <row r="162" spans="2:34" ht="112.5" customHeight="1">
      <c r="B162" s="46">
        <f t="shared" si="2"/>
        <v>159</v>
      </c>
      <c r="C162" s="51" t="str">
        <f>"$"&amp;VLOOKUP(LEFT([1]!Table2[[#This Row],[Column2]],2),[1]Definitions!$B$51:$C$66,2,FALSE)&amp;MID([1]!Table2[[#This Row],[Column2]],3,3)&amp;RIGHT([1]!Table2[[#This Row],[Column2]],2)</f>
        <v>$A33515</v>
      </c>
      <c r="D162" s="26" t="s">
        <v>1415</v>
      </c>
      <c r="E162" s="26" t="s">
        <v>1416</v>
      </c>
      <c r="F162" s="27" t="s">
        <v>73</v>
      </c>
      <c r="G162" s="27" t="s">
        <v>74</v>
      </c>
      <c r="H162" s="27" t="s">
        <v>75</v>
      </c>
      <c r="I162" s="27" t="s">
        <v>76</v>
      </c>
      <c r="J162" s="27">
        <v>2</v>
      </c>
      <c r="K162" s="27" t="s">
        <v>77</v>
      </c>
      <c r="L162" s="27" t="s">
        <v>1393</v>
      </c>
      <c r="M162" s="49" t="s">
        <v>1406</v>
      </c>
      <c r="N162" s="27" t="s">
        <v>1407</v>
      </c>
      <c r="O162" s="26" t="s">
        <v>175</v>
      </c>
      <c r="P162" s="26" t="s">
        <v>1396</v>
      </c>
      <c r="Q162" s="27" t="s">
        <v>82</v>
      </c>
      <c r="R162" s="27" t="s">
        <v>1409</v>
      </c>
      <c r="S162" s="27" t="s">
        <v>270</v>
      </c>
      <c r="T162" s="27" t="s">
        <v>1410</v>
      </c>
      <c r="U162" s="27" t="s">
        <v>1411</v>
      </c>
      <c r="V162" s="27" t="s">
        <v>1412</v>
      </c>
      <c r="W162" s="33" t="s">
        <v>1417</v>
      </c>
      <c r="X162" s="32" t="s">
        <v>1059</v>
      </c>
      <c r="Y162" s="27">
        <v>5000</v>
      </c>
      <c r="Z162" s="30" t="s">
        <v>100</v>
      </c>
      <c r="AA162" s="27">
        <v>10</v>
      </c>
      <c r="AB162" s="27">
        <v>0</v>
      </c>
      <c r="AC162" s="51" t="s">
        <v>1418</v>
      </c>
      <c r="AD162" s="27">
        <v>5000</v>
      </c>
      <c r="AE162" s="26" t="s">
        <v>92</v>
      </c>
      <c r="AF162" s="27" t="s">
        <v>93</v>
      </c>
      <c r="AG162" s="62" t="s">
        <v>152</v>
      </c>
      <c r="AH162" s="34" t="s">
        <v>95</v>
      </c>
    </row>
    <row r="163" spans="2:34" ht="112.5" customHeight="1">
      <c r="B163" s="46">
        <f t="shared" si="2"/>
        <v>160</v>
      </c>
      <c r="C163" s="25" t="str">
        <f>"$"&amp;VLOOKUP(LEFT([1]!Table2[[#This Row],[Column2]],2),[1]Definitions!$B$51:$C$66,2,FALSE)&amp;MID([1]!Table2[[#This Row],[Column2]],3,3)&amp;RIGHT([1]!Table2[[#This Row],[Column2]],2)</f>
        <v>$A33D11</v>
      </c>
      <c r="D163" s="25" t="s">
        <v>1419</v>
      </c>
      <c r="E163" s="26" t="s">
        <v>1420</v>
      </c>
      <c r="F163" s="27" t="s">
        <v>155</v>
      </c>
      <c r="G163" s="54" t="s">
        <v>74</v>
      </c>
      <c r="H163" s="54" t="s">
        <v>75</v>
      </c>
      <c r="I163" s="54" t="s">
        <v>76</v>
      </c>
      <c r="J163" s="54">
        <v>2</v>
      </c>
      <c r="K163" s="27" t="s">
        <v>77</v>
      </c>
      <c r="L163" s="27" t="s">
        <v>156</v>
      </c>
      <c r="M163" s="49" t="s">
        <v>1421</v>
      </c>
      <c r="N163" s="85" t="s">
        <v>1422</v>
      </c>
      <c r="O163" s="85" t="s">
        <v>175</v>
      </c>
      <c r="P163" s="85" t="s">
        <v>1423</v>
      </c>
      <c r="Q163" s="27" t="s">
        <v>82</v>
      </c>
      <c r="R163" s="52" t="s">
        <v>1424</v>
      </c>
      <c r="S163" s="27" t="s">
        <v>124</v>
      </c>
      <c r="T163" s="52" t="s">
        <v>1425</v>
      </c>
      <c r="U163" s="30" t="s">
        <v>1426</v>
      </c>
      <c r="V163" s="30" t="s">
        <v>1427</v>
      </c>
      <c r="W163" s="32" t="s">
        <v>1380</v>
      </c>
      <c r="X163" s="51" t="s">
        <v>1428</v>
      </c>
      <c r="Y163" s="85">
        <v>5000</v>
      </c>
      <c r="Z163" s="93" t="s">
        <v>90</v>
      </c>
      <c r="AA163" s="85">
        <v>10</v>
      </c>
      <c r="AB163" s="85">
        <v>0</v>
      </c>
      <c r="AC163" s="85" t="s">
        <v>1429</v>
      </c>
      <c r="AD163" s="85">
        <v>500</v>
      </c>
      <c r="AE163" s="26" t="s">
        <v>165</v>
      </c>
      <c r="AF163" s="27" t="s">
        <v>93</v>
      </c>
      <c r="AG163" s="33" t="s">
        <v>1430</v>
      </c>
      <c r="AH163" s="34" t="s">
        <v>95</v>
      </c>
    </row>
    <row r="164" spans="2:34" ht="123.75" customHeight="1">
      <c r="B164" s="46">
        <f t="shared" si="2"/>
        <v>161</v>
      </c>
      <c r="C164" s="25" t="str">
        <f>"$"&amp;VLOOKUP(LEFT([1]!Table2[[#This Row],[Column2]],2),[1]Definitions!$B$51:$C$66,2,FALSE)&amp;MID([1]!Table2[[#This Row],[Column2]],3,3)&amp;RIGHT([1]!Table2[[#This Row],[Column2]],2)</f>
        <v>$A33D15</v>
      </c>
      <c r="D164" s="25" t="s">
        <v>1431</v>
      </c>
      <c r="E164" s="26" t="s">
        <v>1432</v>
      </c>
      <c r="F164" s="27" t="s">
        <v>155</v>
      </c>
      <c r="G164" s="54" t="s">
        <v>74</v>
      </c>
      <c r="H164" s="54" t="s">
        <v>75</v>
      </c>
      <c r="I164" s="54" t="s">
        <v>76</v>
      </c>
      <c r="J164" s="54">
        <v>2</v>
      </c>
      <c r="K164" s="27" t="s">
        <v>77</v>
      </c>
      <c r="L164" s="27" t="s">
        <v>156</v>
      </c>
      <c r="M164" s="49" t="s">
        <v>1421</v>
      </c>
      <c r="N164" s="85" t="s">
        <v>1386</v>
      </c>
      <c r="O164" s="85" t="s">
        <v>121</v>
      </c>
      <c r="P164" s="85" t="s">
        <v>1423</v>
      </c>
      <c r="Q164" s="27" t="s">
        <v>82</v>
      </c>
      <c r="R164" s="52" t="s">
        <v>1424</v>
      </c>
      <c r="S164" s="27" t="s">
        <v>124</v>
      </c>
      <c r="T164" s="52" t="s">
        <v>1425</v>
      </c>
      <c r="U164" s="30" t="s">
        <v>1426</v>
      </c>
      <c r="V164" s="30" t="s">
        <v>1427</v>
      </c>
      <c r="W164" s="32" t="s">
        <v>1433</v>
      </c>
      <c r="X164" s="51" t="s">
        <v>1434</v>
      </c>
      <c r="Y164" s="85">
        <v>5000</v>
      </c>
      <c r="Z164" s="30" t="s">
        <v>100</v>
      </c>
      <c r="AA164" s="85">
        <v>10</v>
      </c>
      <c r="AB164" s="85">
        <v>0</v>
      </c>
      <c r="AC164" s="85" t="s">
        <v>1435</v>
      </c>
      <c r="AD164" s="85">
        <v>5000</v>
      </c>
      <c r="AE164" s="26" t="s">
        <v>165</v>
      </c>
      <c r="AF164" s="27" t="s">
        <v>93</v>
      </c>
      <c r="AG164" s="33" t="s">
        <v>1430</v>
      </c>
      <c r="AH164" s="34" t="s">
        <v>95</v>
      </c>
    </row>
    <row r="165" spans="2:34" ht="112.5" customHeight="1">
      <c r="B165" s="46">
        <f t="shared" si="2"/>
        <v>162</v>
      </c>
      <c r="C165" s="25" t="str">
        <f>"$"&amp;VLOOKUP(LEFT([1]!Table2[[#This Row],[Column2]],2),[1]Definitions!$B$51:$C$66,2,FALSE)&amp;MID([1]!Table2[[#This Row],[Column2]],3,3)&amp;RIGHT([1]!Table2[[#This Row],[Column2]],2)</f>
        <v>$A34111</v>
      </c>
      <c r="D165" s="51" t="s">
        <v>1436</v>
      </c>
      <c r="E165" s="26" t="s">
        <v>1437</v>
      </c>
      <c r="F165" s="27" t="s">
        <v>155</v>
      </c>
      <c r="G165" s="27" t="s">
        <v>74</v>
      </c>
      <c r="H165" s="27" t="s">
        <v>75</v>
      </c>
      <c r="I165" s="27" t="s">
        <v>76</v>
      </c>
      <c r="J165" s="27">
        <v>2</v>
      </c>
      <c r="K165" s="27" t="s">
        <v>77</v>
      </c>
      <c r="L165" s="27" t="s">
        <v>1211</v>
      </c>
      <c r="M165" s="49" t="s">
        <v>1314</v>
      </c>
      <c r="N165" s="27" t="s">
        <v>1438</v>
      </c>
      <c r="O165" s="26" t="s">
        <v>175</v>
      </c>
      <c r="P165" s="26" t="s">
        <v>1439</v>
      </c>
      <c r="Q165" s="27" t="s">
        <v>82</v>
      </c>
      <c r="R165" s="52" t="s">
        <v>1440</v>
      </c>
      <c r="S165" s="27" t="s">
        <v>124</v>
      </c>
      <c r="T165" s="27" t="s">
        <v>1441</v>
      </c>
      <c r="U165" s="94" t="s">
        <v>1442</v>
      </c>
      <c r="V165" s="30" t="s">
        <v>1427</v>
      </c>
      <c r="W165" s="32" t="s">
        <v>1443</v>
      </c>
      <c r="X165" s="51" t="s">
        <v>1381</v>
      </c>
      <c r="Y165" s="27">
        <v>5000</v>
      </c>
      <c r="Z165" s="30" t="s">
        <v>90</v>
      </c>
      <c r="AA165" s="27">
        <v>10</v>
      </c>
      <c r="AB165" s="27">
        <v>0</v>
      </c>
      <c r="AC165" s="26" t="s">
        <v>1382</v>
      </c>
      <c r="AD165" s="27">
        <v>500</v>
      </c>
      <c r="AE165" s="26" t="s">
        <v>165</v>
      </c>
      <c r="AF165" s="27" t="s">
        <v>93</v>
      </c>
      <c r="AG165" s="33" t="s">
        <v>649</v>
      </c>
      <c r="AH165" s="34" t="s">
        <v>95</v>
      </c>
    </row>
    <row r="166" spans="2:34" ht="112.5" customHeight="1">
      <c r="B166" s="46">
        <f t="shared" si="2"/>
        <v>163</v>
      </c>
      <c r="C166" s="25" t="str">
        <f>"$"&amp;VLOOKUP(LEFT([1]!Table2[[#This Row],[Column2]],2),[1]Definitions!$B$51:$C$66,2,FALSE)&amp;MID([1]!Table2[[#This Row],[Column2]],3,3)&amp;RIGHT([1]!Table2[[#This Row],[Column2]],2)</f>
        <v>$A34115</v>
      </c>
      <c r="D166" s="51" t="s">
        <v>1444</v>
      </c>
      <c r="E166" s="40" t="s">
        <v>1445</v>
      </c>
      <c r="F166" s="41" t="s">
        <v>155</v>
      </c>
      <c r="G166" s="27" t="s">
        <v>74</v>
      </c>
      <c r="H166" s="27" t="s">
        <v>75</v>
      </c>
      <c r="I166" s="27" t="s">
        <v>76</v>
      </c>
      <c r="J166" s="27">
        <v>2</v>
      </c>
      <c r="K166" s="41" t="s">
        <v>77</v>
      </c>
      <c r="L166" s="41" t="s">
        <v>1211</v>
      </c>
      <c r="M166" s="82" t="s">
        <v>1314</v>
      </c>
      <c r="N166" s="27" t="s">
        <v>1446</v>
      </c>
      <c r="O166" s="42" t="s">
        <v>175</v>
      </c>
      <c r="P166" s="42" t="s">
        <v>1439</v>
      </c>
      <c r="Q166" s="41" t="s">
        <v>82</v>
      </c>
      <c r="R166" s="52" t="s">
        <v>1440</v>
      </c>
      <c r="S166" s="41" t="s">
        <v>124</v>
      </c>
      <c r="T166" s="27" t="s">
        <v>1441</v>
      </c>
      <c r="U166" s="95" t="s">
        <v>1442</v>
      </c>
      <c r="V166" s="43" t="s">
        <v>1427</v>
      </c>
      <c r="W166" s="32" t="s">
        <v>1447</v>
      </c>
      <c r="X166" s="64" t="s">
        <v>1448</v>
      </c>
      <c r="Y166" s="41">
        <v>5000</v>
      </c>
      <c r="Z166" s="43" t="s">
        <v>100</v>
      </c>
      <c r="AA166" s="41">
        <v>10</v>
      </c>
      <c r="AB166" s="41">
        <v>0</v>
      </c>
      <c r="AC166" s="42" t="s">
        <v>1449</v>
      </c>
      <c r="AD166" s="41">
        <v>5000</v>
      </c>
      <c r="AE166" s="26" t="s">
        <v>165</v>
      </c>
      <c r="AF166" s="44" t="s">
        <v>93</v>
      </c>
      <c r="AG166" s="96" t="s">
        <v>649</v>
      </c>
      <c r="AH166" s="34" t="s">
        <v>95</v>
      </c>
    </row>
    <row r="167" spans="2:34" ht="78.75" customHeight="1">
      <c r="B167" s="46">
        <f t="shared" si="2"/>
        <v>164</v>
      </c>
      <c r="C167" s="25" t="str">
        <f>"$"&amp;VLOOKUP(LEFT([1]!Table2[[#This Row],[Column2]],2),[1]Definitions!$B$51:$C$66,2,FALSE)&amp;MID([1]!Table2[[#This Row],[Column2]],3,3)&amp;RIGHT([1]!Table2[[#This Row],[Column2]],2)</f>
        <v>$A34D11</v>
      </c>
      <c r="D167" s="26" t="s">
        <v>1450</v>
      </c>
      <c r="E167" s="26" t="s">
        <v>1451</v>
      </c>
      <c r="F167" s="27" t="s">
        <v>155</v>
      </c>
      <c r="G167" s="27" t="s">
        <v>74</v>
      </c>
      <c r="H167" s="27" t="s">
        <v>75</v>
      </c>
      <c r="I167" s="27" t="s">
        <v>76</v>
      </c>
      <c r="J167" s="27">
        <v>2</v>
      </c>
      <c r="K167" s="27" t="s">
        <v>77</v>
      </c>
      <c r="L167" s="27" t="s">
        <v>156</v>
      </c>
      <c r="M167" s="49" t="s">
        <v>173</v>
      </c>
      <c r="N167" s="27" t="s">
        <v>1452</v>
      </c>
      <c r="O167" s="26" t="s">
        <v>1453</v>
      </c>
      <c r="P167" s="26" t="s">
        <v>1454</v>
      </c>
      <c r="Q167" s="27" t="s">
        <v>82</v>
      </c>
      <c r="R167" s="27" t="s">
        <v>1455</v>
      </c>
      <c r="S167" s="27" t="s">
        <v>145</v>
      </c>
      <c r="T167" s="27" t="s">
        <v>1456</v>
      </c>
      <c r="U167" s="30" t="s">
        <v>1457</v>
      </c>
      <c r="V167" s="30" t="s">
        <v>1458</v>
      </c>
      <c r="W167" s="51" t="s">
        <v>1459</v>
      </c>
      <c r="X167" s="51" t="s">
        <v>1460</v>
      </c>
      <c r="Y167" s="27">
        <v>10000</v>
      </c>
      <c r="Z167" s="30" t="s">
        <v>100</v>
      </c>
      <c r="AA167" s="27">
        <v>10</v>
      </c>
      <c r="AB167" s="27">
        <v>0</v>
      </c>
      <c r="AC167" s="26" t="s">
        <v>1461</v>
      </c>
      <c r="AD167" s="27">
        <v>10000</v>
      </c>
      <c r="AE167" s="26" t="s">
        <v>1462</v>
      </c>
      <c r="AF167" s="27" t="s">
        <v>93</v>
      </c>
      <c r="AG167" s="51" t="s">
        <v>152</v>
      </c>
      <c r="AH167" s="34" t="s">
        <v>208</v>
      </c>
    </row>
    <row r="168" spans="2:34" ht="123.75" customHeight="1">
      <c r="B168" s="46">
        <f t="shared" si="2"/>
        <v>165</v>
      </c>
      <c r="C168" s="25" t="str">
        <f>"$"&amp;VLOOKUP(LEFT([1]!Table2[[#This Row],[Column2]],2),[1]Definitions!$B$51:$C$66,2,FALSE)&amp;MID([1]!Table2[[#This Row],[Column2]],3,3)&amp;RIGHT([1]!Table2[[#This Row],[Column2]],2)</f>
        <v>$A36311</v>
      </c>
      <c r="D168" s="25" t="s">
        <v>1463</v>
      </c>
      <c r="E168" s="47" t="s">
        <v>1464</v>
      </c>
      <c r="F168" s="27" t="s">
        <v>1465</v>
      </c>
      <c r="G168" s="25" t="s">
        <v>74</v>
      </c>
      <c r="H168" s="25" t="s">
        <v>75</v>
      </c>
      <c r="I168" s="25" t="s">
        <v>76</v>
      </c>
      <c r="J168" s="25">
        <v>2</v>
      </c>
      <c r="K168" s="27" t="s">
        <v>77</v>
      </c>
      <c r="L168" s="25" t="s">
        <v>1466</v>
      </c>
      <c r="M168" s="49" t="s">
        <v>712</v>
      </c>
      <c r="N168" s="27" t="s">
        <v>92</v>
      </c>
      <c r="O168" s="85" t="s">
        <v>189</v>
      </c>
      <c r="P168" s="85" t="s">
        <v>1467</v>
      </c>
      <c r="Q168" s="85" t="s">
        <v>82</v>
      </c>
      <c r="R168" s="85" t="s">
        <v>1468</v>
      </c>
      <c r="S168" s="85" t="s">
        <v>1469</v>
      </c>
      <c r="T168" s="85" t="s">
        <v>1470</v>
      </c>
      <c r="U168" s="93" t="s">
        <v>1471</v>
      </c>
      <c r="V168" s="93" t="s">
        <v>1472</v>
      </c>
      <c r="W168" s="62" t="s">
        <v>1473</v>
      </c>
      <c r="X168" s="85" t="s">
        <v>1474</v>
      </c>
      <c r="Y168" s="85">
        <v>500</v>
      </c>
      <c r="Z168" s="93" t="s">
        <v>90</v>
      </c>
      <c r="AA168" s="27">
        <v>10</v>
      </c>
      <c r="AB168" s="85">
        <v>0</v>
      </c>
      <c r="AC168" s="26" t="s">
        <v>184</v>
      </c>
      <c r="AD168" s="85">
        <v>5000</v>
      </c>
      <c r="AE168" s="26" t="s">
        <v>165</v>
      </c>
      <c r="AF168" s="85" t="s">
        <v>93</v>
      </c>
      <c r="AG168" s="33" t="s">
        <v>822</v>
      </c>
      <c r="AH168" s="34" t="s">
        <v>95</v>
      </c>
    </row>
    <row r="169" spans="2:34" ht="123.75" customHeight="1">
      <c r="B169" s="46">
        <f t="shared" si="2"/>
        <v>166</v>
      </c>
      <c r="C169" s="25" t="str">
        <f>"$"&amp;VLOOKUP(LEFT([1]!Table2[[#This Row],[Column2]],2),[1]Definitions!$B$51:$C$66,2,FALSE)&amp;MID([1]!Table2[[#This Row],[Column2]],3,3)&amp;RIGHT([1]!Table2[[#This Row],[Column2]],2)</f>
        <v>$A36315</v>
      </c>
      <c r="D169" s="25" t="s">
        <v>1475</v>
      </c>
      <c r="E169" s="47" t="s">
        <v>1476</v>
      </c>
      <c r="F169" s="27" t="s">
        <v>1465</v>
      </c>
      <c r="G169" s="25" t="s">
        <v>74</v>
      </c>
      <c r="H169" s="25" t="s">
        <v>75</v>
      </c>
      <c r="I169" s="25" t="s">
        <v>76</v>
      </c>
      <c r="J169" s="25">
        <v>2</v>
      </c>
      <c r="K169" s="27" t="s">
        <v>77</v>
      </c>
      <c r="L169" s="25" t="s">
        <v>1466</v>
      </c>
      <c r="M169" s="49" t="s">
        <v>712</v>
      </c>
      <c r="N169" s="27" t="s">
        <v>92</v>
      </c>
      <c r="O169" s="85" t="s">
        <v>189</v>
      </c>
      <c r="P169" s="85" t="s">
        <v>1477</v>
      </c>
      <c r="Q169" s="85" t="s">
        <v>82</v>
      </c>
      <c r="R169" s="97" t="s">
        <v>1468</v>
      </c>
      <c r="S169" s="87" t="s">
        <v>1469</v>
      </c>
      <c r="T169" s="85" t="s">
        <v>1470</v>
      </c>
      <c r="U169" s="93" t="s">
        <v>1471</v>
      </c>
      <c r="V169" s="93" t="s">
        <v>1472</v>
      </c>
      <c r="W169" s="62" t="s">
        <v>1478</v>
      </c>
      <c r="X169" s="62" t="s">
        <v>1479</v>
      </c>
      <c r="Y169" s="85">
        <v>5000</v>
      </c>
      <c r="Z169" s="93" t="s">
        <v>1480</v>
      </c>
      <c r="AA169" s="27">
        <v>10</v>
      </c>
      <c r="AB169" s="85">
        <v>0</v>
      </c>
      <c r="AC169" s="85" t="s">
        <v>1481</v>
      </c>
      <c r="AD169" s="85">
        <v>5000</v>
      </c>
      <c r="AE169" s="25" t="s">
        <v>92</v>
      </c>
      <c r="AF169" s="85" t="s">
        <v>93</v>
      </c>
      <c r="AG169" s="33" t="s">
        <v>822</v>
      </c>
      <c r="AH169" s="34" t="s">
        <v>95</v>
      </c>
    </row>
    <row r="170" spans="2:34" ht="157.5" customHeight="1">
      <c r="B170" s="46">
        <f t="shared" si="2"/>
        <v>167</v>
      </c>
      <c r="C170" s="25" t="str">
        <f>"$"&amp;VLOOKUP(LEFT([1]!Table2[[#This Row],[Column2]],2),[1]Definitions!$B$51:$C$66,2,FALSE)&amp;MID([1]!Table2[[#This Row],[Column2]],3,3)&amp;RIGHT([1]!Table2[[#This Row],[Column2]],2)</f>
        <v>$A37907</v>
      </c>
      <c r="D170" s="25" t="s">
        <v>1482</v>
      </c>
      <c r="E170" s="26" t="s">
        <v>1483</v>
      </c>
      <c r="F170" s="27" t="s">
        <v>73</v>
      </c>
      <c r="G170" s="54" t="s">
        <v>74</v>
      </c>
      <c r="H170" s="54" t="s">
        <v>75</v>
      </c>
      <c r="I170" s="54" t="s">
        <v>76</v>
      </c>
      <c r="J170" s="54">
        <v>2</v>
      </c>
      <c r="K170" s="27" t="s">
        <v>77</v>
      </c>
      <c r="L170" s="27" t="s">
        <v>156</v>
      </c>
      <c r="M170" s="49" t="s">
        <v>156</v>
      </c>
      <c r="N170" s="27" t="s">
        <v>76</v>
      </c>
      <c r="O170" s="27" t="s">
        <v>1484</v>
      </c>
      <c r="P170" s="26" t="s">
        <v>1485</v>
      </c>
      <c r="Q170" s="27" t="s">
        <v>199</v>
      </c>
      <c r="R170" s="52" t="s">
        <v>202</v>
      </c>
      <c r="S170" s="27" t="s">
        <v>201</v>
      </c>
      <c r="T170" s="52" t="s">
        <v>202</v>
      </c>
      <c r="U170" s="30" t="s">
        <v>202</v>
      </c>
      <c r="V170" s="30" t="s">
        <v>202</v>
      </c>
      <c r="W170" s="32" t="s">
        <v>1486</v>
      </c>
      <c r="X170" s="32" t="s">
        <v>1487</v>
      </c>
      <c r="Y170" s="27">
        <v>1500</v>
      </c>
      <c r="Z170" s="30" t="s">
        <v>100</v>
      </c>
      <c r="AA170" s="27">
        <v>400</v>
      </c>
      <c r="AB170" s="27">
        <v>0</v>
      </c>
      <c r="AC170" s="26" t="s">
        <v>1488</v>
      </c>
      <c r="AD170" s="27">
        <v>1500</v>
      </c>
      <c r="AE170" s="33" t="s">
        <v>1489</v>
      </c>
      <c r="AF170" s="27" t="s">
        <v>93</v>
      </c>
      <c r="AG170" s="26" t="s">
        <v>776</v>
      </c>
      <c r="AH170" s="34" t="s">
        <v>208</v>
      </c>
    </row>
    <row r="171" spans="2:34" ht="123.75" customHeight="1">
      <c r="B171" s="46">
        <f t="shared" si="2"/>
        <v>168</v>
      </c>
      <c r="C171" s="51" t="str">
        <f>"$"&amp;VLOOKUP(LEFT([1]!Table2[[#This Row],[Column2]],2),[1]Definitions!$B$51:$C$66,2,FALSE)&amp;MID([1]!Table2[[#This Row],[Column2]],3,3)&amp;RIGHT([1]!Table2[[#This Row],[Column2]],2)</f>
        <v>$A3D712</v>
      </c>
      <c r="D171" s="26" t="s">
        <v>1490</v>
      </c>
      <c r="E171" s="26" t="s">
        <v>1491</v>
      </c>
      <c r="F171" s="27" t="s">
        <v>73</v>
      </c>
      <c r="G171" s="27" t="s">
        <v>74</v>
      </c>
      <c r="H171" s="27" t="s">
        <v>75</v>
      </c>
      <c r="I171" s="27" t="s">
        <v>76</v>
      </c>
      <c r="J171" s="27">
        <v>2</v>
      </c>
      <c r="K171" s="27" t="s">
        <v>77</v>
      </c>
      <c r="L171" s="27" t="s">
        <v>1492</v>
      </c>
      <c r="M171" s="26" t="s">
        <v>712</v>
      </c>
      <c r="N171" s="27" t="s">
        <v>1493</v>
      </c>
      <c r="O171" s="26" t="s">
        <v>189</v>
      </c>
      <c r="P171" s="26" t="s">
        <v>1494</v>
      </c>
      <c r="Q171" s="27" t="s">
        <v>82</v>
      </c>
      <c r="R171" s="27" t="s">
        <v>1495</v>
      </c>
      <c r="S171" s="27" t="s">
        <v>1496</v>
      </c>
      <c r="T171" s="27" t="s">
        <v>1497</v>
      </c>
      <c r="U171" s="30" t="s">
        <v>1498</v>
      </c>
      <c r="V171" s="30" t="s">
        <v>1499</v>
      </c>
      <c r="W171" s="33" t="s">
        <v>1500</v>
      </c>
      <c r="X171" s="32" t="s">
        <v>1501</v>
      </c>
      <c r="Y171" s="27">
        <v>5000</v>
      </c>
      <c r="Z171" s="30" t="s">
        <v>90</v>
      </c>
      <c r="AA171" s="27">
        <v>10</v>
      </c>
      <c r="AB171" s="27">
        <v>0</v>
      </c>
      <c r="AC171" s="51" t="s">
        <v>1502</v>
      </c>
      <c r="AD171" s="27">
        <v>500</v>
      </c>
      <c r="AE171" s="26" t="s">
        <v>165</v>
      </c>
      <c r="AF171" s="27" t="s">
        <v>93</v>
      </c>
      <c r="AG171" s="32" t="s">
        <v>152</v>
      </c>
      <c r="AH171" s="34" t="s">
        <v>95</v>
      </c>
    </row>
    <row r="172" spans="2:34" ht="123.75" customHeight="1">
      <c r="B172" s="46">
        <f t="shared" si="2"/>
        <v>169</v>
      </c>
      <c r="C172" s="51" t="str">
        <f>"$"&amp;VLOOKUP(LEFT([1]!Table2[[#This Row],[Column2]],2),[1]Definitions!$B$51:$C$66,2,FALSE)&amp;MID([1]!Table2[[#This Row],[Column2]],3,3)&amp;RIGHT([1]!Table2[[#This Row],[Column2]],2)</f>
        <v>$A3D714</v>
      </c>
      <c r="D172" s="51" t="s">
        <v>1503</v>
      </c>
      <c r="E172" s="26" t="s">
        <v>1504</v>
      </c>
      <c r="F172" s="27" t="s">
        <v>73</v>
      </c>
      <c r="G172" s="27" t="s">
        <v>74</v>
      </c>
      <c r="H172" s="27" t="s">
        <v>75</v>
      </c>
      <c r="I172" s="27" t="s">
        <v>76</v>
      </c>
      <c r="J172" s="27">
        <v>2</v>
      </c>
      <c r="K172" s="27" t="s">
        <v>77</v>
      </c>
      <c r="L172" s="27" t="s">
        <v>1492</v>
      </c>
      <c r="M172" s="49" t="s">
        <v>712</v>
      </c>
      <c r="N172" s="27" t="s">
        <v>1493</v>
      </c>
      <c r="O172" s="26" t="s">
        <v>189</v>
      </c>
      <c r="P172" s="26" t="s">
        <v>1505</v>
      </c>
      <c r="Q172" s="27" t="s">
        <v>82</v>
      </c>
      <c r="R172" s="27" t="s">
        <v>1495</v>
      </c>
      <c r="S172" s="27" t="s">
        <v>1496</v>
      </c>
      <c r="T172" s="27" t="s">
        <v>1497</v>
      </c>
      <c r="U172" s="30" t="s">
        <v>1498</v>
      </c>
      <c r="V172" s="30" t="s">
        <v>1499</v>
      </c>
      <c r="W172" s="33" t="s">
        <v>1506</v>
      </c>
      <c r="X172" s="32" t="s">
        <v>1507</v>
      </c>
      <c r="Y172" s="27">
        <v>5000</v>
      </c>
      <c r="Z172" s="30" t="s">
        <v>100</v>
      </c>
      <c r="AA172" s="27">
        <v>10</v>
      </c>
      <c r="AB172" s="27">
        <v>0</v>
      </c>
      <c r="AC172" s="33" t="s">
        <v>1508</v>
      </c>
      <c r="AD172" s="27">
        <v>5000</v>
      </c>
      <c r="AE172" s="26" t="s">
        <v>92</v>
      </c>
      <c r="AF172" s="27" t="s">
        <v>93</v>
      </c>
      <c r="AG172" s="51" t="s">
        <v>633</v>
      </c>
      <c r="AH172" s="34" t="s">
        <v>95</v>
      </c>
    </row>
    <row r="173" spans="2:34" ht="112.5" customHeight="1">
      <c r="B173" s="46">
        <f t="shared" si="2"/>
        <v>170</v>
      </c>
      <c r="C173" s="52" t="str">
        <f>"$"&amp;VLOOKUP(LEFT([1]!Table2[[#This Row],[Column2]],2),[1]Definitions!$B$51:$C$66,2,FALSE)&amp;MID([1]!Table2[[#This Row],[Column2]],3,3)&amp;RIGHT([1]!Table2[[#This Row],[Column2]],2)</f>
        <v>$A5B511</v>
      </c>
      <c r="D173" s="26" t="s">
        <v>1509</v>
      </c>
      <c r="E173" s="26" t="s">
        <v>1510</v>
      </c>
      <c r="F173" s="27" t="s">
        <v>138</v>
      </c>
      <c r="G173" s="27" t="s">
        <v>74</v>
      </c>
      <c r="H173" s="27" t="s">
        <v>75</v>
      </c>
      <c r="I173" s="27" t="s">
        <v>76</v>
      </c>
      <c r="J173" s="27">
        <v>2</v>
      </c>
      <c r="K173" s="27" t="s">
        <v>77</v>
      </c>
      <c r="L173" s="27" t="s">
        <v>1511</v>
      </c>
      <c r="M173" s="49" t="s">
        <v>712</v>
      </c>
      <c r="N173" s="27" t="s">
        <v>76</v>
      </c>
      <c r="O173" s="26" t="s">
        <v>898</v>
      </c>
      <c r="P173" s="26" t="s">
        <v>143</v>
      </c>
      <c r="Q173" s="27" t="s">
        <v>82</v>
      </c>
      <c r="R173" s="27" t="s">
        <v>1512</v>
      </c>
      <c r="S173" s="27" t="s">
        <v>145</v>
      </c>
      <c r="T173" s="27" t="s">
        <v>1513</v>
      </c>
      <c r="U173" s="30" t="s">
        <v>1514</v>
      </c>
      <c r="V173" s="30" t="s">
        <v>1515</v>
      </c>
      <c r="W173" s="51" t="s">
        <v>1516</v>
      </c>
      <c r="X173" s="51" t="s">
        <v>1517</v>
      </c>
      <c r="Y173" s="27">
        <v>5000</v>
      </c>
      <c r="Z173" s="30" t="s">
        <v>100</v>
      </c>
      <c r="AA173" s="27">
        <v>10</v>
      </c>
      <c r="AB173" s="27">
        <v>0</v>
      </c>
      <c r="AC173" s="26" t="s">
        <v>151</v>
      </c>
      <c r="AD173" s="27">
        <v>5000</v>
      </c>
      <c r="AE173" s="26" t="s">
        <v>92</v>
      </c>
      <c r="AF173" s="27" t="s">
        <v>93</v>
      </c>
      <c r="AG173" s="33" t="s">
        <v>1518</v>
      </c>
      <c r="AH173" s="34" t="s">
        <v>95</v>
      </c>
    </row>
    <row r="174" spans="2:34" ht="135" customHeight="1">
      <c r="B174" s="46">
        <f t="shared" si="2"/>
        <v>171</v>
      </c>
      <c r="C174" s="25" t="str">
        <f>"$"&amp;VLOOKUP(LEFT([1]!Table2[[#This Row],[Column2]],2),[1]Definitions!$B$51:$C$66,2,FALSE)&amp;MID([1]!Table2[[#This Row],[Column2]],3,3)&amp;RIGHT([1]!Table2[[#This Row],[Column2]],2)</f>
        <v>$A5B513</v>
      </c>
      <c r="D174" s="26" t="s">
        <v>1519</v>
      </c>
      <c r="E174" s="26" t="s">
        <v>1520</v>
      </c>
      <c r="F174" s="27" t="s">
        <v>138</v>
      </c>
      <c r="G174" s="27" t="s">
        <v>74</v>
      </c>
      <c r="H174" s="27" t="s">
        <v>75</v>
      </c>
      <c r="I174" s="27" t="s">
        <v>76</v>
      </c>
      <c r="J174" s="27">
        <v>2</v>
      </c>
      <c r="K174" s="27" t="s">
        <v>77</v>
      </c>
      <c r="L174" s="27" t="s">
        <v>1511</v>
      </c>
      <c r="M174" s="49" t="s">
        <v>712</v>
      </c>
      <c r="N174" s="27" t="s">
        <v>76</v>
      </c>
      <c r="O174" s="26" t="s">
        <v>1521</v>
      </c>
      <c r="P174" s="26" t="s">
        <v>1522</v>
      </c>
      <c r="Q174" s="27" t="s">
        <v>82</v>
      </c>
      <c r="R174" s="27" t="s">
        <v>1512</v>
      </c>
      <c r="S174" s="27" t="s">
        <v>145</v>
      </c>
      <c r="T174" s="27" t="s">
        <v>1513</v>
      </c>
      <c r="U174" s="30" t="s">
        <v>1514</v>
      </c>
      <c r="V174" s="30" t="s">
        <v>1515</v>
      </c>
      <c r="W174" s="51" t="s">
        <v>1516</v>
      </c>
      <c r="X174" s="51" t="s">
        <v>1523</v>
      </c>
      <c r="Y174" s="27">
        <v>5000</v>
      </c>
      <c r="Z174" s="30" t="s">
        <v>100</v>
      </c>
      <c r="AA174" s="27">
        <v>10</v>
      </c>
      <c r="AB174" s="27">
        <v>0</v>
      </c>
      <c r="AC174" s="26" t="s">
        <v>1524</v>
      </c>
      <c r="AD174" s="27">
        <v>5000</v>
      </c>
      <c r="AE174" s="26" t="s">
        <v>92</v>
      </c>
      <c r="AF174" s="27" t="s">
        <v>93</v>
      </c>
      <c r="AG174" s="33" t="s">
        <v>1525</v>
      </c>
      <c r="AH174" s="34" t="s">
        <v>95</v>
      </c>
    </row>
    <row r="175" spans="2:34" ht="78.75" customHeight="1">
      <c r="B175" s="46">
        <f t="shared" si="2"/>
        <v>172</v>
      </c>
      <c r="C175" s="25" t="str">
        <f>"$"&amp;VLOOKUP(LEFT([1]!Table2[[#This Row],[Column2]],2),[1]Definitions!$B$51:$C$66,2,FALSE)&amp;MID([1]!Table2[[#This Row],[Column2]],3,3)&amp;RIGHT([1]!Table2[[#This Row],[Column2]],2)</f>
        <v>$A5C02A</v>
      </c>
      <c r="D175" s="26" t="s">
        <v>1526</v>
      </c>
      <c r="E175" s="26" t="s">
        <v>1527</v>
      </c>
      <c r="F175" s="27" t="s">
        <v>138</v>
      </c>
      <c r="G175" s="27" t="s">
        <v>74</v>
      </c>
      <c r="H175" s="27" t="s">
        <v>75</v>
      </c>
      <c r="I175" s="27" t="s">
        <v>76</v>
      </c>
      <c r="J175" s="27">
        <v>2</v>
      </c>
      <c r="K175" s="27" t="s">
        <v>77</v>
      </c>
      <c r="L175" s="27" t="s">
        <v>78</v>
      </c>
      <c r="M175" s="49" t="s">
        <v>1528</v>
      </c>
      <c r="N175" s="27" t="s">
        <v>1529</v>
      </c>
      <c r="O175" s="26" t="s">
        <v>230</v>
      </c>
      <c r="P175" s="26" t="s">
        <v>955</v>
      </c>
      <c r="Q175" s="27" t="s">
        <v>199</v>
      </c>
      <c r="R175" s="27" t="s">
        <v>202</v>
      </c>
      <c r="S175" s="27" t="s">
        <v>201</v>
      </c>
      <c r="T175" s="27" t="s">
        <v>202</v>
      </c>
      <c r="U175" s="30" t="s">
        <v>202</v>
      </c>
      <c r="V175" s="30" t="s">
        <v>202</v>
      </c>
      <c r="W175" s="51" t="s">
        <v>1530</v>
      </c>
      <c r="X175" s="32" t="s">
        <v>1531</v>
      </c>
      <c r="Y175" s="27">
        <v>30000</v>
      </c>
      <c r="Z175" s="30" t="s">
        <v>100</v>
      </c>
      <c r="AA175" s="27">
        <v>400</v>
      </c>
      <c r="AB175" s="27">
        <v>0</v>
      </c>
      <c r="AC175" s="51" t="s">
        <v>1532</v>
      </c>
      <c r="AD175" s="27">
        <v>500</v>
      </c>
      <c r="AE175" s="26" t="s">
        <v>92</v>
      </c>
      <c r="AF175" s="27" t="s">
        <v>93</v>
      </c>
      <c r="AG175" s="62" t="s">
        <v>152</v>
      </c>
      <c r="AH175" s="34" t="s">
        <v>95</v>
      </c>
    </row>
    <row r="176" spans="2:34" ht="78.75" customHeight="1">
      <c r="B176" s="46">
        <f t="shared" si="2"/>
        <v>173</v>
      </c>
      <c r="C176" s="25" t="str">
        <f>"$"&amp;VLOOKUP(LEFT([1]!Table2[[#This Row],[Column2]],2),[1]Definitions!$B$51:$C$66,2,FALSE)&amp;MID([1]!Table2[[#This Row],[Column2]],3,3)&amp;RIGHT([1]!Table2[[#This Row],[Column2]],2)</f>
        <v>$A5C12A</v>
      </c>
      <c r="D176" s="26" t="s">
        <v>1533</v>
      </c>
      <c r="E176" s="26" t="s">
        <v>1534</v>
      </c>
      <c r="F176" s="27" t="s">
        <v>138</v>
      </c>
      <c r="G176" s="27" t="s">
        <v>74</v>
      </c>
      <c r="H176" s="27" t="s">
        <v>75</v>
      </c>
      <c r="I176" s="27" t="s">
        <v>76</v>
      </c>
      <c r="J176" s="27">
        <v>2</v>
      </c>
      <c r="K176" s="27" t="s">
        <v>77</v>
      </c>
      <c r="L176" s="27" t="s">
        <v>78</v>
      </c>
      <c r="M176" s="49" t="s">
        <v>1535</v>
      </c>
      <c r="N176" s="27" t="s">
        <v>1529</v>
      </c>
      <c r="O176" s="26" t="s">
        <v>230</v>
      </c>
      <c r="P176" s="26" t="s">
        <v>955</v>
      </c>
      <c r="Q176" s="27" t="s">
        <v>199</v>
      </c>
      <c r="R176" s="27" t="s">
        <v>202</v>
      </c>
      <c r="S176" s="27" t="s">
        <v>201</v>
      </c>
      <c r="T176" s="27" t="s">
        <v>202</v>
      </c>
      <c r="U176" s="30" t="s">
        <v>202</v>
      </c>
      <c r="V176" s="30" t="s">
        <v>202</v>
      </c>
      <c r="W176" s="51" t="s">
        <v>1536</v>
      </c>
      <c r="X176" s="51" t="s">
        <v>1537</v>
      </c>
      <c r="Y176" s="27">
        <v>30000</v>
      </c>
      <c r="Z176" s="30" t="s">
        <v>100</v>
      </c>
      <c r="AA176" s="27">
        <v>400</v>
      </c>
      <c r="AB176" s="27">
        <v>0</v>
      </c>
      <c r="AC176" s="51" t="s">
        <v>1538</v>
      </c>
      <c r="AD176" s="27">
        <v>500</v>
      </c>
      <c r="AE176" s="26" t="s">
        <v>92</v>
      </c>
      <c r="AF176" s="27" t="s">
        <v>93</v>
      </c>
      <c r="AG176" s="62" t="s">
        <v>152</v>
      </c>
      <c r="AH176" s="34" t="s">
        <v>95</v>
      </c>
    </row>
    <row r="177" spans="2:34" ht="112.5" customHeight="1">
      <c r="B177" s="46">
        <f t="shared" si="2"/>
        <v>174</v>
      </c>
      <c r="C177" s="25" t="str">
        <f>"$"&amp;VLOOKUP(LEFT([1]!Table2[[#This Row],[Column2]],2),[1]Definitions!$B$51:$C$66,2,FALSE)&amp;MID([1]!Table2[[#This Row],[Column2]],3,3)&amp;RIGHT([1]!Table2[[#This Row],[Column2]],2)</f>
        <v>$A5C511</v>
      </c>
      <c r="D177" s="26" t="s">
        <v>1539</v>
      </c>
      <c r="E177" s="26" t="s">
        <v>1540</v>
      </c>
      <c r="F177" s="68" t="s">
        <v>138</v>
      </c>
      <c r="G177" s="27" t="s">
        <v>74</v>
      </c>
      <c r="H177" s="27" t="s">
        <v>75</v>
      </c>
      <c r="I177" s="27" t="s">
        <v>76</v>
      </c>
      <c r="J177" s="27">
        <v>2</v>
      </c>
      <c r="K177" s="27" t="s">
        <v>77</v>
      </c>
      <c r="L177" s="27" t="s">
        <v>139</v>
      </c>
      <c r="M177" s="49" t="s">
        <v>140</v>
      </c>
      <c r="N177" s="27" t="s">
        <v>1541</v>
      </c>
      <c r="O177" s="26" t="s">
        <v>310</v>
      </c>
      <c r="P177" s="26" t="s">
        <v>1542</v>
      </c>
      <c r="Q177" s="27" t="s">
        <v>82</v>
      </c>
      <c r="R177" s="27" t="s">
        <v>1543</v>
      </c>
      <c r="S177" s="27" t="s">
        <v>145</v>
      </c>
      <c r="T177" s="27" t="s">
        <v>1544</v>
      </c>
      <c r="U177" s="30" t="s">
        <v>1545</v>
      </c>
      <c r="V177" s="30" t="s">
        <v>1546</v>
      </c>
      <c r="W177" s="33" t="s">
        <v>1547</v>
      </c>
      <c r="X177" s="51" t="s">
        <v>150</v>
      </c>
      <c r="Y177" s="27">
        <v>5000</v>
      </c>
      <c r="Z177" s="30" t="s">
        <v>100</v>
      </c>
      <c r="AA177" s="27">
        <v>10</v>
      </c>
      <c r="AB177" s="27">
        <v>0</v>
      </c>
      <c r="AC177" s="26" t="s">
        <v>151</v>
      </c>
      <c r="AD177" s="27">
        <v>5000</v>
      </c>
      <c r="AE177" s="33" t="s">
        <v>92</v>
      </c>
      <c r="AF177" s="27" t="s">
        <v>93</v>
      </c>
      <c r="AG177" s="33" t="s">
        <v>1548</v>
      </c>
      <c r="AH177" s="34" t="s">
        <v>95</v>
      </c>
    </row>
    <row r="178" spans="2:34" ht="112.5" customHeight="1">
      <c r="B178" s="46">
        <f t="shared" si="2"/>
        <v>175</v>
      </c>
      <c r="C178" s="51" t="str">
        <f>"$"&amp;VLOOKUP(LEFT([1]!Table2[[#This Row],[Column2]],2),[1]Definitions!$B$51:$C$66,2,FALSE)&amp;MID([1]!Table2[[#This Row],[Column2]],3,3)&amp;RIGHT([1]!Table2[[#This Row],[Column2]],2)</f>
        <v>$A80E11</v>
      </c>
      <c r="D178" s="51" t="s">
        <v>1549</v>
      </c>
      <c r="E178" s="26" t="s">
        <v>1550</v>
      </c>
      <c r="F178" s="27" t="s">
        <v>297</v>
      </c>
      <c r="G178" s="27" t="s">
        <v>74</v>
      </c>
      <c r="H178" s="27" t="s">
        <v>75</v>
      </c>
      <c r="I178" s="27" t="s">
        <v>76</v>
      </c>
      <c r="J178" s="27">
        <v>2</v>
      </c>
      <c r="K178" s="27" t="s">
        <v>77</v>
      </c>
      <c r="L178" s="27" t="s">
        <v>298</v>
      </c>
      <c r="M178" s="49" t="s">
        <v>1551</v>
      </c>
      <c r="N178" s="27" t="s">
        <v>1552</v>
      </c>
      <c r="O178" s="26" t="s">
        <v>310</v>
      </c>
      <c r="P178" s="26" t="s">
        <v>311</v>
      </c>
      <c r="Q178" s="27" t="s">
        <v>82</v>
      </c>
      <c r="R178" s="27" t="s">
        <v>1553</v>
      </c>
      <c r="S178" s="27" t="s">
        <v>270</v>
      </c>
      <c r="T178" s="27" t="s">
        <v>1554</v>
      </c>
      <c r="U178" s="30" t="s">
        <v>1555</v>
      </c>
      <c r="V178" s="30" t="s">
        <v>1556</v>
      </c>
      <c r="W178" s="32" t="s">
        <v>1557</v>
      </c>
      <c r="X178" s="51" t="s">
        <v>183</v>
      </c>
      <c r="Y178" s="27">
        <v>5000</v>
      </c>
      <c r="Z178" s="30" t="s">
        <v>90</v>
      </c>
      <c r="AA178" s="27">
        <v>10</v>
      </c>
      <c r="AB178" s="27">
        <v>0</v>
      </c>
      <c r="AC178" s="26" t="s">
        <v>184</v>
      </c>
      <c r="AD178" s="27">
        <v>500</v>
      </c>
      <c r="AE178" s="26" t="s">
        <v>165</v>
      </c>
      <c r="AF178" s="27" t="s">
        <v>93</v>
      </c>
      <c r="AG178" s="51" t="s">
        <v>376</v>
      </c>
      <c r="AH178" s="34" t="s">
        <v>95</v>
      </c>
    </row>
    <row r="179" spans="2:34" ht="112.5" customHeight="1">
      <c r="B179" s="46">
        <f t="shared" si="2"/>
        <v>176</v>
      </c>
      <c r="C179" s="25" t="str">
        <f>"$"&amp;VLOOKUP(LEFT([1]!Table2[[#This Row],[Column2]],2),[1]Definitions!$B$51:$C$66,2,FALSE)&amp;MID([1]!Table2[[#This Row],[Column2]],3,3)&amp;RIGHT([1]!Table2[[#This Row],[Column2]],2)</f>
        <v>$A80E15</v>
      </c>
      <c r="D179" s="25" t="s">
        <v>1558</v>
      </c>
      <c r="E179" s="47" t="s">
        <v>1559</v>
      </c>
      <c r="F179" s="27" t="s">
        <v>297</v>
      </c>
      <c r="G179" s="48" t="s">
        <v>74</v>
      </c>
      <c r="H179" s="48" t="s">
        <v>75</v>
      </c>
      <c r="I179" s="48" t="s">
        <v>76</v>
      </c>
      <c r="J179" s="48">
        <v>2</v>
      </c>
      <c r="K179" s="27" t="s">
        <v>77</v>
      </c>
      <c r="L179" s="27" t="s">
        <v>298</v>
      </c>
      <c r="M179" s="49" t="s">
        <v>1551</v>
      </c>
      <c r="N179" s="27" t="s">
        <v>1552</v>
      </c>
      <c r="O179" s="26" t="s">
        <v>310</v>
      </c>
      <c r="P179" s="26" t="s">
        <v>311</v>
      </c>
      <c r="Q179" s="27" t="s">
        <v>82</v>
      </c>
      <c r="R179" s="52" t="s">
        <v>1553</v>
      </c>
      <c r="S179" s="27" t="s">
        <v>270</v>
      </c>
      <c r="T179" s="48" t="s">
        <v>1554</v>
      </c>
      <c r="U179" s="30" t="s">
        <v>1555</v>
      </c>
      <c r="V179" s="30" t="s">
        <v>1556</v>
      </c>
      <c r="W179" s="33" t="s">
        <v>1560</v>
      </c>
      <c r="X179" s="51" t="s">
        <v>1561</v>
      </c>
      <c r="Y179" s="27">
        <v>5000</v>
      </c>
      <c r="Z179" s="30" t="s">
        <v>100</v>
      </c>
      <c r="AA179" s="27">
        <v>10</v>
      </c>
      <c r="AB179" s="27">
        <v>0</v>
      </c>
      <c r="AC179" s="26" t="s">
        <v>1562</v>
      </c>
      <c r="AD179" s="27">
        <v>5000</v>
      </c>
      <c r="AE179" s="26" t="s">
        <v>92</v>
      </c>
      <c r="AF179" s="27" t="s">
        <v>93</v>
      </c>
      <c r="AG179" s="26" t="s">
        <v>1563</v>
      </c>
      <c r="AH179" s="34" t="s">
        <v>95</v>
      </c>
    </row>
    <row r="180" spans="2:34" ht="112.5" customHeight="1">
      <c r="B180" s="46">
        <f t="shared" si="2"/>
        <v>177</v>
      </c>
      <c r="C180" s="51" t="str">
        <f>"$"&amp;VLOOKUP(LEFT([1]!Table2[[#This Row],[Column2]],2),[1]Definitions!$B$51:$C$66,2,FALSE)&amp;MID([1]!Table2[[#This Row],[Column2]],3,3)&amp;RIGHT([1]!Table2[[#This Row],[Column2]],2)</f>
        <v>$A80F11</v>
      </c>
      <c r="D180" s="51" t="s">
        <v>1564</v>
      </c>
      <c r="E180" s="26" t="s">
        <v>1565</v>
      </c>
      <c r="F180" s="27" t="s">
        <v>297</v>
      </c>
      <c r="G180" s="27" t="s">
        <v>74</v>
      </c>
      <c r="H180" s="27" t="s">
        <v>75</v>
      </c>
      <c r="I180" s="27" t="s">
        <v>76</v>
      </c>
      <c r="J180" s="27">
        <v>2</v>
      </c>
      <c r="K180" s="27" t="s">
        <v>77</v>
      </c>
      <c r="L180" s="27" t="s">
        <v>298</v>
      </c>
      <c r="M180" s="49" t="s">
        <v>1551</v>
      </c>
      <c r="N180" s="27" t="s">
        <v>1566</v>
      </c>
      <c r="O180" s="26" t="s">
        <v>310</v>
      </c>
      <c r="P180" s="26" t="s">
        <v>311</v>
      </c>
      <c r="Q180" s="27" t="s">
        <v>82</v>
      </c>
      <c r="R180" s="27" t="s">
        <v>1567</v>
      </c>
      <c r="S180" s="27" t="s">
        <v>1074</v>
      </c>
      <c r="T180" s="27" t="s">
        <v>1568</v>
      </c>
      <c r="U180" s="30" t="s">
        <v>1569</v>
      </c>
      <c r="V180" s="30" t="s">
        <v>1570</v>
      </c>
      <c r="W180" s="32" t="s">
        <v>1557</v>
      </c>
      <c r="X180" s="51" t="s">
        <v>183</v>
      </c>
      <c r="Y180" s="27">
        <v>5000</v>
      </c>
      <c r="Z180" s="30" t="s">
        <v>90</v>
      </c>
      <c r="AA180" s="27">
        <v>10</v>
      </c>
      <c r="AB180" s="27">
        <v>0</v>
      </c>
      <c r="AC180" s="26" t="s">
        <v>184</v>
      </c>
      <c r="AD180" s="27">
        <v>500</v>
      </c>
      <c r="AE180" s="26" t="s">
        <v>165</v>
      </c>
      <c r="AF180" s="27" t="s">
        <v>93</v>
      </c>
      <c r="AG180" s="56" t="s">
        <v>376</v>
      </c>
      <c r="AH180" s="34" t="s">
        <v>95</v>
      </c>
    </row>
    <row r="181" spans="2:34" ht="112.5" customHeight="1">
      <c r="B181" s="46">
        <f t="shared" si="2"/>
        <v>178</v>
      </c>
      <c r="C181" s="25" t="str">
        <f>"$"&amp;VLOOKUP(LEFT([1]!Table2[[#This Row],[Column2]],2),[1]Definitions!$B$51:$C$66,2,FALSE)&amp;MID([1]!Table2[[#This Row],[Column2]],3,3)&amp;RIGHT([1]!Table2[[#This Row],[Column2]],2)</f>
        <v>$A80F15</v>
      </c>
      <c r="D181" s="25" t="s">
        <v>1571</v>
      </c>
      <c r="E181" s="47" t="s">
        <v>1572</v>
      </c>
      <c r="F181" s="27" t="s">
        <v>297</v>
      </c>
      <c r="G181" s="48" t="s">
        <v>74</v>
      </c>
      <c r="H181" s="48" t="s">
        <v>75</v>
      </c>
      <c r="I181" s="48" t="s">
        <v>76</v>
      </c>
      <c r="J181" s="48">
        <v>2</v>
      </c>
      <c r="K181" s="27" t="s">
        <v>77</v>
      </c>
      <c r="L181" s="27" t="s">
        <v>298</v>
      </c>
      <c r="M181" s="49" t="s">
        <v>1551</v>
      </c>
      <c r="N181" s="27" t="s">
        <v>1566</v>
      </c>
      <c r="O181" s="26" t="s">
        <v>310</v>
      </c>
      <c r="P181" s="26" t="s">
        <v>311</v>
      </c>
      <c r="Q181" s="27" t="s">
        <v>82</v>
      </c>
      <c r="R181" s="52" t="s">
        <v>1567</v>
      </c>
      <c r="S181" s="27" t="s">
        <v>178</v>
      </c>
      <c r="T181" s="48" t="s">
        <v>1568</v>
      </c>
      <c r="U181" s="30" t="s">
        <v>1569</v>
      </c>
      <c r="V181" s="30" t="s">
        <v>1570</v>
      </c>
      <c r="W181" s="33" t="s">
        <v>1560</v>
      </c>
      <c r="X181" s="32" t="s">
        <v>1573</v>
      </c>
      <c r="Y181" s="27">
        <v>5000</v>
      </c>
      <c r="Z181" s="30" t="s">
        <v>100</v>
      </c>
      <c r="AA181" s="27">
        <v>10</v>
      </c>
      <c r="AB181" s="27">
        <v>0</v>
      </c>
      <c r="AC181" s="26" t="s">
        <v>1574</v>
      </c>
      <c r="AD181" s="27">
        <v>5000</v>
      </c>
      <c r="AE181" s="26" t="s">
        <v>92</v>
      </c>
      <c r="AF181" s="27" t="s">
        <v>93</v>
      </c>
      <c r="AG181" s="26" t="s">
        <v>1575</v>
      </c>
      <c r="AH181" s="34" t="s">
        <v>95</v>
      </c>
    </row>
    <row r="182" spans="2:34" ht="123.75" customHeight="1">
      <c r="B182" s="46">
        <f t="shared" si="2"/>
        <v>179</v>
      </c>
      <c r="C182" s="25" t="str">
        <f>"$"&amp;VLOOKUP(LEFT([1]!Table2[[#This Row],[Column2]],2),[1]Definitions!$B$51:$C$66,2,FALSE)&amp;MID([1]!Table2[[#This Row],[Column2]],3,3)&amp;RIGHT([1]!Table2[[#This Row],[Column2]],2)</f>
        <v>$A81011</v>
      </c>
      <c r="D182" s="52" t="s">
        <v>1576</v>
      </c>
      <c r="E182" s="47" t="s">
        <v>1577</v>
      </c>
      <c r="F182" s="27" t="s">
        <v>297</v>
      </c>
      <c r="G182" s="48" t="s">
        <v>74</v>
      </c>
      <c r="H182" s="48" t="s">
        <v>75</v>
      </c>
      <c r="I182" s="48" t="s">
        <v>76</v>
      </c>
      <c r="J182" s="48">
        <v>2</v>
      </c>
      <c r="K182" s="27" t="s">
        <v>77</v>
      </c>
      <c r="L182" s="27" t="s">
        <v>1578</v>
      </c>
      <c r="M182" s="49" t="s">
        <v>1579</v>
      </c>
      <c r="N182" s="27" t="s">
        <v>1580</v>
      </c>
      <c r="O182" s="26" t="s">
        <v>1581</v>
      </c>
      <c r="P182" s="26" t="s">
        <v>311</v>
      </c>
      <c r="Q182" s="27" t="s">
        <v>82</v>
      </c>
      <c r="R182" s="48" t="s">
        <v>1582</v>
      </c>
      <c r="S182" s="27" t="s">
        <v>84</v>
      </c>
      <c r="T182" s="48" t="s">
        <v>1583</v>
      </c>
      <c r="U182" s="30" t="s">
        <v>1584</v>
      </c>
      <c r="V182" s="30" t="s">
        <v>1585</v>
      </c>
      <c r="W182" s="26" t="s">
        <v>1586</v>
      </c>
      <c r="X182" s="32" t="s">
        <v>1587</v>
      </c>
      <c r="Y182" s="27">
        <v>5000</v>
      </c>
      <c r="Z182" s="30" t="s">
        <v>90</v>
      </c>
      <c r="AA182" s="27">
        <v>10</v>
      </c>
      <c r="AB182" s="27">
        <v>0</v>
      </c>
      <c r="AC182" s="26" t="s">
        <v>1588</v>
      </c>
      <c r="AD182" s="27">
        <v>500</v>
      </c>
      <c r="AE182" s="26" t="s">
        <v>165</v>
      </c>
      <c r="AF182" s="27" t="s">
        <v>93</v>
      </c>
      <c r="AG182" s="51" t="s">
        <v>513</v>
      </c>
      <c r="AH182" s="34" t="s">
        <v>95</v>
      </c>
    </row>
    <row r="183" spans="2:34" ht="123.75" customHeight="1">
      <c r="B183" s="46">
        <f t="shared" si="2"/>
        <v>180</v>
      </c>
      <c r="C183" s="25" t="str">
        <f>"$"&amp;VLOOKUP(LEFT([1]!Table2[[#This Row],[Column2]],2),[1]Definitions!$B$51:$C$66,2,FALSE)&amp;MID([1]!Table2[[#This Row],[Column2]],3,3)&amp;RIGHT([1]!Table2[[#This Row],[Column2]],2)</f>
        <v>$A81111</v>
      </c>
      <c r="D183" s="25" t="s">
        <v>1589</v>
      </c>
      <c r="E183" s="47" t="s">
        <v>1590</v>
      </c>
      <c r="F183" s="27" t="s">
        <v>73</v>
      </c>
      <c r="G183" s="48" t="s">
        <v>74</v>
      </c>
      <c r="H183" s="48" t="s">
        <v>75</v>
      </c>
      <c r="I183" s="48" t="s">
        <v>76</v>
      </c>
      <c r="J183" s="48">
        <v>2</v>
      </c>
      <c r="K183" s="27" t="s">
        <v>77</v>
      </c>
      <c r="L183" s="27" t="s">
        <v>1591</v>
      </c>
      <c r="M183" s="49" t="s">
        <v>1592</v>
      </c>
      <c r="N183" s="27" t="s">
        <v>1593</v>
      </c>
      <c r="O183" s="26" t="s">
        <v>189</v>
      </c>
      <c r="P183" s="26" t="s">
        <v>1467</v>
      </c>
      <c r="Q183" s="27" t="s">
        <v>82</v>
      </c>
      <c r="R183" s="52" t="s">
        <v>1594</v>
      </c>
      <c r="S183" s="27" t="s">
        <v>1074</v>
      </c>
      <c r="T183" s="48" t="s">
        <v>1595</v>
      </c>
      <c r="U183" s="30" t="s">
        <v>1596</v>
      </c>
      <c r="V183" s="30" t="s">
        <v>1597</v>
      </c>
      <c r="W183" s="33" t="s">
        <v>1598</v>
      </c>
      <c r="X183" s="51" t="s">
        <v>1599</v>
      </c>
      <c r="Y183" s="27">
        <v>500</v>
      </c>
      <c r="Z183" s="30" t="s">
        <v>90</v>
      </c>
      <c r="AA183" s="27">
        <v>10</v>
      </c>
      <c r="AB183" s="27">
        <v>0</v>
      </c>
      <c r="AC183" s="26" t="s">
        <v>1600</v>
      </c>
      <c r="AD183" s="27">
        <v>5000</v>
      </c>
      <c r="AE183" s="26" t="s">
        <v>165</v>
      </c>
      <c r="AF183" s="27" t="s">
        <v>93</v>
      </c>
      <c r="AG183" s="26" t="s">
        <v>488</v>
      </c>
      <c r="AH183" s="34" t="s">
        <v>95</v>
      </c>
    </row>
    <row r="184" spans="2:34" ht="247.5" customHeight="1">
      <c r="B184" s="46">
        <f t="shared" si="2"/>
        <v>181</v>
      </c>
      <c r="C184" s="25" t="str">
        <f>"$"&amp;VLOOKUP(LEFT([1]!Table2[[#This Row],[Column2]],2),[1]Definitions!$B$51:$C$66,2,FALSE)&amp;MID([1]!Table2[[#This Row],[Column2]],3,3)&amp;RIGHT([1]!Table2[[#This Row],[Column2]],2)</f>
        <v>$A8802A</v>
      </c>
      <c r="D184" s="25" t="s">
        <v>1601</v>
      </c>
      <c r="E184" s="26" t="s">
        <v>1602</v>
      </c>
      <c r="F184" s="27" t="s">
        <v>227</v>
      </c>
      <c r="G184" s="54" t="s">
        <v>74</v>
      </c>
      <c r="H184" s="54" t="s">
        <v>75</v>
      </c>
      <c r="I184" s="54" t="s">
        <v>76</v>
      </c>
      <c r="J184" s="54">
        <v>2</v>
      </c>
      <c r="K184" s="27" t="s">
        <v>77</v>
      </c>
      <c r="L184" s="27" t="s">
        <v>1603</v>
      </c>
      <c r="M184" s="49" t="s">
        <v>593</v>
      </c>
      <c r="N184" s="27" t="s">
        <v>594</v>
      </c>
      <c r="O184" s="26" t="s">
        <v>230</v>
      </c>
      <c r="P184" s="26" t="s">
        <v>231</v>
      </c>
      <c r="Q184" s="27" t="s">
        <v>199</v>
      </c>
      <c r="R184" s="52" t="s">
        <v>202</v>
      </c>
      <c r="S184" s="27" t="s">
        <v>201</v>
      </c>
      <c r="T184" s="52" t="s">
        <v>202</v>
      </c>
      <c r="U184" s="30" t="s">
        <v>202</v>
      </c>
      <c r="V184" s="30" t="s">
        <v>202</v>
      </c>
      <c r="W184" s="32" t="s">
        <v>1604</v>
      </c>
      <c r="X184" s="32" t="s">
        <v>1605</v>
      </c>
      <c r="Y184" s="27">
        <v>20000</v>
      </c>
      <c r="Z184" s="30" t="s">
        <v>100</v>
      </c>
      <c r="AA184" s="27">
        <v>100</v>
      </c>
      <c r="AB184" s="27">
        <v>0</v>
      </c>
      <c r="AC184" s="26" t="s">
        <v>1606</v>
      </c>
      <c r="AD184" s="27">
        <v>500</v>
      </c>
      <c r="AE184" s="98" t="s">
        <v>1607</v>
      </c>
      <c r="AF184" s="27" t="s">
        <v>93</v>
      </c>
      <c r="AG184" s="26" t="s">
        <v>1608</v>
      </c>
      <c r="AH184" s="34" t="s">
        <v>208</v>
      </c>
    </row>
    <row r="185" spans="2:34" ht="135" customHeight="1">
      <c r="B185" s="46">
        <f t="shared" si="2"/>
        <v>182</v>
      </c>
      <c r="C185" s="25" t="str">
        <f>"$"&amp;VLOOKUP(LEFT([1]!Table2[[#This Row],[Column2]],2),[1]Definitions!$B$51:$C$66,2,FALSE)&amp;MID([1]!Table2[[#This Row],[Column2]],3,3)&amp;RIGHT([1]!Table2[[#This Row],[Column2]],2)</f>
        <v>$A88053</v>
      </c>
      <c r="D185" s="25" t="s">
        <v>1294</v>
      </c>
      <c r="E185" s="26" t="s">
        <v>1609</v>
      </c>
      <c r="F185" s="27" t="s">
        <v>227</v>
      </c>
      <c r="G185" s="54" t="s">
        <v>74</v>
      </c>
      <c r="H185" s="54" t="s">
        <v>75</v>
      </c>
      <c r="I185" s="54" t="s">
        <v>76</v>
      </c>
      <c r="J185" s="54">
        <v>2</v>
      </c>
      <c r="K185" s="27" t="s">
        <v>77</v>
      </c>
      <c r="L185" s="27" t="s">
        <v>1603</v>
      </c>
      <c r="M185" s="49" t="s">
        <v>593</v>
      </c>
      <c r="N185" s="27" t="s">
        <v>594</v>
      </c>
      <c r="O185" s="26" t="s">
        <v>230</v>
      </c>
      <c r="P185" s="26" t="s">
        <v>231</v>
      </c>
      <c r="Q185" s="27" t="s">
        <v>199</v>
      </c>
      <c r="R185" s="52" t="s">
        <v>202</v>
      </c>
      <c r="S185" s="27" t="s">
        <v>201</v>
      </c>
      <c r="T185" s="52" t="s">
        <v>202</v>
      </c>
      <c r="U185" s="30" t="s">
        <v>202</v>
      </c>
      <c r="V185" s="30" t="s">
        <v>202</v>
      </c>
      <c r="W185" s="32" t="s">
        <v>1604</v>
      </c>
      <c r="X185" s="32" t="s">
        <v>1610</v>
      </c>
      <c r="Y185" s="27">
        <v>20000</v>
      </c>
      <c r="Z185" s="30" t="s">
        <v>100</v>
      </c>
      <c r="AA185" s="27">
        <v>100</v>
      </c>
      <c r="AB185" s="27">
        <v>0</v>
      </c>
      <c r="AC185" s="26" t="s">
        <v>1606</v>
      </c>
      <c r="AD185" s="27">
        <v>500</v>
      </c>
      <c r="AE185" s="33" t="s">
        <v>1611</v>
      </c>
      <c r="AF185" s="27" t="s">
        <v>93</v>
      </c>
      <c r="AG185" s="26" t="s">
        <v>1608</v>
      </c>
      <c r="AH185" s="34" t="s">
        <v>208</v>
      </c>
    </row>
    <row r="186" spans="2:34" ht="90" customHeight="1">
      <c r="B186" s="99">
        <f t="shared" si="2"/>
        <v>183</v>
      </c>
      <c r="C186" s="51" t="str">
        <f>"$"&amp;VLOOKUP(LEFT([1]!Table2[[#This Row],[Column2]],2),[1]Definitions!$B$51:$C$66,2,FALSE)&amp;MID([1]!Table2[[#This Row],[Column2]],3,3)&amp;RIGHT([1]!Table2[[#This Row],[Column2]],2)</f>
        <v>$404212</v>
      </c>
      <c r="D186" s="51" t="s">
        <v>1612</v>
      </c>
      <c r="E186" s="26" t="s">
        <v>1613</v>
      </c>
      <c r="F186" s="27" t="s">
        <v>1614</v>
      </c>
      <c r="G186" s="27" t="s">
        <v>74</v>
      </c>
      <c r="H186" s="27" t="s">
        <v>75</v>
      </c>
      <c r="I186" s="27" t="s">
        <v>76</v>
      </c>
      <c r="J186" s="27">
        <v>2</v>
      </c>
      <c r="K186" s="27" t="s">
        <v>77</v>
      </c>
      <c r="L186" s="27" t="s">
        <v>1615</v>
      </c>
      <c r="M186" s="49" t="s">
        <v>1616</v>
      </c>
      <c r="N186" s="27" t="s">
        <v>1617</v>
      </c>
      <c r="O186" s="26" t="s">
        <v>1618</v>
      </c>
      <c r="P186" s="26" t="s">
        <v>1619</v>
      </c>
      <c r="Q186" s="27" t="s">
        <v>82</v>
      </c>
      <c r="R186" s="27" t="s">
        <v>1620</v>
      </c>
      <c r="S186" s="27" t="s">
        <v>1319</v>
      </c>
      <c r="T186" s="27" t="s">
        <v>1621</v>
      </c>
      <c r="U186" s="30" t="s">
        <v>1622</v>
      </c>
      <c r="V186" s="30" t="s">
        <v>1623</v>
      </c>
      <c r="W186" s="32" t="s">
        <v>1624</v>
      </c>
      <c r="X186" s="51" t="s">
        <v>1625</v>
      </c>
      <c r="Y186" s="27">
        <v>5000</v>
      </c>
      <c r="Z186" s="30" t="s">
        <v>100</v>
      </c>
      <c r="AA186" s="27">
        <v>400</v>
      </c>
      <c r="AB186" s="27">
        <v>0</v>
      </c>
      <c r="AC186" s="26" t="s">
        <v>1626</v>
      </c>
      <c r="AD186" s="27">
        <v>5000</v>
      </c>
      <c r="AE186" s="26" t="s">
        <v>92</v>
      </c>
      <c r="AF186" s="27" t="s">
        <v>93</v>
      </c>
      <c r="AG186" s="51" t="s">
        <v>152</v>
      </c>
      <c r="AH186" s="34" t="s">
        <v>95</v>
      </c>
    </row>
    <row r="187" spans="2:34" ht="90" customHeight="1">
      <c r="B187" s="99">
        <f t="shared" si="2"/>
        <v>184</v>
      </c>
      <c r="C187" s="51" t="str">
        <f>"$"&amp;VLOOKUP(LEFT([1]!Table2[[#This Row],[Column2]],2),[1]Definitions!$B$51:$C$66,2,FALSE)&amp;MID([1]!Table2[[#This Row],[Column2]],3,3)&amp;RIGHT([1]!Table2[[#This Row],[Column2]],2)</f>
        <v>$404312</v>
      </c>
      <c r="D187" s="51" t="s">
        <v>1627</v>
      </c>
      <c r="E187" s="26" t="s">
        <v>1628</v>
      </c>
      <c r="F187" s="27" t="s">
        <v>1614</v>
      </c>
      <c r="G187" s="27" t="s">
        <v>74</v>
      </c>
      <c r="H187" s="27" t="s">
        <v>75</v>
      </c>
      <c r="I187" s="27" t="s">
        <v>76</v>
      </c>
      <c r="J187" s="27">
        <v>2</v>
      </c>
      <c r="K187" s="27" t="s">
        <v>77</v>
      </c>
      <c r="L187" s="27" t="s">
        <v>1629</v>
      </c>
      <c r="M187" s="49" t="s">
        <v>1630</v>
      </c>
      <c r="N187" s="27" t="s">
        <v>1631</v>
      </c>
      <c r="O187" s="26" t="s">
        <v>1618</v>
      </c>
      <c r="P187" s="26" t="s">
        <v>1619</v>
      </c>
      <c r="Q187" s="27" t="s">
        <v>82</v>
      </c>
      <c r="R187" s="27" t="s">
        <v>1632</v>
      </c>
      <c r="S187" s="27" t="s">
        <v>1319</v>
      </c>
      <c r="T187" s="27" t="s">
        <v>1633</v>
      </c>
      <c r="U187" s="30" t="s">
        <v>1634</v>
      </c>
      <c r="V187" s="30" t="s">
        <v>1635</v>
      </c>
      <c r="W187" s="51" t="s">
        <v>1636</v>
      </c>
      <c r="X187" s="51" t="s">
        <v>1637</v>
      </c>
      <c r="Y187" s="27">
        <v>5000</v>
      </c>
      <c r="Z187" s="30" t="s">
        <v>100</v>
      </c>
      <c r="AA187" s="27">
        <v>400</v>
      </c>
      <c r="AB187" s="27">
        <v>0</v>
      </c>
      <c r="AC187" s="26" t="s">
        <v>1638</v>
      </c>
      <c r="AD187" s="27">
        <v>5000</v>
      </c>
      <c r="AE187" s="26" t="s">
        <v>92</v>
      </c>
      <c r="AF187" s="27" t="s">
        <v>93</v>
      </c>
      <c r="AG187" s="32" t="s">
        <v>207</v>
      </c>
      <c r="AH187" s="34" t="s">
        <v>95</v>
      </c>
    </row>
    <row r="188" spans="2:34" ht="112.5" customHeight="1">
      <c r="B188" s="46">
        <f t="shared" si="2"/>
        <v>185</v>
      </c>
      <c r="C188" s="51" t="str">
        <f>"$"&amp;VLOOKUP(LEFT([1]!Table2[[#This Row],[Column2]],2),[1]Definitions!$B$51:$C$66,2,FALSE)&amp;MID([1]!Table2[[#This Row],[Column2]],3,3)&amp;RIGHT([1]!Table2[[#This Row],[Column2]],2)</f>
        <v>$404314</v>
      </c>
      <c r="D188" s="51" t="s">
        <v>1639</v>
      </c>
      <c r="E188" s="26" t="s">
        <v>1640</v>
      </c>
      <c r="F188" s="27" t="s">
        <v>1614</v>
      </c>
      <c r="G188" s="27" t="s">
        <v>74</v>
      </c>
      <c r="H188" s="27" t="s">
        <v>75</v>
      </c>
      <c r="I188" s="27" t="s">
        <v>76</v>
      </c>
      <c r="J188" s="27">
        <v>2</v>
      </c>
      <c r="K188" s="27" t="s">
        <v>77</v>
      </c>
      <c r="L188" s="27" t="s">
        <v>1629</v>
      </c>
      <c r="M188" s="49" t="s">
        <v>1630</v>
      </c>
      <c r="N188" s="27" t="s">
        <v>1631</v>
      </c>
      <c r="O188" s="26" t="s">
        <v>1641</v>
      </c>
      <c r="P188" s="26" t="s">
        <v>1642</v>
      </c>
      <c r="Q188" s="27" t="s">
        <v>82</v>
      </c>
      <c r="R188" s="27" t="s">
        <v>1632</v>
      </c>
      <c r="S188" s="27" t="s">
        <v>1319</v>
      </c>
      <c r="T188" s="27" t="s">
        <v>1633</v>
      </c>
      <c r="U188" s="30" t="s">
        <v>1634</v>
      </c>
      <c r="V188" s="30" t="s">
        <v>1635</v>
      </c>
      <c r="W188" s="32" t="s">
        <v>1636</v>
      </c>
      <c r="X188" s="51" t="s">
        <v>1643</v>
      </c>
      <c r="Y188" s="27">
        <v>5000</v>
      </c>
      <c r="Z188" s="30" t="s">
        <v>100</v>
      </c>
      <c r="AA188" s="27">
        <v>400</v>
      </c>
      <c r="AB188" s="27">
        <v>0</v>
      </c>
      <c r="AC188" s="26" t="s">
        <v>1644</v>
      </c>
      <c r="AD188" s="27">
        <v>5000</v>
      </c>
      <c r="AE188" s="26" t="s">
        <v>92</v>
      </c>
      <c r="AF188" s="27" t="s">
        <v>93</v>
      </c>
      <c r="AG188" s="51" t="s">
        <v>207</v>
      </c>
      <c r="AH188" s="34" t="s">
        <v>95</v>
      </c>
    </row>
    <row r="189" spans="2:34" ht="112.5" customHeight="1">
      <c r="B189" s="46">
        <f t="shared" si="2"/>
        <v>186</v>
      </c>
      <c r="C189" s="51" t="str">
        <f>"$"&amp;VLOOKUP(LEFT([1]!Table2[[#This Row],[Column2]],2),[1]Definitions!$B$51:$C$66,2,FALSE)&amp;MID([1]!Table2[[#This Row],[Column2]],3,3)&amp;RIGHT([1]!Table2[[#This Row],[Column2]],2)</f>
        <v>$500615</v>
      </c>
      <c r="D189" s="26" t="s">
        <v>1645</v>
      </c>
      <c r="E189" s="26" t="s">
        <v>1646</v>
      </c>
      <c r="F189" s="27" t="s">
        <v>1614</v>
      </c>
      <c r="G189" s="27" t="s">
        <v>74</v>
      </c>
      <c r="H189" s="27" t="s">
        <v>75</v>
      </c>
      <c r="I189" s="27" t="s">
        <v>76</v>
      </c>
      <c r="J189" s="27">
        <v>2</v>
      </c>
      <c r="K189" s="27" t="s">
        <v>77</v>
      </c>
      <c r="L189" s="27" t="s">
        <v>1647</v>
      </c>
      <c r="M189" s="49" t="s">
        <v>1648</v>
      </c>
      <c r="N189" s="27" t="s">
        <v>76</v>
      </c>
      <c r="O189" s="26" t="s">
        <v>1641</v>
      </c>
      <c r="P189" s="26" t="s">
        <v>1649</v>
      </c>
      <c r="Q189" s="27" t="s">
        <v>82</v>
      </c>
      <c r="R189" s="27" t="s">
        <v>1650</v>
      </c>
      <c r="S189" s="27" t="s">
        <v>145</v>
      </c>
      <c r="T189" s="27" t="s">
        <v>1651</v>
      </c>
      <c r="U189" s="30" t="s">
        <v>1652</v>
      </c>
      <c r="V189" s="30" t="s">
        <v>1653</v>
      </c>
      <c r="W189" s="33" t="s">
        <v>128</v>
      </c>
      <c r="X189" s="51" t="s">
        <v>910</v>
      </c>
      <c r="Y189" s="27">
        <v>10000</v>
      </c>
      <c r="Z189" s="30" t="s">
        <v>100</v>
      </c>
      <c r="AA189" s="27">
        <v>10</v>
      </c>
      <c r="AB189" s="27">
        <v>0</v>
      </c>
      <c r="AC189" s="26" t="s">
        <v>911</v>
      </c>
      <c r="AD189" s="27">
        <v>10000</v>
      </c>
      <c r="AE189" s="26" t="s">
        <v>1654</v>
      </c>
      <c r="AF189" s="27" t="s">
        <v>93</v>
      </c>
      <c r="AG189" s="26" t="s">
        <v>224</v>
      </c>
      <c r="AH189" s="34" t="s">
        <v>208</v>
      </c>
    </row>
    <row r="190" spans="2:34" ht="146.25" customHeight="1">
      <c r="B190" s="46">
        <f t="shared" si="2"/>
        <v>187</v>
      </c>
      <c r="C190" s="25" t="str">
        <f>"$"&amp;VLOOKUP(LEFT([1]!Table2[[#This Row],[Column2]],2),[1]Definitions!$B$51:$C$66,2,FALSE)&amp;MID([1]!Table2[[#This Row],[Column2]],3,3)&amp;RIGHT([1]!Table2[[#This Row],[Column2]],2)</f>
        <v>$50CB12</v>
      </c>
      <c r="D190" s="51" t="s">
        <v>1655</v>
      </c>
      <c r="E190" s="26" t="s">
        <v>1656</v>
      </c>
      <c r="F190" s="27" t="s">
        <v>1614</v>
      </c>
      <c r="G190" s="30" t="s">
        <v>74</v>
      </c>
      <c r="H190" s="30" t="s">
        <v>75</v>
      </c>
      <c r="I190" s="30" t="s">
        <v>76</v>
      </c>
      <c r="J190" s="30">
        <v>2</v>
      </c>
      <c r="K190" s="27" t="s">
        <v>77</v>
      </c>
      <c r="L190" s="27" t="s">
        <v>1657</v>
      </c>
      <c r="M190" s="27" t="s">
        <v>1658</v>
      </c>
      <c r="N190" s="27" t="s">
        <v>92</v>
      </c>
      <c r="O190" s="25" t="s">
        <v>1659</v>
      </c>
      <c r="P190" s="26" t="s">
        <v>1660</v>
      </c>
      <c r="Q190" s="27" t="s">
        <v>82</v>
      </c>
      <c r="R190" s="27" t="s">
        <v>1661</v>
      </c>
      <c r="S190" s="27" t="s">
        <v>1496</v>
      </c>
      <c r="T190" s="30" t="s">
        <v>1662</v>
      </c>
      <c r="U190" s="30" t="s">
        <v>1663</v>
      </c>
      <c r="V190" s="30" t="s">
        <v>1664</v>
      </c>
      <c r="W190" s="33" t="s">
        <v>1665</v>
      </c>
      <c r="X190" s="32" t="s">
        <v>1666</v>
      </c>
      <c r="Y190" s="27">
        <v>500</v>
      </c>
      <c r="Z190" s="30" t="s">
        <v>90</v>
      </c>
      <c r="AA190" s="27">
        <v>10</v>
      </c>
      <c r="AB190" s="27">
        <v>0</v>
      </c>
      <c r="AC190" s="33" t="s">
        <v>1667</v>
      </c>
      <c r="AD190" s="27">
        <v>5000</v>
      </c>
      <c r="AE190" s="26" t="s">
        <v>165</v>
      </c>
      <c r="AF190" s="51" t="s">
        <v>93</v>
      </c>
      <c r="AG190" s="26" t="s">
        <v>1136</v>
      </c>
      <c r="AH190" s="34" t="s">
        <v>95</v>
      </c>
    </row>
    <row r="191" spans="2:34" ht="146.25" customHeight="1">
      <c r="B191" s="46">
        <f t="shared" si="2"/>
        <v>188</v>
      </c>
      <c r="C191" s="25" t="str">
        <f>"$"&amp;VLOOKUP(LEFT([1]!Table2[[#This Row],[Column2]],2),[1]Definitions!$B$51:$C$66,2,FALSE)&amp;MID([1]!Table2[[#This Row],[Column2]],3,3)&amp;RIGHT([1]!Table2[[#This Row],[Column2]],2)</f>
        <v>$50CB14</v>
      </c>
      <c r="D191" s="51" t="s">
        <v>1668</v>
      </c>
      <c r="E191" s="26" t="s">
        <v>1669</v>
      </c>
      <c r="F191" s="27" t="s">
        <v>1614</v>
      </c>
      <c r="G191" s="30" t="s">
        <v>74</v>
      </c>
      <c r="H191" s="30" t="s">
        <v>75</v>
      </c>
      <c r="I191" s="30" t="s">
        <v>76</v>
      </c>
      <c r="J191" s="30">
        <v>2</v>
      </c>
      <c r="K191" s="27" t="s">
        <v>77</v>
      </c>
      <c r="L191" s="27" t="s">
        <v>1657</v>
      </c>
      <c r="M191" s="27" t="s">
        <v>1658</v>
      </c>
      <c r="N191" s="27" t="s">
        <v>92</v>
      </c>
      <c r="O191" s="25" t="s">
        <v>1670</v>
      </c>
      <c r="P191" s="26" t="s">
        <v>1671</v>
      </c>
      <c r="Q191" s="27" t="s">
        <v>82</v>
      </c>
      <c r="R191" s="27" t="s">
        <v>1661</v>
      </c>
      <c r="S191" s="27" t="s">
        <v>1469</v>
      </c>
      <c r="T191" s="30" t="s">
        <v>1662</v>
      </c>
      <c r="U191" s="30" t="s">
        <v>1663</v>
      </c>
      <c r="V191" s="30" t="s">
        <v>1664</v>
      </c>
      <c r="W191" s="33" t="s">
        <v>1672</v>
      </c>
      <c r="X191" s="32" t="s">
        <v>1673</v>
      </c>
      <c r="Y191" s="27">
        <v>5000</v>
      </c>
      <c r="Z191" s="30" t="s">
        <v>100</v>
      </c>
      <c r="AA191" s="27">
        <v>10</v>
      </c>
      <c r="AB191" s="27">
        <v>0</v>
      </c>
      <c r="AC191" s="33" t="s">
        <v>1674</v>
      </c>
      <c r="AD191" s="27">
        <v>5000</v>
      </c>
      <c r="AE191" s="26" t="s">
        <v>92</v>
      </c>
      <c r="AF191" s="51" t="s">
        <v>93</v>
      </c>
      <c r="AG191" s="26" t="s">
        <v>1675</v>
      </c>
      <c r="AH191" s="34" t="s">
        <v>95</v>
      </c>
    </row>
    <row r="192" spans="2:34" ht="225" customHeight="1">
      <c r="B192" s="46">
        <f t="shared" si="2"/>
        <v>189</v>
      </c>
      <c r="C192" s="51" t="str">
        <f>"$"&amp;VLOOKUP(LEFT([1]!Table2[[#This Row],[Column2]],2),[1]Definitions!$B$51:$C$66,2,FALSE)&amp;MID([1]!Table2[[#This Row],[Column2]],3,3)&amp;RIGHT([1]!Table2[[#This Row],[Column2]],2)</f>
        <v>$007011</v>
      </c>
      <c r="D192" s="26" t="s">
        <v>1676</v>
      </c>
      <c r="E192" s="26" t="s">
        <v>1677</v>
      </c>
      <c r="F192" s="27" t="s">
        <v>73</v>
      </c>
      <c r="G192" s="27" t="s">
        <v>74</v>
      </c>
      <c r="H192" s="27" t="s">
        <v>75</v>
      </c>
      <c r="I192" s="27" t="s">
        <v>76</v>
      </c>
      <c r="J192" s="27">
        <v>2</v>
      </c>
      <c r="K192" s="27" t="s">
        <v>77</v>
      </c>
      <c r="L192" s="27" t="s">
        <v>1678</v>
      </c>
      <c r="M192" s="26" t="s">
        <v>1679</v>
      </c>
      <c r="N192" s="27" t="s">
        <v>1680</v>
      </c>
      <c r="O192" s="26" t="s">
        <v>1618</v>
      </c>
      <c r="P192" s="26" t="s">
        <v>1681</v>
      </c>
      <c r="Q192" s="27" t="s">
        <v>82</v>
      </c>
      <c r="R192" s="27" t="s">
        <v>1682</v>
      </c>
      <c r="S192" s="27" t="s">
        <v>145</v>
      </c>
      <c r="T192" s="27" t="s">
        <v>1683</v>
      </c>
      <c r="U192" s="27" t="s">
        <v>1684</v>
      </c>
      <c r="V192" s="27" t="s">
        <v>1685</v>
      </c>
      <c r="W192" s="33" t="s">
        <v>1686</v>
      </c>
      <c r="X192" s="51" t="s">
        <v>904</v>
      </c>
      <c r="Y192" s="27">
        <v>10000</v>
      </c>
      <c r="Z192" s="27" t="s">
        <v>100</v>
      </c>
      <c r="AA192" s="27">
        <v>10</v>
      </c>
      <c r="AB192" s="27">
        <v>0</v>
      </c>
      <c r="AC192" s="51" t="s">
        <v>151</v>
      </c>
      <c r="AD192" s="27">
        <v>10000</v>
      </c>
      <c r="AE192" s="26" t="s">
        <v>1687</v>
      </c>
      <c r="AF192" s="27" t="s">
        <v>93</v>
      </c>
      <c r="AG192" s="51" t="s">
        <v>633</v>
      </c>
      <c r="AH192" s="34" t="s">
        <v>208</v>
      </c>
    </row>
    <row r="193" spans="2:34" ht="247.5" customHeight="1">
      <c r="B193" s="46">
        <f t="shared" si="2"/>
        <v>190</v>
      </c>
      <c r="C193" s="51" t="str">
        <f>"$"&amp;VLOOKUP(LEFT([1]!Table2[[#This Row],[Column2]],2),[1]Definitions!$B$51:$C$66,2,FALSE)&amp;MID([1]!Table2[[#This Row],[Column2]],3,3)&amp;RIGHT([1]!Table2[[#This Row],[Column2]],2)</f>
        <v>$007015</v>
      </c>
      <c r="D193" s="26" t="s">
        <v>1688</v>
      </c>
      <c r="E193" s="26" t="s">
        <v>1689</v>
      </c>
      <c r="F193" s="27" t="s">
        <v>73</v>
      </c>
      <c r="G193" s="27" t="s">
        <v>74</v>
      </c>
      <c r="H193" s="27" t="s">
        <v>75</v>
      </c>
      <c r="I193" s="27" t="s">
        <v>76</v>
      </c>
      <c r="J193" s="27">
        <v>2</v>
      </c>
      <c r="K193" s="27" t="s">
        <v>77</v>
      </c>
      <c r="L193" s="27" t="s">
        <v>1678</v>
      </c>
      <c r="M193" s="26" t="s">
        <v>1690</v>
      </c>
      <c r="N193" s="27" t="s">
        <v>1680</v>
      </c>
      <c r="O193" s="26" t="s">
        <v>1641</v>
      </c>
      <c r="P193" s="26" t="s">
        <v>1691</v>
      </c>
      <c r="Q193" s="27" t="s">
        <v>82</v>
      </c>
      <c r="R193" s="27" t="s">
        <v>1682</v>
      </c>
      <c r="S193" s="27" t="s">
        <v>145</v>
      </c>
      <c r="T193" s="27" t="s">
        <v>1683</v>
      </c>
      <c r="U193" s="27" t="s">
        <v>1684</v>
      </c>
      <c r="V193" s="27" t="s">
        <v>1685</v>
      </c>
      <c r="W193" s="33" t="s">
        <v>1692</v>
      </c>
      <c r="X193" s="51" t="s">
        <v>910</v>
      </c>
      <c r="Y193" s="27">
        <v>10000</v>
      </c>
      <c r="Z193" s="30" t="s">
        <v>100</v>
      </c>
      <c r="AA193" s="27">
        <v>10</v>
      </c>
      <c r="AB193" s="27">
        <v>0</v>
      </c>
      <c r="AC193" s="51" t="s">
        <v>911</v>
      </c>
      <c r="AD193" s="27">
        <v>10000</v>
      </c>
      <c r="AE193" s="26" t="s">
        <v>1693</v>
      </c>
      <c r="AF193" s="27" t="s">
        <v>93</v>
      </c>
      <c r="AG193" s="51" t="s">
        <v>633</v>
      </c>
      <c r="AH193" s="34" t="s">
        <v>208</v>
      </c>
    </row>
    <row r="194" spans="2:34" ht="258.75" customHeight="1">
      <c r="B194" s="46">
        <f t="shared" si="2"/>
        <v>191</v>
      </c>
      <c r="C194" s="25" t="str">
        <f>"$"&amp;VLOOKUP(LEFT([1]!Table2[[#This Row],[Column2]],2),[1]Definitions!$B$51:$C$66,2,FALSE)&amp;MID([1]!Table2[[#This Row],[Column2]],3,3)&amp;RIGHT([1]!Table2[[#This Row],[Column2]],2)</f>
        <v>$046011</v>
      </c>
      <c r="D194" s="47" t="s">
        <v>1694</v>
      </c>
      <c r="E194" s="47" t="s">
        <v>1695</v>
      </c>
      <c r="F194" s="27" t="s">
        <v>73</v>
      </c>
      <c r="G194" s="48" t="s">
        <v>74</v>
      </c>
      <c r="H194" s="48" t="s">
        <v>75</v>
      </c>
      <c r="I194" s="48" t="s">
        <v>76</v>
      </c>
      <c r="J194" s="48">
        <v>2</v>
      </c>
      <c r="K194" s="27" t="s">
        <v>77</v>
      </c>
      <c r="L194" s="27" t="s">
        <v>1696</v>
      </c>
      <c r="M194" s="26" t="s">
        <v>1696</v>
      </c>
      <c r="N194" s="27" t="s">
        <v>76</v>
      </c>
      <c r="O194" s="26" t="s">
        <v>121</v>
      </c>
      <c r="P194" s="26" t="s">
        <v>1681</v>
      </c>
      <c r="Q194" s="27" t="s">
        <v>82</v>
      </c>
      <c r="R194" s="52" t="s">
        <v>1697</v>
      </c>
      <c r="S194" s="27" t="s">
        <v>145</v>
      </c>
      <c r="T194" s="48" t="s">
        <v>1698</v>
      </c>
      <c r="U194" s="30" t="s">
        <v>1699</v>
      </c>
      <c r="V194" s="30" t="s">
        <v>1700</v>
      </c>
      <c r="W194" s="33" t="s">
        <v>1701</v>
      </c>
      <c r="X194" s="51" t="s">
        <v>1702</v>
      </c>
      <c r="Y194" s="27">
        <v>10000</v>
      </c>
      <c r="Z194" s="30" t="s">
        <v>100</v>
      </c>
      <c r="AA194" s="27">
        <v>10</v>
      </c>
      <c r="AB194" s="27">
        <v>0</v>
      </c>
      <c r="AC194" s="26" t="s">
        <v>151</v>
      </c>
      <c r="AD194" s="27">
        <v>10000</v>
      </c>
      <c r="AE194" s="26" t="s">
        <v>1703</v>
      </c>
      <c r="AF194" s="27" t="s">
        <v>93</v>
      </c>
      <c r="AG194" s="51" t="s">
        <v>1704</v>
      </c>
      <c r="AH194" s="34" t="s">
        <v>208</v>
      </c>
    </row>
    <row r="195" spans="2:34" ht="247.5" customHeight="1">
      <c r="B195" s="46">
        <f t="shared" si="2"/>
        <v>192</v>
      </c>
      <c r="C195" s="25" t="str">
        <f>"$"&amp;VLOOKUP(LEFT([1]!Table2[[#This Row],[Column2]],2),[1]Definitions!$B$51:$C$66,2,FALSE)&amp;MID([1]!Table2[[#This Row],[Column2]],3,3)&amp;RIGHT([1]!Table2[[#This Row],[Column2]],2)</f>
        <v>$046015</v>
      </c>
      <c r="D195" s="47" t="s">
        <v>1705</v>
      </c>
      <c r="E195" s="47" t="s">
        <v>1706</v>
      </c>
      <c r="F195" s="27" t="s">
        <v>73</v>
      </c>
      <c r="G195" s="48" t="s">
        <v>74</v>
      </c>
      <c r="H195" s="48" t="s">
        <v>75</v>
      </c>
      <c r="I195" s="48" t="s">
        <v>76</v>
      </c>
      <c r="J195" s="48">
        <v>2</v>
      </c>
      <c r="K195" s="27" t="s">
        <v>77</v>
      </c>
      <c r="L195" s="27" t="s">
        <v>1696</v>
      </c>
      <c r="M195" s="49" t="s">
        <v>1696</v>
      </c>
      <c r="N195" s="27" t="s">
        <v>76</v>
      </c>
      <c r="O195" s="26" t="s">
        <v>121</v>
      </c>
      <c r="P195" s="26" t="s">
        <v>1681</v>
      </c>
      <c r="Q195" s="27" t="s">
        <v>82</v>
      </c>
      <c r="R195" s="48" t="s">
        <v>1707</v>
      </c>
      <c r="S195" s="27" t="s">
        <v>145</v>
      </c>
      <c r="T195" s="48" t="s">
        <v>1698</v>
      </c>
      <c r="U195" s="100" t="s">
        <v>1699</v>
      </c>
      <c r="V195" s="30" t="s">
        <v>1700</v>
      </c>
      <c r="W195" s="33" t="s">
        <v>1701</v>
      </c>
      <c r="X195" s="51" t="s">
        <v>1708</v>
      </c>
      <c r="Y195" s="27">
        <v>10000</v>
      </c>
      <c r="Z195" s="30" t="s">
        <v>100</v>
      </c>
      <c r="AA195" s="27">
        <v>10</v>
      </c>
      <c r="AB195" s="27">
        <v>0</v>
      </c>
      <c r="AC195" s="26" t="s">
        <v>1709</v>
      </c>
      <c r="AD195" s="27">
        <v>10000</v>
      </c>
      <c r="AE195" s="26" t="s">
        <v>1710</v>
      </c>
      <c r="AF195" s="27" t="s">
        <v>93</v>
      </c>
      <c r="AG195" s="51" t="s">
        <v>1704</v>
      </c>
      <c r="AH195" s="34" t="s">
        <v>208</v>
      </c>
    </row>
    <row r="196" spans="2:34" ht="112.5" customHeight="1">
      <c r="B196" s="46">
        <f t="shared" ref="B196:B259" si="3">ROW()-3</f>
        <v>193</v>
      </c>
      <c r="C196" s="25" t="str">
        <f>"$"&amp;VLOOKUP(LEFT([1]!Table2[[#This Row],[Column2]],2),[1]Definitions!$B$51:$C$66,2,FALSE)&amp;MID([1]!Table2[[#This Row],[Column2]],3,3)&amp;RIGHT([1]!Table2[[#This Row],[Column2]],2)</f>
        <v>$084F11</v>
      </c>
      <c r="D196" s="25" t="s">
        <v>1711</v>
      </c>
      <c r="E196" s="47" t="s">
        <v>1712</v>
      </c>
      <c r="F196" s="27" t="s">
        <v>1614</v>
      </c>
      <c r="G196" s="48" t="s">
        <v>74</v>
      </c>
      <c r="H196" s="48" t="s">
        <v>75</v>
      </c>
      <c r="I196" s="48" t="s">
        <v>76</v>
      </c>
      <c r="J196" s="48">
        <v>2</v>
      </c>
      <c r="K196" s="27" t="s">
        <v>77</v>
      </c>
      <c r="L196" s="27" t="s">
        <v>952</v>
      </c>
      <c r="M196" s="49" t="s">
        <v>1713</v>
      </c>
      <c r="N196" s="27" t="s">
        <v>1198</v>
      </c>
      <c r="O196" s="26" t="s">
        <v>310</v>
      </c>
      <c r="P196" s="26" t="s">
        <v>143</v>
      </c>
      <c r="Q196" s="27" t="s">
        <v>82</v>
      </c>
      <c r="R196" s="52" t="s">
        <v>1714</v>
      </c>
      <c r="S196" s="27" t="s">
        <v>1715</v>
      </c>
      <c r="T196" s="48" t="s">
        <v>1716</v>
      </c>
      <c r="U196" s="30" t="s">
        <v>1717</v>
      </c>
      <c r="V196" s="30" t="s">
        <v>1718</v>
      </c>
      <c r="W196" s="33" t="s">
        <v>1719</v>
      </c>
      <c r="X196" s="51" t="s">
        <v>1720</v>
      </c>
      <c r="Y196" s="27">
        <v>5000</v>
      </c>
      <c r="Z196" s="30" t="s">
        <v>90</v>
      </c>
      <c r="AA196" s="27">
        <v>10</v>
      </c>
      <c r="AB196" s="27">
        <v>0</v>
      </c>
      <c r="AC196" s="26" t="s">
        <v>184</v>
      </c>
      <c r="AD196" s="27">
        <v>500</v>
      </c>
      <c r="AE196" s="26" t="s">
        <v>165</v>
      </c>
      <c r="AF196" s="27" t="s">
        <v>93</v>
      </c>
      <c r="AG196" s="26" t="s">
        <v>1721</v>
      </c>
      <c r="AH196" s="34" t="s">
        <v>95</v>
      </c>
    </row>
    <row r="197" spans="2:34" ht="112.5" customHeight="1">
      <c r="B197" s="46">
        <f t="shared" si="3"/>
        <v>194</v>
      </c>
      <c r="C197" s="25" t="str">
        <f>"$"&amp;VLOOKUP(LEFT([1]!Table2[[#This Row],[Column2]],2),[1]Definitions!$B$51:$C$66,2,FALSE)&amp;MID([1]!Table2[[#This Row],[Column2]],3,3)&amp;RIGHT([1]!Table2[[#This Row],[Column2]],2)</f>
        <v>$084F15</v>
      </c>
      <c r="D197" s="25" t="s">
        <v>1722</v>
      </c>
      <c r="E197" s="47" t="s">
        <v>1723</v>
      </c>
      <c r="F197" s="27" t="s">
        <v>1614</v>
      </c>
      <c r="G197" s="48" t="s">
        <v>74</v>
      </c>
      <c r="H197" s="48" t="s">
        <v>75</v>
      </c>
      <c r="I197" s="48" t="s">
        <v>76</v>
      </c>
      <c r="J197" s="48">
        <v>2</v>
      </c>
      <c r="K197" s="27" t="s">
        <v>77</v>
      </c>
      <c r="L197" s="27" t="s">
        <v>952</v>
      </c>
      <c r="M197" s="49" t="s">
        <v>1713</v>
      </c>
      <c r="N197" s="27" t="s">
        <v>1198</v>
      </c>
      <c r="O197" s="26" t="s">
        <v>310</v>
      </c>
      <c r="P197" s="26" t="s">
        <v>143</v>
      </c>
      <c r="Q197" s="27" t="s">
        <v>82</v>
      </c>
      <c r="R197" s="52" t="s">
        <v>1714</v>
      </c>
      <c r="S197" s="27" t="s">
        <v>1715</v>
      </c>
      <c r="T197" s="48" t="s">
        <v>1716</v>
      </c>
      <c r="U197" s="30" t="s">
        <v>1717</v>
      </c>
      <c r="V197" s="30" t="s">
        <v>1718</v>
      </c>
      <c r="W197" s="33" t="s">
        <v>1724</v>
      </c>
      <c r="X197" s="51" t="s">
        <v>1561</v>
      </c>
      <c r="Y197" s="27">
        <v>5000</v>
      </c>
      <c r="Z197" s="30" t="s">
        <v>100</v>
      </c>
      <c r="AA197" s="27">
        <v>10</v>
      </c>
      <c r="AB197" s="27">
        <v>0</v>
      </c>
      <c r="AC197" s="26" t="s">
        <v>1562</v>
      </c>
      <c r="AD197" s="27">
        <v>5000</v>
      </c>
      <c r="AE197" s="26" t="s">
        <v>92</v>
      </c>
      <c r="AF197" s="27" t="s">
        <v>93</v>
      </c>
      <c r="AG197" s="26" t="s">
        <v>944</v>
      </c>
      <c r="AH197" s="34" t="s">
        <v>95</v>
      </c>
    </row>
    <row r="198" spans="2:34" ht="101.25" customHeight="1">
      <c r="B198" s="46">
        <f t="shared" si="3"/>
        <v>195</v>
      </c>
      <c r="C198" s="51" t="str">
        <f>"$"&amp;VLOOKUP(LEFT([1]!Table2[[#This Row],[Column2]],2),[1]Definitions!$B$51:$C$66,2,FALSE)&amp;MID([1]!Table2[[#This Row],[Column2]],3,3)&amp;RIGHT([1]!Table2[[#This Row],[Column2]],2)</f>
        <v>$127612</v>
      </c>
      <c r="D198" s="26" t="s">
        <v>1725</v>
      </c>
      <c r="E198" s="47" t="s">
        <v>1726</v>
      </c>
      <c r="F198" s="27" t="s">
        <v>1727</v>
      </c>
      <c r="G198" s="27" t="s">
        <v>74</v>
      </c>
      <c r="H198" s="27" t="s">
        <v>75</v>
      </c>
      <c r="I198" s="27" t="s">
        <v>76</v>
      </c>
      <c r="J198" s="27">
        <v>2</v>
      </c>
      <c r="K198" s="27" t="s">
        <v>77</v>
      </c>
      <c r="L198" s="27" t="s">
        <v>1728</v>
      </c>
      <c r="M198" s="49" t="s">
        <v>1729</v>
      </c>
      <c r="N198" s="27" t="s">
        <v>1730</v>
      </c>
      <c r="O198" s="26" t="s">
        <v>1731</v>
      </c>
      <c r="P198" s="26" t="s">
        <v>1172</v>
      </c>
      <c r="Q198" s="27" t="s">
        <v>82</v>
      </c>
      <c r="R198" s="27" t="s">
        <v>1732</v>
      </c>
      <c r="S198" s="27" t="s">
        <v>1733</v>
      </c>
      <c r="T198" s="27" t="s">
        <v>1734</v>
      </c>
      <c r="U198" s="30" t="s">
        <v>1735</v>
      </c>
      <c r="V198" s="30" t="s">
        <v>1736</v>
      </c>
      <c r="W198" s="33" t="s">
        <v>1737</v>
      </c>
      <c r="X198" s="32" t="s">
        <v>1738</v>
      </c>
      <c r="Y198" s="27">
        <v>5000</v>
      </c>
      <c r="Z198" s="30" t="s">
        <v>100</v>
      </c>
      <c r="AA198" s="27">
        <v>10</v>
      </c>
      <c r="AB198" s="27">
        <v>0</v>
      </c>
      <c r="AC198" s="33" t="s">
        <v>1739</v>
      </c>
      <c r="AD198" s="27">
        <v>500</v>
      </c>
      <c r="AE198" s="26" t="s">
        <v>1740</v>
      </c>
      <c r="AF198" s="27" t="s">
        <v>93</v>
      </c>
      <c r="AG198" s="26" t="s">
        <v>763</v>
      </c>
      <c r="AH198" s="34" t="s">
        <v>208</v>
      </c>
    </row>
    <row r="199" spans="2:34" ht="123.75" customHeight="1">
      <c r="B199" s="46">
        <f t="shared" si="3"/>
        <v>196</v>
      </c>
      <c r="C199" s="51" t="str">
        <f>"$"&amp;VLOOKUP(LEFT([1]!Table2[[#This Row],[Column2]],2),[1]Definitions!$B$51:$C$66,2,FALSE)&amp;MID([1]!Table2[[#This Row],[Column2]],3,3)&amp;RIGHT([1]!Table2[[#This Row],[Column2]],2)</f>
        <v>$141D00</v>
      </c>
      <c r="D199" s="26" t="s">
        <v>1741</v>
      </c>
      <c r="E199" s="26" t="s">
        <v>1742</v>
      </c>
      <c r="F199" s="27" t="s">
        <v>1727</v>
      </c>
      <c r="G199" s="27" t="s">
        <v>74</v>
      </c>
      <c r="H199" s="27" t="s">
        <v>75</v>
      </c>
      <c r="I199" s="27" t="s">
        <v>76</v>
      </c>
      <c r="J199" s="30">
        <v>2</v>
      </c>
      <c r="K199" s="27" t="s">
        <v>77</v>
      </c>
      <c r="L199" s="27" t="s">
        <v>1728</v>
      </c>
      <c r="M199" s="49" t="s">
        <v>1743</v>
      </c>
      <c r="N199" s="27" t="s">
        <v>76</v>
      </c>
      <c r="O199" s="101" t="s">
        <v>197</v>
      </c>
      <c r="P199" s="26" t="s">
        <v>1744</v>
      </c>
      <c r="Q199" s="27" t="s">
        <v>199</v>
      </c>
      <c r="R199" s="27" t="s">
        <v>202</v>
      </c>
      <c r="S199" s="27" t="s">
        <v>201</v>
      </c>
      <c r="T199" s="27" t="s">
        <v>202</v>
      </c>
      <c r="U199" s="30" t="s">
        <v>202</v>
      </c>
      <c r="V199" s="30" t="s">
        <v>202</v>
      </c>
      <c r="W199" s="33" t="s">
        <v>1745</v>
      </c>
      <c r="X199" s="51" t="s">
        <v>1746</v>
      </c>
      <c r="Y199" s="27">
        <v>5000</v>
      </c>
      <c r="Z199" s="30" t="s">
        <v>100</v>
      </c>
      <c r="AA199" s="27">
        <v>100</v>
      </c>
      <c r="AB199" s="27">
        <v>0</v>
      </c>
      <c r="AC199" s="51" t="s">
        <v>1747</v>
      </c>
      <c r="AD199" s="27">
        <v>10000</v>
      </c>
      <c r="AE199" s="69" t="s">
        <v>1748</v>
      </c>
      <c r="AF199" s="27" t="s">
        <v>93</v>
      </c>
      <c r="AG199" s="32" t="s">
        <v>319</v>
      </c>
      <c r="AH199" s="34" t="s">
        <v>208</v>
      </c>
    </row>
    <row r="200" spans="2:34" ht="247.5" customHeight="1">
      <c r="B200" s="46">
        <f t="shared" si="3"/>
        <v>197</v>
      </c>
      <c r="C200" s="25" t="str">
        <f>"$"&amp;VLOOKUP(LEFT([1]!Table2[[#This Row],[Column2]],2),[1]Definitions!$B$51:$C$66,2,FALSE)&amp;MID([1]!Table2[[#This Row],[Column2]],3,3)&amp;RIGHT([1]!Table2[[#This Row],[Column2]],2)</f>
        <v>$206511</v>
      </c>
      <c r="D200" s="47" t="s">
        <v>1749</v>
      </c>
      <c r="E200" s="47" t="s">
        <v>1750</v>
      </c>
      <c r="F200" s="27" t="s">
        <v>73</v>
      </c>
      <c r="G200" s="48" t="s">
        <v>74</v>
      </c>
      <c r="H200" s="48" t="s">
        <v>75</v>
      </c>
      <c r="I200" s="48" t="s">
        <v>76</v>
      </c>
      <c r="J200" s="48">
        <v>2</v>
      </c>
      <c r="K200" s="27" t="s">
        <v>77</v>
      </c>
      <c r="L200" s="27" t="s">
        <v>1696</v>
      </c>
      <c r="M200" s="49" t="s">
        <v>1696</v>
      </c>
      <c r="N200" s="27" t="s">
        <v>76</v>
      </c>
      <c r="O200" s="26" t="s">
        <v>121</v>
      </c>
      <c r="P200" s="26" t="s">
        <v>1681</v>
      </c>
      <c r="Q200" s="27" t="s">
        <v>82</v>
      </c>
      <c r="R200" s="52" t="s">
        <v>1751</v>
      </c>
      <c r="S200" s="27" t="s">
        <v>145</v>
      </c>
      <c r="T200" s="48" t="s">
        <v>1752</v>
      </c>
      <c r="U200" s="100" t="s">
        <v>1753</v>
      </c>
      <c r="V200" s="30" t="s">
        <v>1754</v>
      </c>
      <c r="W200" s="33" t="s">
        <v>1701</v>
      </c>
      <c r="X200" s="51" t="s">
        <v>1702</v>
      </c>
      <c r="Y200" s="27">
        <v>10000</v>
      </c>
      <c r="Z200" s="30" t="s">
        <v>100</v>
      </c>
      <c r="AA200" s="27">
        <v>10</v>
      </c>
      <c r="AB200" s="27">
        <v>0</v>
      </c>
      <c r="AC200" s="26" t="s">
        <v>151</v>
      </c>
      <c r="AD200" s="27">
        <v>10000</v>
      </c>
      <c r="AE200" s="26" t="s">
        <v>1755</v>
      </c>
      <c r="AF200" s="27" t="s">
        <v>93</v>
      </c>
      <c r="AG200" s="56" t="s">
        <v>1704</v>
      </c>
      <c r="AH200" s="34" t="s">
        <v>208</v>
      </c>
    </row>
    <row r="201" spans="2:34" ht="236.25" customHeight="1">
      <c r="B201" s="46">
        <f t="shared" si="3"/>
        <v>198</v>
      </c>
      <c r="C201" s="25" t="str">
        <f>"$"&amp;VLOOKUP(LEFT([1]!Table2[[#This Row],[Column2]],2),[1]Definitions!$B$51:$C$66,2,FALSE)&amp;MID([1]!Table2[[#This Row],[Column2]],3,3)&amp;RIGHT([1]!Table2[[#This Row],[Column2]],2)</f>
        <v>$206515</v>
      </c>
      <c r="D201" s="47" t="s">
        <v>1756</v>
      </c>
      <c r="E201" s="47" t="s">
        <v>1757</v>
      </c>
      <c r="F201" s="27" t="s">
        <v>73</v>
      </c>
      <c r="G201" s="48" t="s">
        <v>74</v>
      </c>
      <c r="H201" s="48" t="s">
        <v>75</v>
      </c>
      <c r="I201" s="48" t="s">
        <v>76</v>
      </c>
      <c r="J201" s="48">
        <v>2</v>
      </c>
      <c r="K201" s="27" t="s">
        <v>77</v>
      </c>
      <c r="L201" s="27" t="s">
        <v>1696</v>
      </c>
      <c r="M201" s="49" t="s">
        <v>1696</v>
      </c>
      <c r="N201" s="27" t="s">
        <v>76</v>
      </c>
      <c r="O201" s="26" t="s">
        <v>121</v>
      </c>
      <c r="P201" s="26" t="s">
        <v>1681</v>
      </c>
      <c r="Q201" s="27" t="s">
        <v>82</v>
      </c>
      <c r="R201" s="48" t="s">
        <v>1751</v>
      </c>
      <c r="S201" s="27" t="s">
        <v>145</v>
      </c>
      <c r="T201" s="48" t="s">
        <v>1752</v>
      </c>
      <c r="U201" s="30" t="s">
        <v>1753</v>
      </c>
      <c r="V201" s="30" t="s">
        <v>1754</v>
      </c>
      <c r="W201" s="33" t="s">
        <v>1701</v>
      </c>
      <c r="X201" s="51" t="s">
        <v>1708</v>
      </c>
      <c r="Y201" s="27">
        <v>10000</v>
      </c>
      <c r="Z201" s="30" t="s">
        <v>100</v>
      </c>
      <c r="AA201" s="27">
        <v>10</v>
      </c>
      <c r="AB201" s="27">
        <v>0</v>
      </c>
      <c r="AC201" s="26" t="s">
        <v>1709</v>
      </c>
      <c r="AD201" s="27">
        <v>10000</v>
      </c>
      <c r="AE201" s="26" t="s">
        <v>1758</v>
      </c>
      <c r="AF201" s="27" t="s">
        <v>93</v>
      </c>
      <c r="AG201" s="56" t="s">
        <v>1704</v>
      </c>
      <c r="AH201" s="34" t="s">
        <v>208</v>
      </c>
    </row>
    <row r="202" spans="2:34" ht="146.25" customHeight="1">
      <c r="B202" s="46">
        <f t="shared" si="3"/>
        <v>199</v>
      </c>
      <c r="C202" s="51" t="str">
        <f>"$"&amp;VLOOKUP(LEFT([1]!Table2[[#This Row],[Column2]],2),[1]Definitions!$B$51:$C$66,2,FALSE)&amp;MID([1]!Table2[[#This Row],[Column2]],3,3)&amp;RIGHT([1]!Table2[[#This Row],[Column2]],2)</f>
        <v>$C00100</v>
      </c>
      <c r="D202" s="26" t="s">
        <v>1759</v>
      </c>
      <c r="E202" s="26" t="s">
        <v>1760</v>
      </c>
      <c r="F202" s="27" t="s">
        <v>1761</v>
      </c>
      <c r="G202" s="27" t="s">
        <v>74</v>
      </c>
      <c r="H202" s="27" t="s">
        <v>75</v>
      </c>
      <c r="I202" s="27" t="s">
        <v>76</v>
      </c>
      <c r="J202" s="27">
        <v>2</v>
      </c>
      <c r="K202" s="27" t="s">
        <v>77</v>
      </c>
      <c r="L202" s="27" t="s">
        <v>1145</v>
      </c>
      <c r="M202" s="102" t="s">
        <v>1762</v>
      </c>
      <c r="N202" s="27" t="s">
        <v>76</v>
      </c>
      <c r="O202" s="26" t="s">
        <v>1763</v>
      </c>
      <c r="P202" s="26" t="s">
        <v>1764</v>
      </c>
      <c r="Q202" s="27" t="s">
        <v>199</v>
      </c>
      <c r="R202" s="27" t="s">
        <v>202</v>
      </c>
      <c r="S202" s="27" t="s">
        <v>201</v>
      </c>
      <c r="T202" s="27" t="s">
        <v>202</v>
      </c>
      <c r="U202" s="27" t="s">
        <v>202</v>
      </c>
      <c r="V202" s="27" t="s">
        <v>202</v>
      </c>
      <c r="W202" s="33" t="s">
        <v>1765</v>
      </c>
      <c r="X202" s="51" t="s">
        <v>1766</v>
      </c>
      <c r="Y202" s="27">
        <v>1000</v>
      </c>
      <c r="Z202" s="30" t="s">
        <v>100</v>
      </c>
      <c r="AA202" s="27">
        <v>100</v>
      </c>
      <c r="AB202" s="27">
        <v>0</v>
      </c>
      <c r="AC202" s="26" t="s">
        <v>1767</v>
      </c>
      <c r="AD202" s="27">
        <v>1000</v>
      </c>
      <c r="AE202" s="26" t="s">
        <v>92</v>
      </c>
      <c r="AF202" s="27" t="s">
        <v>93</v>
      </c>
      <c r="AG202" s="51" t="s">
        <v>224</v>
      </c>
      <c r="AH202" s="34" t="s">
        <v>95</v>
      </c>
    </row>
    <row r="203" spans="2:34" ht="281.25" customHeight="1">
      <c r="B203" s="46">
        <f t="shared" si="3"/>
        <v>200</v>
      </c>
      <c r="C203" s="51" t="str">
        <f>"$"&amp;VLOOKUP(LEFT([1]!Table2[[#This Row],[Column2]],2),[1]Definitions!$B$51:$C$66,2,FALSE)&amp;MID([1]!Table2[[#This Row],[Column2]],3,3)&amp;RIGHT([1]!Table2[[#This Row],[Column2]],2)</f>
        <v>$C00200</v>
      </c>
      <c r="D203" s="26" t="s">
        <v>1768</v>
      </c>
      <c r="E203" s="26" t="s">
        <v>1769</v>
      </c>
      <c r="F203" s="27" t="s">
        <v>1761</v>
      </c>
      <c r="G203" s="27" t="s">
        <v>74</v>
      </c>
      <c r="H203" s="27" t="s">
        <v>75</v>
      </c>
      <c r="I203" s="27" t="s">
        <v>76</v>
      </c>
      <c r="J203" s="27">
        <v>2</v>
      </c>
      <c r="K203" s="27" t="s">
        <v>77</v>
      </c>
      <c r="L203" s="27" t="s">
        <v>1770</v>
      </c>
      <c r="M203" s="26" t="s">
        <v>1771</v>
      </c>
      <c r="N203" s="27" t="s">
        <v>76</v>
      </c>
      <c r="O203" s="26" t="s">
        <v>1772</v>
      </c>
      <c r="P203" s="26" t="s">
        <v>1764</v>
      </c>
      <c r="Q203" s="27" t="s">
        <v>199</v>
      </c>
      <c r="R203" s="27" t="s">
        <v>202</v>
      </c>
      <c r="S203" s="27" t="s">
        <v>201</v>
      </c>
      <c r="T203" s="27" t="s">
        <v>202</v>
      </c>
      <c r="U203" s="27" t="s">
        <v>202</v>
      </c>
      <c r="V203" s="27" t="s">
        <v>202</v>
      </c>
      <c r="W203" s="33" t="s">
        <v>1765</v>
      </c>
      <c r="X203" s="51" t="s">
        <v>1773</v>
      </c>
      <c r="Y203" s="27">
        <v>1000</v>
      </c>
      <c r="Z203" s="30" t="s">
        <v>100</v>
      </c>
      <c r="AA203" s="27">
        <v>100</v>
      </c>
      <c r="AB203" s="27">
        <v>0</v>
      </c>
      <c r="AC203" s="26" t="s">
        <v>1767</v>
      </c>
      <c r="AD203" s="27">
        <v>1000</v>
      </c>
      <c r="AE203" s="26" t="s">
        <v>92</v>
      </c>
      <c r="AF203" s="27" t="s">
        <v>93</v>
      </c>
      <c r="AG203" s="51" t="s">
        <v>633</v>
      </c>
      <c r="AH203" s="34" t="s">
        <v>95</v>
      </c>
    </row>
    <row r="204" spans="2:34" ht="146.25" customHeight="1">
      <c r="B204" s="46">
        <f t="shared" si="3"/>
        <v>201</v>
      </c>
      <c r="C204" s="51" t="str">
        <f>"$"&amp;VLOOKUP(LEFT([1]!Table2[[#This Row],[Column2]],2),[1]Definitions!$B$51:$C$66,2,FALSE)&amp;MID([1]!Table2[[#This Row],[Column2]],3,3)&amp;RIGHT([1]!Table2[[#This Row],[Column2]],2)</f>
        <v>$C01100</v>
      </c>
      <c r="D204" s="26" t="s">
        <v>1774</v>
      </c>
      <c r="E204" s="26" t="s">
        <v>1775</v>
      </c>
      <c r="F204" s="27" t="s">
        <v>1761</v>
      </c>
      <c r="G204" s="27" t="s">
        <v>74</v>
      </c>
      <c r="H204" s="27" t="s">
        <v>75</v>
      </c>
      <c r="I204" s="27" t="s">
        <v>76</v>
      </c>
      <c r="J204" s="27">
        <v>2</v>
      </c>
      <c r="K204" s="27" t="s">
        <v>77</v>
      </c>
      <c r="L204" s="27" t="s">
        <v>1145</v>
      </c>
      <c r="M204" s="26" t="s">
        <v>1776</v>
      </c>
      <c r="N204" s="27" t="s">
        <v>1777</v>
      </c>
      <c r="O204" s="26" t="s">
        <v>1763</v>
      </c>
      <c r="P204" s="26" t="s">
        <v>1764</v>
      </c>
      <c r="Q204" s="27" t="s">
        <v>199</v>
      </c>
      <c r="R204" s="27" t="s">
        <v>202</v>
      </c>
      <c r="S204" s="27" t="s">
        <v>201</v>
      </c>
      <c r="T204" s="27" t="s">
        <v>202</v>
      </c>
      <c r="U204" s="27" t="s">
        <v>202</v>
      </c>
      <c r="V204" s="27" t="s">
        <v>202</v>
      </c>
      <c r="W204" s="33" t="s">
        <v>1765</v>
      </c>
      <c r="X204" s="32" t="s">
        <v>1778</v>
      </c>
      <c r="Y204" s="27">
        <v>1000</v>
      </c>
      <c r="Z204" s="30" t="s">
        <v>100</v>
      </c>
      <c r="AA204" s="27">
        <v>100</v>
      </c>
      <c r="AB204" s="27">
        <v>0</v>
      </c>
      <c r="AC204" s="33" t="s">
        <v>1779</v>
      </c>
      <c r="AD204" s="27">
        <v>1000</v>
      </c>
      <c r="AE204" s="26" t="s">
        <v>92</v>
      </c>
      <c r="AF204" s="27" t="s">
        <v>93</v>
      </c>
      <c r="AG204" s="56" t="s">
        <v>633</v>
      </c>
      <c r="AH204" s="34" t="s">
        <v>95</v>
      </c>
    </row>
    <row r="205" spans="2:34" ht="146.25" customHeight="1">
      <c r="B205" s="46">
        <f t="shared" si="3"/>
        <v>202</v>
      </c>
      <c r="C205" s="51" t="str">
        <f>"$"&amp;VLOOKUP(LEFT([1]!Table2[[#This Row],[Column2]],2),[1]Definitions!$B$51:$C$66,2,FALSE)&amp;MID([1]!Table2[[#This Row],[Column2]],3,3)&amp;RIGHT([1]!Table2[[#This Row],[Column2]],2)</f>
        <v>$C01900</v>
      </c>
      <c r="D205" s="26" t="s">
        <v>1780</v>
      </c>
      <c r="E205" s="26" t="s">
        <v>1781</v>
      </c>
      <c r="F205" s="27" t="s">
        <v>1761</v>
      </c>
      <c r="G205" s="27" t="s">
        <v>74</v>
      </c>
      <c r="H205" s="27" t="s">
        <v>75</v>
      </c>
      <c r="I205" s="27" t="s">
        <v>76</v>
      </c>
      <c r="J205" s="27">
        <v>2</v>
      </c>
      <c r="K205" s="27" t="s">
        <v>77</v>
      </c>
      <c r="L205" s="27" t="s">
        <v>1145</v>
      </c>
      <c r="M205" s="102" t="s">
        <v>1762</v>
      </c>
      <c r="N205" s="27" t="s">
        <v>76</v>
      </c>
      <c r="O205" s="26" t="s">
        <v>1763</v>
      </c>
      <c r="P205" s="26" t="s">
        <v>1764</v>
      </c>
      <c r="Q205" s="27" t="s">
        <v>199</v>
      </c>
      <c r="R205" s="27" t="s">
        <v>202</v>
      </c>
      <c r="S205" s="27" t="s">
        <v>201</v>
      </c>
      <c r="T205" s="27" t="s">
        <v>202</v>
      </c>
      <c r="U205" s="27" t="s">
        <v>202</v>
      </c>
      <c r="V205" s="27" t="s">
        <v>202</v>
      </c>
      <c r="W205" s="33" t="s">
        <v>1782</v>
      </c>
      <c r="X205" s="51" t="s">
        <v>1783</v>
      </c>
      <c r="Y205" s="27">
        <v>1000</v>
      </c>
      <c r="Z205" s="30" t="s">
        <v>100</v>
      </c>
      <c r="AA205" s="27">
        <v>100</v>
      </c>
      <c r="AB205" s="27">
        <v>0</v>
      </c>
      <c r="AC205" s="26" t="s">
        <v>1784</v>
      </c>
      <c r="AD205" s="27">
        <v>1000</v>
      </c>
      <c r="AE205" s="26" t="s">
        <v>92</v>
      </c>
      <c r="AF205" s="27" t="s">
        <v>93</v>
      </c>
      <c r="AG205" s="56" t="s">
        <v>224</v>
      </c>
      <c r="AH205" s="34" t="s">
        <v>95</v>
      </c>
    </row>
    <row r="206" spans="2:34" ht="409.5" customHeight="1">
      <c r="B206" s="46">
        <f t="shared" si="3"/>
        <v>203</v>
      </c>
      <c r="C206" s="51" t="str">
        <f>"$"&amp;VLOOKUP(LEFT([1]!Table2[[#This Row],[Column2]],2),[1]Definitions!$B$51:$C$66,2,FALSE)&amp;MID([1]!Table2[[#This Row],[Column2]],3,3)&amp;RIGHT([1]!Table2[[#This Row],[Column2]],2)</f>
        <v>$C10000</v>
      </c>
      <c r="D206" s="26" t="s">
        <v>1785</v>
      </c>
      <c r="E206" s="26" t="s">
        <v>1786</v>
      </c>
      <c r="F206" s="52" t="s">
        <v>199</v>
      </c>
      <c r="G206" s="27" t="s">
        <v>74</v>
      </c>
      <c r="H206" s="27" t="s">
        <v>75</v>
      </c>
      <c r="I206" s="27" t="s">
        <v>76</v>
      </c>
      <c r="J206" s="27">
        <v>2</v>
      </c>
      <c r="K206" s="27" t="s">
        <v>77</v>
      </c>
      <c r="L206" s="54" t="s">
        <v>1787</v>
      </c>
      <c r="M206" s="33" t="s">
        <v>1788</v>
      </c>
      <c r="N206" s="27" t="s">
        <v>1789</v>
      </c>
      <c r="O206" s="26" t="s">
        <v>218</v>
      </c>
      <c r="P206" s="26" t="s">
        <v>219</v>
      </c>
      <c r="Q206" s="27" t="s">
        <v>199</v>
      </c>
      <c r="R206" s="27" t="s">
        <v>202</v>
      </c>
      <c r="S206" s="27" t="s">
        <v>201</v>
      </c>
      <c r="T206" s="27" t="s">
        <v>202</v>
      </c>
      <c r="U206" s="27" t="s">
        <v>202</v>
      </c>
      <c r="V206" s="27" t="s">
        <v>202</v>
      </c>
      <c r="W206" s="32" t="s">
        <v>1790</v>
      </c>
      <c r="X206" s="32" t="s">
        <v>1791</v>
      </c>
      <c r="Y206" s="54" t="s">
        <v>1792</v>
      </c>
      <c r="Z206" s="30" t="s">
        <v>100</v>
      </c>
      <c r="AA206" s="27">
        <v>100</v>
      </c>
      <c r="AB206" s="27">
        <v>0</v>
      </c>
      <c r="AC206" s="27" t="s">
        <v>674</v>
      </c>
      <c r="AD206" s="27">
        <v>500</v>
      </c>
      <c r="AE206" s="98" t="s">
        <v>1793</v>
      </c>
      <c r="AF206" s="27" t="s">
        <v>93</v>
      </c>
      <c r="AG206" s="32" t="s">
        <v>1794</v>
      </c>
      <c r="AH206" s="34" t="s">
        <v>208</v>
      </c>
    </row>
    <row r="207" spans="2:34" ht="101.25" customHeight="1">
      <c r="B207" s="46">
        <f t="shared" si="3"/>
        <v>204</v>
      </c>
      <c r="C207" s="90" t="str">
        <f>"$"&amp;VLOOKUP(LEFT([1]!Table2[[#This Row],[Column2]],2),[1]Definitions!$B$51:$C$66,2,FALSE)&amp;MID([1]!Table2[[#This Row],[Column2]],3,3)&amp;RIGHT([1]!Table2[[#This Row],[Column2]],2)</f>
        <v>$C10100</v>
      </c>
      <c r="D207" s="47" t="s">
        <v>1795</v>
      </c>
      <c r="E207" s="47" t="s">
        <v>1796</v>
      </c>
      <c r="F207" s="52" t="s">
        <v>199</v>
      </c>
      <c r="G207" s="48" t="s">
        <v>74</v>
      </c>
      <c r="H207" s="30" t="s">
        <v>75</v>
      </c>
      <c r="I207" s="30" t="s">
        <v>76</v>
      </c>
      <c r="J207" s="48">
        <v>2</v>
      </c>
      <c r="K207" s="27" t="s">
        <v>77</v>
      </c>
      <c r="L207" s="33" t="s">
        <v>1797</v>
      </c>
      <c r="M207" s="33" t="s">
        <v>1798</v>
      </c>
      <c r="N207" s="27" t="s">
        <v>76</v>
      </c>
      <c r="O207" s="26" t="s">
        <v>218</v>
      </c>
      <c r="P207" s="26" t="s">
        <v>219</v>
      </c>
      <c r="Q207" s="27" t="s">
        <v>199</v>
      </c>
      <c r="R207" s="30" t="s">
        <v>202</v>
      </c>
      <c r="S207" s="27" t="s">
        <v>201</v>
      </c>
      <c r="T207" s="30" t="s">
        <v>202</v>
      </c>
      <c r="U207" s="30" t="s">
        <v>202</v>
      </c>
      <c r="V207" s="30" t="s">
        <v>202</v>
      </c>
      <c r="W207" s="32" t="s">
        <v>1799</v>
      </c>
      <c r="X207" s="51" t="s">
        <v>1800</v>
      </c>
      <c r="Y207" s="27">
        <v>5000</v>
      </c>
      <c r="Z207" s="30" t="s">
        <v>100</v>
      </c>
      <c r="AA207" s="27">
        <v>100</v>
      </c>
      <c r="AB207" s="27">
        <v>0</v>
      </c>
      <c r="AC207" s="27" t="s">
        <v>674</v>
      </c>
      <c r="AD207" s="27">
        <v>5000</v>
      </c>
      <c r="AE207" s="75" t="s">
        <v>1801</v>
      </c>
      <c r="AF207" s="27" t="s">
        <v>93</v>
      </c>
      <c r="AG207" s="51" t="s">
        <v>763</v>
      </c>
      <c r="AH207" s="34" t="s">
        <v>208</v>
      </c>
    </row>
    <row r="208" spans="2:34" ht="123.75" customHeight="1">
      <c r="B208" s="46">
        <f t="shared" si="3"/>
        <v>205</v>
      </c>
      <c r="C208" s="90" t="str">
        <f>"$"&amp;VLOOKUP(LEFT([1]!Table2[[#This Row],[Column2]],2),[1]Definitions!$B$51:$C$66,2,FALSE)&amp;MID([1]!Table2[[#This Row],[Column2]],3,3)&amp;RIGHT([1]!Table2[[#This Row],[Column2]],2)</f>
        <v>$C10200</v>
      </c>
      <c r="D208" s="47" t="s">
        <v>1802</v>
      </c>
      <c r="E208" s="47" t="s">
        <v>1803</v>
      </c>
      <c r="F208" s="27" t="s">
        <v>199</v>
      </c>
      <c r="G208" s="48" t="s">
        <v>74</v>
      </c>
      <c r="H208" s="30" t="s">
        <v>75</v>
      </c>
      <c r="I208" s="30" t="s">
        <v>76</v>
      </c>
      <c r="J208" s="48">
        <v>2</v>
      </c>
      <c r="K208" s="27" t="s">
        <v>77</v>
      </c>
      <c r="L208" s="27" t="s">
        <v>1804</v>
      </c>
      <c r="M208" s="33" t="s">
        <v>1805</v>
      </c>
      <c r="N208" s="27" t="s">
        <v>76</v>
      </c>
      <c r="O208" s="26" t="s">
        <v>218</v>
      </c>
      <c r="P208" s="26" t="s">
        <v>219</v>
      </c>
      <c r="Q208" s="27" t="s">
        <v>199</v>
      </c>
      <c r="R208" s="48" t="s">
        <v>202</v>
      </c>
      <c r="S208" s="27" t="s">
        <v>201</v>
      </c>
      <c r="T208" s="30" t="s">
        <v>202</v>
      </c>
      <c r="U208" s="30" t="s">
        <v>202</v>
      </c>
      <c r="V208" s="30" t="s">
        <v>202</v>
      </c>
      <c r="W208" s="32" t="s">
        <v>1806</v>
      </c>
      <c r="X208" s="51" t="s">
        <v>1807</v>
      </c>
      <c r="Y208" s="27">
        <v>5000</v>
      </c>
      <c r="Z208" s="30" t="s">
        <v>100</v>
      </c>
      <c r="AA208" s="27">
        <v>100</v>
      </c>
      <c r="AB208" s="27">
        <v>0</v>
      </c>
      <c r="AC208" s="27" t="s">
        <v>674</v>
      </c>
      <c r="AD208" s="27">
        <v>5000</v>
      </c>
      <c r="AE208" s="33" t="s">
        <v>1808</v>
      </c>
      <c r="AF208" s="27" t="s">
        <v>93</v>
      </c>
      <c r="AG208" s="32" t="s">
        <v>1809</v>
      </c>
      <c r="AH208" s="34" t="s">
        <v>208</v>
      </c>
    </row>
    <row r="209" spans="2:34" ht="101.25" customHeight="1">
      <c r="B209" s="46">
        <f t="shared" si="3"/>
        <v>206</v>
      </c>
      <c r="C209" s="90" t="str">
        <f>"$"&amp;VLOOKUP(LEFT([1]!Table2[[#This Row],[Column2]],2),[1]Definitions!$B$51:$C$66,2,FALSE)&amp;MID([1]!Table2[[#This Row],[Column2]],3,3)&amp;RIGHT([1]!Table2[[#This Row],[Column2]],2)</f>
        <v>$C10300</v>
      </c>
      <c r="D209" s="47" t="s">
        <v>1810</v>
      </c>
      <c r="E209" s="47" t="s">
        <v>1811</v>
      </c>
      <c r="F209" s="52" t="s">
        <v>199</v>
      </c>
      <c r="G209" s="48" t="s">
        <v>74</v>
      </c>
      <c r="H209" s="30" t="s">
        <v>75</v>
      </c>
      <c r="I209" s="30" t="s">
        <v>76</v>
      </c>
      <c r="J209" s="48">
        <v>2</v>
      </c>
      <c r="K209" s="27" t="s">
        <v>77</v>
      </c>
      <c r="L209" s="27" t="s">
        <v>712</v>
      </c>
      <c r="M209" s="26" t="s">
        <v>712</v>
      </c>
      <c r="N209" s="27" t="s">
        <v>76</v>
      </c>
      <c r="O209" s="26" t="s">
        <v>218</v>
      </c>
      <c r="P209" s="26" t="s">
        <v>219</v>
      </c>
      <c r="Q209" s="27" t="s">
        <v>199</v>
      </c>
      <c r="R209" s="30" t="s">
        <v>202</v>
      </c>
      <c r="S209" s="27" t="s">
        <v>201</v>
      </c>
      <c r="T209" s="30" t="s">
        <v>202</v>
      </c>
      <c r="U209" s="30" t="s">
        <v>202</v>
      </c>
      <c r="V209" s="30" t="s">
        <v>202</v>
      </c>
      <c r="W209" s="33" t="s">
        <v>1812</v>
      </c>
      <c r="X209" s="51" t="s">
        <v>1813</v>
      </c>
      <c r="Y209" s="27">
        <v>2500</v>
      </c>
      <c r="Z209" s="30" t="s">
        <v>100</v>
      </c>
      <c r="AA209" s="27">
        <v>100</v>
      </c>
      <c r="AB209" s="27">
        <v>0</v>
      </c>
      <c r="AC209" s="27" t="s">
        <v>674</v>
      </c>
      <c r="AD209" s="27">
        <v>100</v>
      </c>
      <c r="AE209" s="26" t="s">
        <v>92</v>
      </c>
      <c r="AF209" s="27" t="s">
        <v>93</v>
      </c>
      <c r="AG209" s="56" t="s">
        <v>1814</v>
      </c>
      <c r="AH209" s="34" t="s">
        <v>95</v>
      </c>
    </row>
    <row r="210" spans="2:34" ht="101.25" customHeight="1">
      <c r="B210" s="46">
        <f t="shared" si="3"/>
        <v>207</v>
      </c>
      <c r="C210" s="25" t="str">
        <f>"$"&amp;VLOOKUP(LEFT([1]!Table2[[#This Row],[Column2]],2),[1]Definitions!$B$51:$C$66,2,FALSE)&amp;MID([1]!Table2[[#This Row],[Column2]],3,3)&amp;RIGHT([1]!Table2[[#This Row],[Column2]],2)</f>
        <v>$C12200</v>
      </c>
      <c r="D210" s="51" t="s">
        <v>1815</v>
      </c>
      <c r="E210" s="26" t="s">
        <v>1816</v>
      </c>
      <c r="F210" s="27" t="s">
        <v>199</v>
      </c>
      <c r="G210" s="54" t="s">
        <v>74</v>
      </c>
      <c r="H210" s="54" t="s">
        <v>75</v>
      </c>
      <c r="I210" s="54" t="s">
        <v>76</v>
      </c>
      <c r="J210" s="54">
        <v>2</v>
      </c>
      <c r="K210" s="27" t="s">
        <v>77</v>
      </c>
      <c r="L210" s="27" t="s">
        <v>1817</v>
      </c>
      <c r="M210" s="49" t="s">
        <v>1818</v>
      </c>
      <c r="N210" s="27" t="s">
        <v>76</v>
      </c>
      <c r="O210" s="26" t="s">
        <v>218</v>
      </c>
      <c r="P210" s="52" t="s">
        <v>219</v>
      </c>
      <c r="Q210" s="27" t="s">
        <v>199</v>
      </c>
      <c r="R210" s="27" t="s">
        <v>202</v>
      </c>
      <c r="S210" s="27" t="s">
        <v>201</v>
      </c>
      <c r="T210" s="27" t="s">
        <v>202</v>
      </c>
      <c r="U210" s="30" t="s">
        <v>202</v>
      </c>
      <c r="V210" s="30" t="s">
        <v>202</v>
      </c>
      <c r="W210" s="32" t="s">
        <v>1819</v>
      </c>
      <c r="X210" s="51" t="s">
        <v>1820</v>
      </c>
      <c r="Y210" s="27">
        <v>5000</v>
      </c>
      <c r="Z210" s="30" t="s">
        <v>100</v>
      </c>
      <c r="AA210" s="27">
        <v>100</v>
      </c>
      <c r="AB210" s="27">
        <v>0</v>
      </c>
      <c r="AC210" s="26" t="s">
        <v>1821</v>
      </c>
      <c r="AD210" s="27">
        <v>2000</v>
      </c>
      <c r="AE210" s="26" t="s">
        <v>1822</v>
      </c>
      <c r="AF210" s="27" t="s">
        <v>93</v>
      </c>
      <c r="AG210" s="55" t="s">
        <v>1823</v>
      </c>
      <c r="AH210" s="34" t="s">
        <v>208</v>
      </c>
    </row>
    <row r="211" spans="2:34" ht="409.5" customHeight="1">
      <c r="B211" s="46">
        <f t="shared" si="3"/>
        <v>208</v>
      </c>
      <c r="C211" s="90" t="str">
        <f>"$"&amp;VLOOKUP(LEFT([1]!Table2[[#This Row],[Column2]],2),[1]Definitions!$B$51:$C$66,2,FALSE)&amp;MID([1]!Table2[[#This Row],[Column2]],3,3)&amp;RIGHT([1]!Table2[[#This Row],[Column2]],2)</f>
        <v>$C12900</v>
      </c>
      <c r="D211" s="47" t="s">
        <v>1824</v>
      </c>
      <c r="E211" s="47" t="s">
        <v>1825</v>
      </c>
      <c r="F211" s="52" t="s">
        <v>199</v>
      </c>
      <c r="G211" s="27" t="s">
        <v>74</v>
      </c>
      <c r="H211" s="27" t="s">
        <v>75</v>
      </c>
      <c r="I211" s="27" t="s">
        <v>76</v>
      </c>
      <c r="J211" s="27">
        <v>2</v>
      </c>
      <c r="K211" s="27" t="s">
        <v>77</v>
      </c>
      <c r="L211" s="54" t="s">
        <v>1826</v>
      </c>
      <c r="M211" s="33" t="s">
        <v>1827</v>
      </c>
      <c r="N211" s="27" t="s">
        <v>76</v>
      </c>
      <c r="O211" s="26" t="s">
        <v>218</v>
      </c>
      <c r="P211" s="26" t="s">
        <v>219</v>
      </c>
      <c r="Q211" s="27" t="s">
        <v>199</v>
      </c>
      <c r="R211" s="27" t="s">
        <v>202</v>
      </c>
      <c r="S211" s="27" t="s">
        <v>201</v>
      </c>
      <c r="T211" s="27" t="s">
        <v>202</v>
      </c>
      <c r="U211" s="27" t="s">
        <v>202</v>
      </c>
      <c r="V211" s="27" t="s">
        <v>202</v>
      </c>
      <c r="W211" s="33" t="s">
        <v>1828</v>
      </c>
      <c r="X211" s="32" t="s">
        <v>1829</v>
      </c>
      <c r="Y211" s="27" t="s">
        <v>1830</v>
      </c>
      <c r="Z211" s="30" t="s">
        <v>100</v>
      </c>
      <c r="AA211" s="27">
        <v>100</v>
      </c>
      <c r="AB211" s="27">
        <v>0</v>
      </c>
      <c r="AC211" s="27" t="s">
        <v>1831</v>
      </c>
      <c r="AD211" s="27">
        <v>2000</v>
      </c>
      <c r="AE211" s="33" t="s">
        <v>1832</v>
      </c>
      <c r="AF211" s="27" t="s">
        <v>93</v>
      </c>
      <c r="AG211" s="62" t="s">
        <v>633</v>
      </c>
      <c r="AH211" s="34" t="s">
        <v>208</v>
      </c>
    </row>
    <row r="212" spans="2:34" ht="101.25" customHeight="1">
      <c r="B212" s="46">
        <f t="shared" si="3"/>
        <v>209</v>
      </c>
      <c r="C212" s="90" t="str">
        <f>"$"&amp;VLOOKUP(LEFT([1]!Table2[[#This Row],[Column2]],2),[1]Definitions!$B$51:$C$66,2,FALSE)&amp;MID([1]!Table2[[#This Row],[Column2]],3,3)&amp;RIGHT([1]!Table2[[#This Row],[Column2]],2)</f>
        <v>$C13100</v>
      </c>
      <c r="D212" s="26" t="s">
        <v>1833</v>
      </c>
      <c r="E212" s="47" t="s">
        <v>1834</v>
      </c>
      <c r="F212" s="52" t="s">
        <v>199</v>
      </c>
      <c r="G212" s="48" t="s">
        <v>74</v>
      </c>
      <c r="H212" s="30" t="s">
        <v>75</v>
      </c>
      <c r="I212" s="30" t="s">
        <v>76</v>
      </c>
      <c r="J212" s="48">
        <v>2</v>
      </c>
      <c r="K212" s="27" t="s">
        <v>77</v>
      </c>
      <c r="L212" s="27" t="s">
        <v>1835</v>
      </c>
      <c r="M212" s="49" t="s">
        <v>1836</v>
      </c>
      <c r="N212" s="27" t="s">
        <v>76</v>
      </c>
      <c r="O212" s="26" t="s">
        <v>218</v>
      </c>
      <c r="P212" s="26" t="s">
        <v>219</v>
      </c>
      <c r="Q212" s="27" t="s">
        <v>199</v>
      </c>
      <c r="R212" s="30" t="s">
        <v>202</v>
      </c>
      <c r="S212" s="27" t="s">
        <v>201</v>
      </c>
      <c r="T212" s="30" t="s">
        <v>202</v>
      </c>
      <c r="U212" s="30" t="s">
        <v>202</v>
      </c>
      <c r="V212" s="30" t="s">
        <v>202</v>
      </c>
      <c r="W212" s="33" t="s">
        <v>1837</v>
      </c>
      <c r="X212" s="51" t="s">
        <v>1838</v>
      </c>
      <c r="Y212" s="27">
        <v>2500</v>
      </c>
      <c r="Z212" s="30" t="s">
        <v>100</v>
      </c>
      <c r="AA212" s="27">
        <v>100</v>
      </c>
      <c r="AB212" s="27">
        <v>0</v>
      </c>
      <c r="AC212" s="27" t="s">
        <v>674</v>
      </c>
      <c r="AD212" s="27">
        <v>100</v>
      </c>
      <c r="AE212" s="26" t="s">
        <v>92</v>
      </c>
      <c r="AF212" s="27" t="s">
        <v>93</v>
      </c>
      <c r="AG212" s="51" t="s">
        <v>1839</v>
      </c>
      <c r="AH212" s="34" t="s">
        <v>95</v>
      </c>
    </row>
    <row r="213" spans="2:34" ht="90" customHeight="1">
      <c r="B213" s="46">
        <f t="shared" si="3"/>
        <v>210</v>
      </c>
      <c r="C213" s="25" t="str">
        <f>"$"&amp;VLOOKUP(LEFT([1]!Table2[[#This Row],[Column2]],2),[1]Definitions!$B$51:$C$66,2,FALSE)&amp;MID([1]!Table2[[#This Row],[Column2]],3,3)&amp;RIGHT([1]!Table2[[#This Row],[Column2]],2)</f>
        <v>$C13900</v>
      </c>
      <c r="D213" s="47" t="s">
        <v>1840</v>
      </c>
      <c r="E213" s="47" t="s">
        <v>1841</v>
      </c>
      <c r="F213" s="27" t="s">
        <v>227</v>
      </c>
      <c r="G213" s="48" t="s">
        <v>74</v>
      </c>
      <c r="H213" s="27" t="s">
        <v>75</v>
      </c>
      <c r="I213" s="30" t="s">
        <v>76</v>
      </c>
      <c r="J213" s="30">
        <v>2</v>
      </c>
      <c r="K213" s="27" t="s">
        <v>77</v>
      </c>
      <c r="L213" s="27" t="s">
        <v>1842</v>
      </c>
      <c r="M213" s="27" t="s">
        <v>1843</v>
      </c>
      <c r="N213" s="27" t="s">
        <v>76</v>
      </c>
      <c r="O213" s="26" t="s">
        <v>1844</v>
      </c>
      <c r="P213" s="26" t="s">
        <v>1845</v>
      </c>
      <c r="Q213" s="27" t="s">
        <v>199</v>
      </c>
      <c r="R213" s="30" t="s">
        <v>202</v>
      </c>
      <c r="S213" s="27" t="s">
        <v>201</v>
      </c>
      <c r="T213" s="30" t="s">
        <v>202</v>
      </c>
      <c r="U213" s="30" t="s">
        <v>202</v>
      </c>
      <c r="V213" s="30" t="s">
        <v>202</v>
      </c>
      <c r="W213" s="33" t="s">
        <v>1846</v>
      </c>
      <c r="X213" s="51" t="s">
        <v>1847</v>
      </c>
      <c r="Y213" s="27">
        <v>7500</v>
      </c>
      <c r="Z213" s="30" t="s">
        <v>100</v>
      </c>
      <c r="AA213" s="27">
        <v>100</v>
      </c>
      <c r="AB213" s="27">
        <v>0</v>
      </c>
      <c r="AC213" s="27" t="s">
        <v>1848</v>
      </c>
      <c r="AD213" s="27">
        <v>5000</v>
      </c>
      <c r="AE213" s="26" t="s">
        <v>1849</v>
      </c>
      <c r="AF213" s="27" t="s">
        <v>93</v>
      </c>
      <c r="AG213" s="51" t="s">
        <v>1850</v>
      </c>
      <c r="AH213" s="34" t="s">
        <v>208</v>
      </c>
    </row>
    <row r="214" spans="2:34" ht="146.25" customHeight="1">
      <c r="B214" s="46">
        <f t="shared" si="3"/>
        <v>211</v>
      </c>
      <c r="C214" s="25" t="str">
        <f>"$"&amp;VLOOKUP(LEFT([1]!Table2[[#This Row],[Column2]],2),[1]Definitions!$B$51:$C$66,2,FALSE)&amp;MID([1]!Table2[[#This Row],[Column2]],3,3)&amp;RIGHT([1]!Table2[[#This Row],[Column2]],2)</f>
        <v>$C13F00</v>
      </c>
      <c r="D214" s="25" t="s">
        <v>1851</v>
      </c>
      <c r="E214" s="47" t="s">
        <v>1852</v>
      </c>
      <c r="F214" s="27" t="s">
        <v>227</v>
      </c>
      <c r="G214" s="48" t="s">
        <v>74</v>
      </c>
      <c r="H214" s="48" t="s">
        <v>75</v>
      </c>
      <c r="I214" s="48" t="s">
        <v>76</v>
      </c>
      <c r="J214" s="48">
        <v>2</v>
      </c>
      <c r="K214" s="27" t="s">
        <v>77</v>
      </c>
      <c r="L214" s="27" t="s">
        <v>195</v>
      </c>
      <c r="M214" s="49" t="s">
        <v>1853</v>
      </c>
      <c r="N214" s="27" t="s">
        <v>76</v>
      </c>
      <c r="O214" s="26" t="s">
        <v>218</v>
      </c>
      <c r="P214" s="26" t="s">
        <v>219</v>
      </c>
      <c r="Q214" s="27" t="s">
        <v>199</v>
      </c>
      <c r="R214" s="48" t="s">
        <v>76</v>
      </c>
      <c r="S214" s="27" t="s">
        <v>1854</v>
      </c>
      <c r="T214" s="27" t="s">
        <v>76</v>
      </c>
      <c r="U214" s="30" t="s">
        <v>76</v>
      </c>
      <c r="V214" s="30" t="s">
        <v>76</v>
      </c>
      <c r="W214" s="32" t="s">
        <v>1855</v>
      </c>
      <c r="X214" s="62" t="s">
        <v>1856</v>
      </c>
      <c r="Y214" s="27">
        <v>2500</v>
      </c>
      <c r="Z214" s="30" t="s">
        <v>100</v>
      </c>
      <c r="AA214" s="27">
        <v>100</v>
      </c>
      <c r="AB214" s="27">
        <v>0</v>
      </c>
      <c r="AC214" s="62" t="s">
        <v>1857</v>
      </c>
      <c r="AD214" s="27">
        <v>1000</v>
      </c>
      <c r="AE214" s="33" t="s">
        <v>1858</v>
      </c>
      <c r="AF214" s="27" t="s">
        <v>93</v>
      </c>
      <c r="AG214" s="51" t="s">
        <v>207</v>
      </c>
      <c r="AH214" s="34" t="s">
        <v>208</v>
      </c>
    </row>
    <row r="215" spans="2:34" ht="101.25" customHeight="1">
      <c r="B215" s="46">
        <f t="shared" si="3"/>
        <v>212</v>
      </c>
      <c r="C215" s="32" t="str">
        <f>"$"&amp;VLOOKUP(LEFT([1]!Table2[[#This Row],[Column2]],2),[1]Definitions!$B$51:$C$66,2,FALSE)&amp;MID([1]!Table2[[#This Row],[Column2]],3,3)&amp;RIGHT([1]!Table2[[#This Row],[Column2]],2)</f>
        <v>$C14700</v>
      </c>
      <c r="D215" s="32" t="s">
        <v>1859</v>
      </c>
      <c r="E215" s="33" t="s">
        <v>1860</v>
      </c>
      <c r="F215" s="27" t="s">
        <v>199</v>
      </c>
      <c r="G215" s="54" t="s">
        <v>74</v>
      </c>
      <c r="H215" s="54" t="s">
        <v>75</v>
      </c>
      <c r="I215" s="54" t="s">
        <v>76</v>
      </c>
      <c r="J215" s="54">
        <v>2</v>
      </c>
      <c r="K215" s="27" t="s">
        <v>77</v>
      </c>
      <c r="L215" s="27" t="s">
        <v>255</v>
      </c>
      <c r="M215" s="49" t="s">
        <v>255</v>
      </c>
      <c r="N215" s="27" t="s">
        <v>76</v>
      </c>
      <c r="O215" s="26" t="s">
        <v>1861</v>
      </c>
      <c r="P215" s="26" t="s">
        <v>1862</v>
      </c>
      <c r="Q215" s="27" t="s">
        <v>199</v>
      </c>
      <c r="R215" s="54" t="s">
        <v>202</v>
      </c>
      <c r="S215" s="27" t="s">
        <v>201</v>
      </c>
      <c r="T215" s="54" t="s">
        <v>202</v>
      </c>
      <c r="U215" s="30" t="s">
        <v>202</v>
      </c>
      <c r="V215" s="30" t="s">
        <v>202</v>
      </c>
      <c r="W215" s="33" t="s">
        <v>1863</v>
      </c>
      <c r="X215" s="51" t="s">
        <v>1864</v>
      </c>
      <c r="Y215" s="27">
        <v>5000</v>
      </c>
      <c r="Z215" s="30" t="s">
        <v>100</v>
      </c>
      <c r="AA215" s="27">
        <v>100</v>
      </c>
      <c r="AB215" s="27">
        <v>0</v>
      </c>
      <c r="AC215" s="51" t="s">
        <v>1865</v>
      </c>
      <c r="AD215" s="27">
        <v>5000</v>
      </c>
      <c r="AE215" s="26" t="s">
        <v>92</v>
      </c>
      <c r="AF215" s="27" t="s">
        <v>93</v>
      </c>
      <c r="AG215" s="26" t="s">
        <v>1866</v>
      </c>
      <c r="AH215" s="34" t="s">
        <v>95</v>
      </c>
    </row>
    <row r="216" spans="2:34" ht="112.5" customHeight="1">
      <c r="B216" s="24">
        <f t="shared" si="3"/>
        <v>213</v>
      </c>
      <c r="C216" s="90" t="str">
        <f>"$"&amp;VLOOKUP(LEFT([1]!Table2[[#This Row],[Column2]],2),[1]Definitions!$B$51:$C$66,2,FALSE)&amp;MID([1]!Table2[[#This Row],[Column2]],3,3)&amp;RIGHT([1]!Table2[[#This Row],[Column2]],2)</f>
        <v>$C14D00</v>
      </c>
      <c r="D216" s="47" t="s">
        <v>1867</v>
      </c>
      <c r="E216" s="47" t="s">
        <v>1868</v>
      </c>
      <c r="F216" s="52" t="s">
        <v>199</v>
      </c>
      <c r="G216" s="48" t="s">
        <v>74</v>
      </c>
      <c r="H216" s="30" t="s">
        <v>75</v>
      </c>
      <c r="I216" s="30" t="s">
        <v>76</v>
      </c>
      <c r="J216" s="48">
        <v>2</v>
      </c>
      <c r="K216" s="27" t="s">
        <v>77</v>
      </c>
      <c r="L216" s="27" t="s">
        <v>1869</v>
      </c>
      <c r="M216" s="49" t="s">
        <v>1870</v>
      </c>
      <c r="N216" s="27" t="s">
        <v>76</v>
      </c>
      <c r="O216" s="26" t="s">
        <v>218</v>
      </c>
      <c r="P216" s="26" t="s">
        <v>219</v>
      </c>
      <c r="Q216" s="27" t="s">
        <v>199</v>
      </c>
      <c r="R216" s="30" t="s">
        <v>202</v>
      </c>
      <c r="S216" s="27" t="s">
        <v>201</v>
      </c>
      <c r="T216" s="30" t="s">
        <v>202</v>
      </c>
      <c r="U216" s="30" t="s">
        <v>202</v>
      </c>
      <c r="V216" s="30" t="s">
        <v>202</v>
      </c>
      <c r="W216" s="103" t="s">
        <v>1871</v>
      </c>
      <c r="X216" s="51" t="s">
        <v>1872</v>
      </c>
      <c r="Y216" s="27">
        <v>2500</v>
      </c>
      <c r="Z216" s="30" t="s">
        <v>100</v>
      </c>
      <c r="AA216" s="27">
        <v>100</v>
      </c>
      <c r="AB216" s="27">
        <v>0</v>
      </c>
      <c r="AC216" s="27" t="s">
        <v>674</v>
      </c>
      <c r="AD216" s="27">
        <v>500</v>
      </c>
      <c r="AE216" s="26" t="s">
        <v>92</v>
      </c>
      <c r="AF216" s="27" t="s">
        <v>93</v>
      </c>
      <c r="AG216" s="51" t="s">
        <v>185</v>
      </c>
      <c r="AH216" s="34" t="s">
        <v>95</v>
      </c>
    </row>
    <row r="217" spans="2:34" ht="101.25" customHeight="1">
      <c r="B217" s="46">
        <f t="shared" si="3"/>
        <v>214</v>
      </c>
      <c r="C217" s="90" t="str">
        <f>"$"&amp;VLOOKUP(LEFT([1]!Table2[[#This Row],[Column2]],2),[1]Definitions!$B$51:$C$66,2,FALSE)&amp;MID([1]!Table2[[#This Row],[Column2]],3,3)&amp;RIGHT([1]!Table2[[#This Row],[Column2]],2)</f>
        <v>$C15100</v>
      </c>
      <c r="D217" s="47" t="s">
        <v>1873</v>
      </c>
      <c r="E217" s="47" t="s">
        <v>1874</v>
      </c>
      <c r="F217" s="52" t="s">
        <v>199</v>
      </c>
      <c r="G217" s="27" t="s">
        <v>74</v>
      </c>
      <c r="H217" s="27" t="s">
        <v>75</v>
      </c>
      <c r="I217" s="27" t="s">
        <v>76</v>
      </c>
      <c r="J217" s="30">
        <v>2</v>
      </c>
      <c r="K217" s="27" t="s">
        <v>77</v>
      </c>
      <c r="L217" s="27" t="s">
        <v>1875</v>
      </c>
      <c r="M217" s="49" t="s">
        <v>1876</v>
      </c>
      <c r="N217" s="27" t="s">
        <v>76</v>
      </c>
      <c r="O217" s="101" t="s">
        <v>218</v>
      </c>
      <c r="P217" s="26" t="s">
        <v>219</v>
      </c>
      <c r="Q217" s="27" t="s">
        <v>199</v>
      </c>
      <c r="R217" s="27" t="s">
        <v>202</v>
      </c>
      <c r="S217" s="27" t="s">
        <v>201</v>
      </c>
      <c r="T217" s="27" t="s">
        <v>202</v>
      </c>
      <c r="U217" s="30" t="s">
        <v>202</v>
      </c>
      <c r="V217" s="30" t="s">
        <v>202</v>
      </c>
      <c r="W217" s="33" t="s">
        <v>1877</v>
      </c>
      <c r="X217" s="51" t="s">
        <v>1878</v>
      </c>
      <c r="Y217" s="27">
        <v>2500</v>
      </c>
      <c r="Z217" s="30" t="s">
        <v>100</v>
      </c>
      <c r="AA217" s="27">
        <v>100</v>
      </c>
      <c r="AB217" s="27">
        <v>0</v>
      </c>
      <c r="AC217" s="27" t="s">
        <v>1879</v>
      </c>
      <c r="AD217" s="27">
        <v>500</v>
      </c>
      <c r="AE217" s="26" t="s">
        <v>92</v>
      </c>
      <c r="AF217" s="27" t="s">
        <v>93</v>
      </c>
      <c r="AG217" s="51" t="s">
        <v>1839</v>
      </c>
      <c r="AH217" s="34" t="s">
        <v>95</v>
      </c>
    </row>
    <row r="218" spans="2:34" ht="90" customHeight="1">
      <c r="B218" s="46">
        <f t="shared" si="3"/>
        <v>215</v>
      </c>
      <c r="C218" s="32" t="str">
        <f>"$"&amp;VLOOKUP(LEFT([1]!Table2[[#This Row],[Column2]],2),[1]Definitions!$B$51:$C$66,2,FALSE)&amp;MID([1]!Table2[[#This Row],[Column2]],3,3)&amp;RIGHT([1]!Table2[[#This Row],[Column2]],2)</f>
        <v>$C15400</v>
      </c>
      <c r="D218" s="32" t="s">
        <v>1880</v>
      </c>
      <c r="E218" s="33" t="s">
        <v>1881</v>
      </c>
      <c r="F218" s="27" t="s">
        <v>199</v>
      </c>
      <c r="G218" s="54" t="s">
        <v>74</v>
      </c>
      <c r="H218" s="54" t="s">
        <v>75</v>
      </c>
      <c r="I218" s="54" t="s">
        <v>76</v>
      </c>
      <c r="J218" s="54">
        <v>2</v>
      </c>
      <c r="K218" s="27" t="s">
        <v>77</v>
      </c>
      <c r="L218" s="27" t="s">
        <v>255</v>
      </c>
      <c r="M218" s="49" t="s">
        <v>255</v>
      </c>
      <c r="N218" s="27" t="s">
        <v>76</v>
      </c>
      <c r="O218" s="26" t="s">
        <v>1222</v>
      </c>
      <c r="P218" s="26" t="s">
        <v>1223</v>
      </c>
      <c r="Q218" s="27" t="s">
        <v>199</v>
      </c>
      <c r="R218" s="54" t="s">
        <v>202</v>
      </c>
      <c r="S218" s="27" t="s">
        <v>201</v>
      </c>
      <c r="T218" s="54" t="s">
        <v>202</v>
      </c>
      <c r="U218" s="30" t="s">
        <v>202</v>
      </c>
      <c r="V218" s="30" t="s">
        <v>202</v>
      </c>
      <c r="W218" s="33" t="s">
        <v>1882</v>
      </c>
      <c r="X218" s="51" t="s">
        <v>1883</v>
      </c>
      <c r="Y218" s="27">
        <v>5000</v>
      </c>
      <c r="Z218" s="30" t="s">
        <v>100</v>
      </c>
      <c r="AA218" s="27">
        <v>100</v>
      </c>
      <c r="AB218" s="27">
        <v>0</v>
      </c>
      <c r="AC218" s="26" t="s">
        <v>1884</v>
      </c>
      <c r="AD218" s="27">
        <v>5000</v>
      </c>
      <c r="AE218" s="26" t="s">
        <v>92</v>
      </c>
      <c r="AF218" s="27" t="s">
        <v>93</v>
      </c>
      <c r="AG218" s="33" t="s">
        <v>649</v>
      </c>
      <c r="AH218" s="34" t="s">
        <v>95</v>
      </c>
    </row>
    <row r="219" spans="2:34" ht="112.5" customHeight="1">
      <c r="B219" s="46">
        <f t="shared" si="3"/>
        <v>216</v>
      </c>
      <c r="C219" s="90" t="str">
        <f>"$"&amp;VLOOKUP(LEFT([1]!Table2[[#This Row],[Column2]],2),[1]Definitions!$B$51:$C$66,2,FALSE)&amp;MID([1]!Table2[[#This Row],[Column2]],3,3)&amp;RIGHT([1]!Table2[[#This Row],[Column2]],2)</f>
        <v>$C15500</v>
      </c>
      <c r="D219" s="25" t="s">
        <v>1885</v>
      </c>
      <c r="E219" s="47" t="s">
        <v>1886</v>
      </c>
      <c r="F219" s="52" t="s">
        <v>199</v>
      </c>
      <c r="G219" s="48" t="s">
        <v>74</v>
      </c>
      <c r="H219" s="30" t="s">
        <v>75</v>
      </c>
      <c r="I219" s="30" t="s">
        <v>76</v>
      </c>
      <c r="J219" s="48">
        <v>2</v>
      </c>
      <c r="K219" s="27" t="s">
        <v>77</v>
      </c>
      <c r="L219" s="54" t="s">
        <v>1887</v>
      </c>
      <c r="M219" s="66" t="s">
        <v>1888</v>
      </c>
      <c r="N219" s="27" t="s">
        <v>76</v>
      </c>
      <c r="O219" s="26" t="s">
        <v>218</v>
      </c>
      <c r="P219" s="26" t="s">
        <v>219</v>
      </c>
      <c r="Q219" s="27" t="s">
        <v>199</v>
      </c>
      <c r="R219" s="30" t="s">
        <v>202</v>
      </c>
      <c r="S219" s="27" t="s">
        <v>201</v>
      </c>
      <c r="T219" s="30" t="s">
        <v>202</v>
      </c>
      <c r="U219" s="30" t="s">
        <v>202</v>
      </c>
      <c r="V219" s="30" t="s">
        <v>202</v>
      </c>
      <c r="W219" s="33" t="s">
        <v>1889</v>
      </c>
      <c r="X219" s="32" t="s">
        <v>1890</v>
      </c>
      <c r="Y219" s="27">
        <v>5000</v>
      </c>
      <c r="Z219" s="30" t="s">
        <v>100</v>
      </c>
      <c r="AA219" s="27">
        <v>100</v>
      </c>
      <c r="AB219" s="27">
        <v>0</v>
      </c>
      <c r="AC219" s="27" t="s">
        <v>674</v>
      </c>
      <c r="AD219" s="27">
        <v>5000</v>
      </c>
      <c r="AE219" s="33" t="s">
        <v>1891</v>
      </c>
      <c r="AF219" s="27" t="s">
        <v>93</v>
      </c>
      <c r="AG219" s="32" t="s">
        <v>1892</v>
      </c>
      <c r="AH219" s="34" t="s">
        <v>208</v>
      </c>
    </row>
    <row r="220" spans="2:34" ht="112.5" customHeight="1">
      <c r="B220" s="46">
        <f t="shared" si="3"/>
        <v>217</v>
      </c>
      <c r="C220" s="90" t="str">
        <f>"$"&amp;VLOOKUP(LEFT([1]!Table2[[#This Row],[Column2]],2),[1]Definitions!$B$51:$C$66,2,FALSE)&amp;MID([1]!Table2[[#This Row],[Column2]],3,3)&amp;RIGHT([1]!Table2[[#This Row],[Column2]],2)</f>
        <v>$C15900</v>
      </c>
      <c r="D220" s="47" t="s">
        <v>1893</v>
      </c>
      <c r="E220" s="47" t="s">
        <v>1894</v>
      </c>
      <c r="F220" s="52" t="s">
        <v>199</v>
      </c>
      <c r="G220" s="48" t="s">
        <v>74</v>
      </c>
      <c r="H220" s="30" t="s">
        <v>75</v>
      </c>
      <c r="I220" s="30" t="s">
        <v>76</v>
      </c>
      <c r="J220" s="27">
        <v>2</v>
      </c>
      <c r="K220" s="27" t="s">
        <v>77</v>
      </c>
      <c r="L220" s="27" t="s">
        <v>1895</v>
      </c>
      <c r="M220" s="49" t="s">
        <v>1896</v>
      </c>
      <c r="N220" s="27" t="s">
        <v>76</v>
      </c>
      <c r="O220" s="26" t="s">
        <v>218</v>
      </c>
      <c r="P220" s="26" t="s">
        <v>219</v>
      </c>
      <c r="Q220" s="27" t="s">
        <v>199</v>
      </c>
      <c r="R220" s="30" t="s">
        <v>202</v>
      </c>
      <c r="S220" s="27" t="s">
        <v>201</v>
      </c>
      <c r="T220" s="30" t="s">
        <v>202</v>
      </c>
      <c r="U220" s="30" t="s">
        <v>202</v>
      </c>
      <c r="V220" s="30" t="s">
        <v>202</v>
      </c>
      <c r="W220" s="32" t="s">
        <v>1897</v>
      </c>
      <c r="X220" s="25" t="s">
        <v>1898</v>
      </c>
      <c r="Y220" s="27">
        <v>2500</v>
      </c>
      <c r="Z220" s="30" t="s">
        <v>100</v>
      </c>
      <c r="AA220" s="27">
        <v>100</v>
      </c>
      <c r="AB220" s="27">
        <v>0</v>
      </c>
      <c r="AC220" s="27" t="s">
        <v>1899</v>
      </c>
      <c r="AD220" s="27">
        <v>2500</v>
      </c>
      <c r="AE220" s="33" t="s">
        <v>1900</v>
      </c>
      <c r="AF220" s="27" t="s">
        <v>93</v>
      </c>
      <c r="AG220" s="51" t="s">
        <v>1839</v>
      </c>
      <c r="AH220" s="34" t="s">
        <v>208</v>
      </c>
    </row>
    <row r="221" spans="2:34" ht="180" customHeight="1">
      <c r="B221" s="46">
        <f t="shared" si="3"/>
        <v>218</v>
      </c>
      <c r="C221" s="25" t="str">
        <f>"$"&amp;VLOOKUP(LEFT([1]!Table2[[#This Row],[Column2]],2),[1]Definitions!$B$51:$C$66,2,FALSE)&amp;MID([1]!Table2[[#This Row],[Column2]],3,3)&amp;RIGHT([1]!Table2[[#This Row],[Column2]],2)</f>
        <v>$C15C00</v>
      </c>
      <c r="D221" s="47" t="s">
        <v>1901</v>
      </c>
      <c r="E221" s="47" t="s">
        <v>1902</v>
      </c>
      <c r="F221" s="27" t="s">
        <v>199</v>
      </c>
      <c r="G221" s="48" t="s">
        <v>74</v>
      </c>
      <c r="H221" s="48" t="s">
        <v>75</v>
      </c>
      <c r="I221" s="48" t="s">
        <v>76</v>
      </c>
      <c r="J221" s="48">
        <v>2</v>
      </c>
      <c r="K221" s="27" t="s">
        <v>77</v>
      </c>
      <c r="L221" s="54" t="s">
        <v>1903</v>
      </c>
      <c r="M221" s="66" t="s">
        <v>1904</v>
      </c>
      <c r="N221" s="27" t="s">
        <v>76</v>
      </c>
      <c r="O221" s="26" t="s">
        <v>218</v>
      </c>
      <c r="P221" s="26" t="s">
        <v>219</v>
      </c>
      <c r="Q221" s="27" t="s">
        <v>199</v>
      </c>
      <c r="R221" s="48" t="s">
        <v>202</v>
      </c>
      <c r="S221" s="27" t="s">
        <v>201</v>
      </c>
      <c r="T221" s="48" t="s">
        <v>202</v>
      </c>
      <c r="U221" s="48" t="s">
        <v>202</v>
      </c>
      <c r="V221" s="48" t="s">
        <v>202</v>
      </c>
      <c r="W221" s="32" t="s">
        <v>1905</v>
      </c>
      <c r="X221" s="32" t="s">
        <v>1906</v>
      </c>
      <c r="Y221" s="27">
        <v>2500</v>
      </c>
      <c r="Z221" s="30" t="s">
        <v>100</v>
      </c>
      <c r="AA221" s="27">
        <v>100</v>
      </c>
      <c r="AB221" s="27">
        <v>0</v>
      </c>
      <c r="AC221" s="54" t="s">
        <v>1907</v>
      </c>
      <c r="AD221" s="27">
        <v>500</v>
      </c>
      <c r="AE221" s="33" t="s">
        <v>1908</v>
      </c>
      <c r="AF221" s="27" t="s">
        <v>93</v>
      </c>
      <c r="AG221" s="51" t="s">
        <v>649</v>
      </c>
      <c r="AH221" s="34" t="s">
        <v>208</v>
      </c>
    </row>
    <row r="222" spans="2:34" ht="101.25" customHeight="1">
      <c r="B222" s="46">
        <f t="shared" si="3"/>
        <v>219</v>
      </c>
      <c r="C222" s="90" t="str">
        <f>"$"&amp;VLOOKUP(LEFT([1]!Table2[[#This Row],[Column2]],2),[1]Definitions!$B$51:$C$66,2,FALSE)&amp;MID([1]!Table2[[#This Row],[Column2]],3,3)&amp;RIGHT([1]!Table2[[#This Row],[Column2]],2)</f>
        <v>$C15D00</v>
      </c>
      <c r="D222" s="47" t="s">
        <v>1909</v>
      </c>
      <c r="E222" s="47" t="s">
        <v>1910</v>
      </c>
      <c r="F222" s="52" t="s">
        <v>199</v>
      </c>
      <c r="G222" s="48" t="s">
        <v>74</v>
      </c>
      <c r="H222" s="30" t="s">
        <v>75</v>
      </c>
      <c r="I222" s="30" t="s">
        <v>76</v>
      </c>
      <c r="J222" s="48">
        <v>2</v>
      </c>
      <c r="K222" s="27" t="s">
        <v>77</v>
      </c>
      <c r="L222" s="27" t="s">
        <v>712</v>
      </c>
      <c r="M222" s="49" t="s">
        <v>712</v>
      </c>
      <c r="N222" s="27" t="s">
        <v>76</v>
      </c>
      <c r="O222" s="26" t="s">
        <v>218</v>
      </c>
      <c r="P222" s="26" t="s">
        <v>219</v>
      </c>
      <c r="Q222" s="27" t="s">
        <v>199</v>
      </c>
      <c r="R222" s="30" t="s">
        <v>202</v>
      </c>
      <c r="S222" s="27" t="s">
        <v>201</v>
      </c>
      <c r="T222" s="30" t="s">
        <v>202</v>
      </c>
      <c r="U222" s="30" t="s">
        <v>202</v>
      </c>
      <c r="V222" s="30" t="s">
        <v>202</v>
      </c>
      <c r="W222" s="33" t="s">
        <v>1911</v>
      </c>
      <c r="X222" s="51" t="s">
        <v>1912</v>
      </c>
      <c r="Y222" s="27">
        <v>2500</v>
      </c>
      <c r="Z222" s="30" t="s">
        <v>100</v>
      </c>
      <c r="AA222" s="27">
        <v>100</v>
      </c>
      <c r="AB222" s="27">
        <v>0</v>
      </c>
      <c r="AC222" s="27" t="s">
        <v>674</v>
      </c>
      <c r="AD222" s="27">
        <v>500</v>
      </c>
      <c r="AE222" s="26" t="s">
        <v>92</v>
      </c>
      <c r="AF222" s="27" t="s">
        <v>93</v>
      </c>
      <c r="AG222" s="51" t="s">
        <v>1913</v>
      </c>
      <c r="AH222" s="34" t="s">
        <v>95</v>
      </c>
    </row>
    <row r="223" spans="2:34" ht="101.25" customHeight="1">
      <c r="B223" s="46">
        <f t="shared" si="3"/>
        <v>220</v>
      </c>
      <c r="C223" s="90" t="str">
        <f>"$"&amp;VLOOKUP(LEFT([1]!Table2[[#This Row],[Column2]],2),[1]Definitions!$B$51:$C$66,2,FALSE)&amp;MID([1]!Table2[[#This Row],[Column2]],3,3)&amp;RIGHT([1]!Table2[[#This Row],[Column2]],2)</f>
        <v>$C16400</v>
      </c>
      <c r="D223" s="47" t="s">
        <v>1914</v>
      </c>
      <c r="E223" s="47" t="s">
        <v>1915</v>
      </c>
      <c r="F223" s="27" t="s">
        <v>199</v>
      </c>
      <c r="G223" s="48" t="s">
        <v>74</v>
      </c>
      <c r="H223" s="30" t="s">
        <v>75</v>
      </c>
      <c r="I223" s="30" t="s">
        <v>76</v>
      </c>
      <c r="J223" s="48">
        <v>2</v>
      </c>
      <c r="K223" s="27" t="s">
        <v>77</v>
      </c>
      <c r="L223" s="27" t="s">
        <v>1916</v>
      </c>
      <c r="M223" s="66" t="s">
        <v>1917</v>
      </c>
      <c r="N223" s="27" t="s">
        <v>76</v>
      </c>
      <c r="O223" s="26" t="s">
        <v>218</v>
      </c>
      <c r="P223" s="26" t="s">
        <v>219</v>
      </c>
      <c r="Q223" s="27" t="s">
        <v>199</v>
      </c>
      <c r="R223" s="30" t="s">
        <v>202</v>
      </c>
      <c r="S223" s="27" t="s">
        <v>201</v>
      </c>
      <c r="T223" s="30" t="s">
        <v>202</v>
      </c>
      <c r="U223" s="30" t="s">
        <v>202</v>
      </c>
      <c r="V223" s="30" t="s">
        <v>202</v>
      </c>
      <c r="W223" s="32" t="s">
        <v>1918</v>
      </c>
      <c r="X223" s="51" t="s">
        <v>1919</v>
      </c>
      <c r="Y223" s="27">
        <v>2500</v>
      </c>
      <c r="Z223" s="30" t="s">
        <v>100</v>
      </c>
      <c r="AA223" s="27">
        <v>100</v>
      </c>
      <c r="AB223" s="27">
        <v>0</v>
      </c>
      <c r="AC223" s="27" t="s">
        <v>674</v>
      </c>
      <c r="AD223" s="27">
        <v>500</v>
      </c>
      <c r="AE223" s="26" t="s">
        <v>1920</v>
      </c>
      <c r="AF223" s="27" t="s">
        <v>93</v>
      </c>
      <c r="AG223" s="51" t="s">
        <v>224</v>
      </c>
      <c r="AH223" s="34" t="s">
        <v>208</v>
      </c>
    </row>
    <row r="224" spans="2:34" ht="157.5" customHeight="1">
      <c r="B224" s="46">
        <f t="shared" si="3"/>
        <v>221</v>
      </c>
      <c r="C224" s="90" t="str">
        <f>"$"&amp;VLOOKUP(LEFT([1]!Table2[[#This Row],[Column2]],2),[1]Definitions!$B$51:$C$66,2,FALSE)&amp;MID([1]!Table2[[#This Row],[Column2]],3,3)&amp;RIGHT([1]!Table2[[#This Row],[Column2]],2)</f>
        <v>$C18300</v>
      </c>
      <c r="D224" s="47" t="s">
        <v>1921</v>
      </c>
      <c r="E224" s="47" t="s">
        <v>1922</v>
      </c>
      <c r="F224" s="27" t="s">
        <v>199</v>
      </c>
      <c r="G224" s="48" t="s">
        <v>74</v>
      </c>
      <c r="H224" s="48" t="s">
        <v>75</v>
      </c>
      <c r="I224" s="48" t="s">
        <v>76</v>
      </c>
      <c r="J224" s="48">
        <v>2</v>
      </c>
      <c r="K224" s="27" t="s">
        <v>77</v>
      </c>
      <c r="L224" s="27" t="s">
        <v>379</v>
      </c>
      <c r="M224" s="49" t="s">
        <v>1923</v>
      </c>
      <c r="N224" s="27" t="s">
        <v>381</v>
      </c>
      <c r="O224" s="26" t="s">
        <v>218</v>
      </c>
      <c r="P224" s="26" t="s">
        <v>219</v>
      </c>
      <c r="Q224" s="27" t="s">
        <v>199</v>
      </c>
      <c r="R224" s="48" t="s">
        <v>202</v>
      </c>
      <c r="S224" s="27" t="s">
        <v>201</v>
      </c>
      <c r="T224" s="48" t="s">
        <v>202</v>
      </c>
      <c r="U224" s="48" t="s">
        <v>202</v>
      </c>
      <c r="V224" s="48" t="s">
        <v>202</v>
      </c>
      <c r="W224" s="32" t="s">
        <v>1924</v>
      </c>
      <c r="X224" s="51" t="s">
        <v>1925</v>
      </c>
      <c r="Y224" s="27">
        <v>2500</v>
      </c>
      <c r="Z224" s="30" t="s">
        <v>100</v>
      </c>
      <c r="AA224" s="27">
        <v>100</v>
      </c>
      <c r="AB224" s="27">
        <v>0</v>
      </c>
      <c r="AC224" s="27" t="s">
        <v>1926</v>
      </c>
      <c r="AD224" s="27">
        <v>500</v>
      </c>
      <c r="AE224" s="26" t="s">
        <v>1927</v>
      </c>
      <c r="AF224" s="27" t="s">
        <v>93</v>
      </c>
      <c r="AG224" s="51" t="s">
        <v>1928</v>
      </c>
      <c r="AH224" s="34" t="s">
        <v>208</v>
      </c>
    </row>
    <row r="225" spans="2:34" ht="90" customHeight="1">
      <c r="B225" s="46">
        <f t="shared" si="3"/>
        <v>222</v>
      </c>
      <c r="C225" s="32" t="str">
        <f>"$"&amp;VLOOKUP(LEFT([1]!Table2[[#This Row],[Column2]],2),[1]Definitions!$B$51:$C$66,2,FALSE)&amp;MID([1]!Table2[[#This Row],[Column2]],3,3)&amp;RIGHT([1]!Table2[[#This Row],[Column2]],2)</f>
        <v>$C18600</v>
      </c>
      <c r="D225" s="32" t="s">
        <v>1929</v>
      </c>
      <c r="E225" s="33" t="s">
        <v>1930</v>
      </c>
      <c r="F225" s="27" t="s">
        <v>199</v>
      </c>
      <c r="G225" s="54" t="s">
        <v>74</v>
      </c>
      <c r="H225" s="54" t="s">
        <v>75</v>
      </c>
      <c r="I225" s="54" t="s">
        <v>76</v>
      </c>
      <c r="J225" s="54">
        <v>2</v>
      </c>
      <c r="K225" s="27" t="s">
        <v>77</v>
      </c>
      <c r="L225" s="27" t="s">
        <v>255</v>
      </c>
      <c r="M225" s="49" t="s">
        <v>255</v>
      </c>
      <c r="N225" s="27" t="s">
        <v>76</v>
      </c>
      <c r="O225" s="26" t="s">
        <v>1931</v>
      </c>
      <c r="P225" s="26" t="s">
        <v>1932</v>
      </c>
      <c r="Q225" s="27" t="s">
        <v>199</v>
      </c>
      <c r="R225" s="54" t="s">
        <v>202</v>
      </c>
      <c r="S225" s="27" t="s">
        <v>201</v>
      </c>
      <c r="T225" s="54" t="s">
        <v>202</v>
      </c>
      <c r="U225" s="30" t="s">
        <v>202</v>
      </c>
      <c r="V225" s="30" t="s">
        <v>202</v>
      </c>
      <c r="W225" s="33" t="s">
        <v>1933</v>
      </c>
      <c r="X225" s="51" t="s">
        <v>1934</v>
      </c>
      <c r="Y225" s="27">
        <v>7500</v>
      </c>
      <c r="Z225" s="30" t="s">
        <v>100</v>
      </c>
      <c r="AA225" s="27">
        <v>100</v>
      </c>
      <c r="AB225" s="27">
        <v>0</v>
      </c>
      <c r="AC225" s="26" t="s">
        <v>1935</v>
      </c>
      <c r="AD225" s="27">
        <v>7500</v>
      </c>
      <c r="AE225" s="26" t="s">
        <v>92</v>
      </c>
      <c r="AF225" s="27" t="s">
        <v>93</v>
      </c>
      <c r="AG225" s="33" t="s">
        <v>763</v>
      </c>
      <c r="AH225" s="34" t="s">
        <v>95</v>
      </c>
    </row>
    <row r="226" spans="2:34" ht="90" customHeight="1">
      <c r="B226" s="46">
        <f t="shared" si="3"/>
        <v>223</v>
      </c>
      <c r="C226" s="32" t="str">
        <f>"$"&amp;VLOOKUP(LEFT([1]!Table2[[#This Row],[Column2]],2),[1]Definitions!$B$51:$C$66,2,FALSE)&amp;MID([1]!Table2[[#This Row],[Column2]],3,3)&amp;RIGHT([1]!Table2[[#This Row],[Column2]],2)</f>
        <v>$C19100</v>
      </c>
      <c r="D226" s="32" t="s">
        <v>1936</v>
      </c>
      <c r="E226" s="33" t="s">
        <v>1937</v>
      </c>
      <c r="F226" s="27" t="s">
        <v>199</v>
      </c>
      <c r="G226" s="54" t="s">
        <v>74</v>
      </c>
      <c r="H226" s="54" t="s">
        <v>75</v>
      </c>
      <c r="I226" s="54" t="s">
        <v>76</v>
      </c>
      <c r="J226" s="54">
        <v>2</v>
      </c>
      <c r="K226" s="27" t="s">
        <v>77</v>
      </c>
      <c r="L226" s="27" t="s">
        <v>255</v>
      </c>
      <c r="M226" s="49" t="s">
        <v>255</v>
      </c>
      <c r="N226" s="27" t="s">
        <v>76</v>
      </c>
      <c r="O226" s="26" t="s">
        <v>1938</v>
      </c>
      <c r="P226" s="26" t="s">
        <v>1939</v>
      </c>
      <c r="Q226" s="27" t="s">
        <v>199</v>
      </c>
      <c r="R226" s="54" t="s">
        <v>202</v>
      </c>
      <c r="S226" s="27" t="s">
        <v>201</v>
      </c>
      <c r="T226" s="54" t="s">
        <v>202</v>
      </c>
      <c r="U226" s="30" t="s">
        <v>202</v>
      </c>
      <c r="V226" s="30" t="s">
        <v>202</v>
      </c>
      <c r="W226" s="33" t="s">
        <v>1940</v>
      </c>
      <c r="X226" s="51" t="s">
        <v>1941</v>
      </c>
      <c r="Y226" s="27">
        <v>5000</v>
      </c>
      <c r="Z226" s="30" t="s">
        <v>100</v>
      </c>
      <c r="AA226" s="27">
        <v>100</v>
      </c>
      <c r="AB226" s="27">
        <v>0</v>
      </c>
      <c r="AC226" s="26" t="s">
        <v>1942</v>
      </c>
      <c r="AD226" s="27">
        <v>5000</v>
      </c>
      <c r="AE226" s="26" t="s">
        <v>92</v>
      </c>
      <c r="AF226" s="27" t="s">
        <v>93</v>
      </c>
      <c r="AG226" s="26" t="s">
        <v>1943</v>
      </c>
      <c r="AH226" s="34" t="s">
        <v>95</v>
      </c>
    </row>
    <row r="227" spans="2:34" ht="101.25" customHeight="1">
      <c r="B227" s="46">
        <f t="shared" si="3"/>
        <v>224</v>
      </c>
      <c r="C227" s="90" t="str">
        <f>"$"&amp;VLOOKUP(LEFT([1]!Table2[[#This Row],[Column2]],2),[1]Definitions!$B$51:$C$66,2,FALSE)&amp;MID([1]!Table2[[#This Row],[Column2]],3,3)&amp;RIGHT([1]!Table2[[#This Row],[Column2]],2)</f>
        <v>$C19900</v>
      </c>
      <c r="D227" s="47" t="s">
        <v>1944</v>
      </c>
      <c r="E227" s="47" t="s">
        <v>1945</v>
      </c>
      <c r="F227" s="52" t="s">
        <v>199</v>
      </c>
      <c r="G227" s="48" t="s">
        <v>74</v>
      </c>
      <c r="H227" s="30" t="s">
        <v>75</v>
      </c>
      <c r="I227" s="30" t="s">
        <v>76</v>
      </c>
      <c r="J227" s="48">
        <v>2</v>
      </c>
      <c r="K227" s="27" t="s">
        <v>77</v>
      </c>
      <c r="L227" s="27" t="s">
        <v>1946</v>
      </c>
      <c r="M227" s="49" t="s">
        <v>712</v>
      </c>
      <c r="N227" s="27" t="s">
        <v>76</v>
      </c>
      <c r="O227" s="26" t="s">
        <v>218</v>
      </c>
      <c r="P227" s="26" t="s">
        <v>219</v>
      </c>
      <c r="Q227" s="27" t="s">
        <v>199</v>
      </c>
      <c r="R227" s="30" t="s">
        <v>202</v>
      </c>
      <c r="S227" s="27" t="s">
        <v>201</v>
      </c>
      <c r="T227" s="30" t="s">
        <v>202</v>
      </c>
      <c r="U227" s="30" t="s">
        <v>202</v>
      </c>
      <c r="V227" s="30" t="s">
        <v>202</v>
      </c>
      <c r="W227" s="33" t="s">
        <v>1947</v>
      </c>
      <c r="X227" s="51" t="s">
        <v>1948</v>
      </c>
      <c r="Y227" s="27">
        <v>5000</v>
      </c>
      <c r="Z227" s="30" t="s">
        <v>100</v>
      </c>
      <c r="AA227" s="27">
        <v>100</v>
      </c>
      <c r="AB227" s="27">
        <v>0</v>
      </c>
      <c r="AC227" s="27" t="s">
        <v>674</v>
      </c>
      <c r="AD227" s="27">
        <v>5000</v>
      </c>
      <c r="AE227" s="26" t="s">
        <v>92</v>
      </c>
      <c r="AF227" s="27" t="s">
        <v>93</v>
      </c>
      <c r="AG227" s="51" t="s">
        <v>1839</v>
      </c>
      <c r="AH227" s="34" t="s">
        <v>95</v>
      </c>
    </row>
    <row r="228" spans="2:34" ht="101.25" customHeight="1">
      <c r="B228" s="46">
        <f t="shared" si="3"/>
        <v>225</v>
      </c>
      <c r="C228" s="90" t="str">
        <f>"$"&amp;VLOOKUP(LEFT([1]!Table2[[#This Row],[Column2]],2),[1]Definitions!$B$51:$C$66,2,FALSE)&amp;MID([1]!Table2[[#This Row],[Column2]],3,3)&amp;RIGHT([1]!Table2[[#This Row],[Column2]],2)</f>
        <v>$C1B400</v>
      </c>
      <c r="D228" s="47" t="s">
        <v>1949</v>
      </c>
      <c r="E228" s="47" t="s">
        <v>1950</v>
      </c>
      <c r="F228" s="52" t="s">
        <v>199</v>
      </c>
      <c r="G228" s="48" t="s">
        <v>74</v>
      </c>
      <c r="H228" s="30" t="s">
        <v>75</v>
      </c>
      <c r="I228" s="30" t="s">
        <v>76</v>
      </c>
      <c r="J228" s="48">
        <v>2</v>
      </c>
      <c r="K228" s="27" t="s">
        <v>77</v>
      </c>
      <c r="L228" s="27" t="s">
        <v>712</v>
      </c>
      <c r="M228" s="49" t="s">
        <v>712</v>
      </c>
      <c r="N228" s="27" t="s">
        <v>76</v>
      </c>
      <c r="O228" s="26" t="s">
        <v>218</v>
      </c>
      <c r="P228" s="26" t="s">
        <v>219</v>
      </c>
      <c r="Q228" s="27" t="s">
        <v>199</v>
      </c>
      <c r="R228" s="30" t="s">
        <v>202</v>
      </c>
      <c r="S228" s="27" t="s">
        <v>201</v>
      </c>
      <c r="T228" s="30" t="s">
        <v>202</v>
      </c>
      <c r="U228" s="30" t="s">
        <v>202</v>
      </c>
      <c r="V228" s="30" t="s">
        <v>202</v>
      </c>
      <c r="W228" s="33" t="s">
        <v>1951</v>
      </c>
      <c r="X228" s="51" t="s">
        <v>1952</v>
      </c>
      <c r="Y228" s="27">
        <v>2500</v>
      </c>
      <c r="Z228" s="30" t="s">
        <v>100</v>
      </c>
      <c r="AA228" s="27">
        <v>100</v>
      </c>
      <c r="AB228" s="27">
        <v>0</v>
      </c>
      <c r="AC228" s="27" t="s">
        <v>674</v>
      </c>
      <c r="AD228" s="27">
        <v>100</v>
      </c>
      <c r="AE228" s="26" t="s">
        <v>92</v>
      </c>
      <c r="AF228" s="27" t="s">
        <v>93</v>
      </c>
      <c r="AG228" s="51" t="s">
        <v>1953</v>
      </c>
      <c r="AH228" s="34" t="s">
        <v>95</v>
      </c>
    </row>
    <row r="229" spans="2:34" ht="101.25" customHeight="1">
      <c r="B229" s="46">
        <f t="shared" si="3"/>
        <v>226</v>
      </c>
      <c r="C229" s="25" t="str">
        <f>"$"&amp;VLOOKUP(LEFT([1]!Table2[[#This Row],[Column2]],2),[1]Definitions!$B$51:$C$66,2,FALSE)&amp;MID([1]!Table2[[#This Row],[Column2]],3,3)&amp;RIGHT([1]!Table2[[#This Row],[Column2]],2)</f>
        <v>$C1EB00</v>
      </c>
      <c r="D229" s="47" t="s">
        <v>1954</v>
      </c>
      <c r="E229" s="47" t="s">
        <v>1955</v>
      </c>
      <c r="F229" s="27" t="s">
        <v>199</v>
      </c>
      <c r="G229" s="48" t="s">
        <v>74</v>
      </c>
      <c r="H229" s="30" t="s">
        <v>75</v>
      </c>
      <c r="I229" s="30" t="s">
        <v>76</v>
      </c>
      <c r="J229" s="48">
        <v>2</v>
      </c>
      <c r="K229" s="27" t="s">
        <v>77</v>
      </c>
      <c r="L229" s="27" t="s">
        <v>712</v>
      </c>
      <c r="M229" s="49" t="s">
        <v>712</v>
      </c>
      <c r="N229" s="27" t="s">
        <v>76</v>
      </c>
      <c r="O229" s="26" t="s">
        <v>218</v>
      </c>
      <c r="P229" s="26" t="s">
        <v>219</v>
      </c>
      <c r="Q229" s="27" t="s">
        <v>199</v>
      </c>
      <c r="R229" s="30" t="s">
        <v>202</v>
      </c>
      <c r="S229" s="27" t="s">
        <v>201</v>
      </c>
      <c r="T229" s="30" t="s">
        <v>202</v>
      </c>
      <c r="U229" s="30" t="s">
        <v>202</v>
      </c>
      <c r="V229" s="30" t="s">
        <v>202</v>
      </c>
      <c r="W229" s="33" t="s">
        <v>1956</v>
      </c>
      <c r="X229" s="51" t="s">
        <v>1957</v>
      </c>
      <c r="Y229" s="27">
        <v>5000</v>
      </c>
      <c r="Z229" s="30" t="s">
        <v>100</v>
      </c>
      <c r="AA229" s="27">
        <v>100</v>
      </c>
      <c r="AB229" s="27">
        <v>0</v>
      </c>
      <c r="AC229" s="27" t="s">
        <v>674</v>
      </c>
      <c r="AD229" s="27">
        <v>5000</v>
      </c>
      <c r="AE229" s="26" t="s">
        <v>92</v>
      </c>
      <c r="AF229" s="27" t="s">
        <v>93</v>
      </c>
      <c r="AG229" s="32" t="s">
        <v>1958</v>
      </c>
      <c r="AH229" s="34" t="s">
        <v>95</v>
      </c>
    </row>
    <row r="230" spans="2:34" ht="101.25" customHeight="1">
      <c r="B230" s="46">
        <f t="shared" si="3"/>
        <v>227</v>
      </c>
      <c r="C230" s="90" t="str">
        <f>"$"&amp;VLOOKUP(LEFT([1]!Table2[[#This Row],[Column2]],2),[1]Definitions!$B$51:$C$66,2,FALSE)&amp;MID([1]!Table2[[#This Row],[Column2]],3,3)&amp;RIGHT([1]!Table2[[#This Row],[Column2]],2)</f>
        <v>$C20000</v>
      </c>
      <c r="D230" s="47" t="s">
        <v>1959</v>
      </c>
      <c r="E230" s="47" t="s">
        <v>1960</v>
      </c>
      <c r="F230" s="52" t="s">
        <v>199</v>
      </c>
      <c r="G230" s="48" t="s">
        <v>74</v>
      </c>
      <c r="H230" s="30" t="s">
        <v>75</v>
      </c>
      <c r="I230" s="30" t="s">
        <v>76</v>
      </c>
      <c r="J230" s="48">
        <v>2</v>
      </c>
      <c r="K230" s="27" t="s">
        <v>77</v>
      </c>
      <c r="L230" s="27" t="s">
        <v>1946</v>
      </c>
      <c r="M230" s="49" t="s">
        <v>712</v>
      </c>
      <c r="N230" s="27" t="s">
        <v>76</v>
      </c>
      <c r="O230" s="26" t="s">
        <v>218</v>
      </c>
      <c r="P230" s="26" t="s">
        <v>219</v>
      </c>
      <c r="Q230" s="27" t="s">
        <v>199</v>
      </c>
      <c r="R230" s="30" t="s">
        <v>202</v>
      </c>
      <c r="S230" s="27" t="s">
        <v>201</v>
      </c>
      <c r="T230" s="30" t="s">
        <v>202</v>
      </c>
      <c r="U230" s="30" t="s">
        <v>202</v>
      </c>
      <c r="V230" s="30" t="s">
        <v>202</v>
      </c>
      <c r="W230" s="33" t="s">
        <v>1961</v>
      </c>
      <c r="X230" s="51" t="s">
        <v>1962</v>
      </c>
      <c r="Y230" s="27">
        <v>5000</v>
      </c>
      <c r="Z230" s="30" t="s">
        <v>100</v>
      </c>
      <c r="AA230" s="27">
        <v>100</v>
      </c>
      <c r="AB230" s="27">
        <v>0</v>
      </c>
      <c r="AC230" s="27" t="s">
        <v>674</v>
      </c>
      <c r="AD230" s="27">
        <v>5000</v>
      </c>
      <c r="AE230" s="26" t="s">
        <v>92</v>
      </c>
      <c r="AF230" s="27" t="s">
        <v>93</v>
      </c>
      <c r="AG230" s="62" t="s">
        <v>152</v>
      </c>
      <c r="AH230" s="34" t="s">
        <v>95</v>
      </c>
    </row>
    <row r="231" spans="2:34" ht="101.25" customHeight="1">
      <c r="B231" s="46">
        <f t="shared" si="3"/>
        <v>228</v>
      </c>
      <c r="C231" s="25" t="str">
        <f>"$"&amp;VLOOKUP(LEFT([1]!Table2[[#This Row],[Column2]],2),[1]Definitions!$B$51:$C$66,2,FALSE)&amp;MID([1]!Table2[[#This Row],[Column2]],3,3)&amp;RIGHT([1]!Table2[[#This Row],[Column2]],2)</f>
        <v>$C20600</v>
      </c>
      <c r="D231" s="25" t="s">
        <v>1963</v>
      </c>
      <c r="E231" s="47" t="s">
        <v>1964</v>
      </c>
      <c r="F231" s="27" t="s">
        <v>199</v>
      </c>
      <c r="G231" s="52" t="s">
        <v>74</v>
      </c>
      <c r="H231" s="52" t="s">
        <v>75</v>
      </c>
      <c r="I231" s="52" t="s">
        <v>76</v>
      </c>
      <c r="J231" s="52">
        <v>2</v>
      </c>
      <c r="K231" s="27" t="s">
        <v>77</v>
      </c>
      <c r="L231" s="27" t="s">
        <v>1965</v>
      </c>
      <c r="M231" s="49" t="s">
        <v>1966</v>
      </c>
      <c r="N231" s="27" t="s">
        <v>76</v>
      </c>
      <c r="O231" s="26" t="s">
        <v>218</v>
      </c>
      <c r="P231" s="26" t="s">
        <v>219</v>
      </c>
      <c r="Q231" s="27" t="s">
        <v>199</v>
      </c>
      <c r="R231" s="52" t="s">
        <v>202</v>
      </c>
      <c r="S231" s="27" t="s">
        <v>201</v>
      </c>
      <c r="T231" s="52" t="s">
        <v>202</v>
      </c>
      <c r="U231" s="30" t="s">
        <v>202</v>
      </c>
      <c r="V231" s="30" t="s">
        <v>202</v>
      </c>
      <c r="W231" s="32" t="s">
        <v>1967</v>
      </c>
      <c r="X231" s="51" t="s">
        <v>1968</v>
      </c>
      <c r="Y231" s="27">
        <v>5000</v>
      </c>
      <c r="Z231" s="30" t="s">
        <v>100</v>
      </c>
      <c r="AA231" s="27">
        <v>100</v>
      </c>
      <c r="AB231" s="27">
        <v>0</v>
      </c>
      <c r="AC231" s="26" t="s">
        <v>674</v>
      </c>
      <c r="AD231" s="27">
        <v>500</v>
      </c>
      <c r="AE231" s="26" t="s">
        <v>92</v>
      </c>
      <c r="AF231" s="27" t="s">
        <v>93</v>
      </c>
      <c r="AG231" s="51" t="s">
        <v>1969</v>
      </c>
      <c r="AH231" s="34" t="s">
        <v>95</v>
      </c>
    </row>
    <row r="232" spans="2:34" ht="101.25" customHeight="1">
      <c r="B232" s="46">
        <f t="shared" si="3"/>
        <v>229</v>
      </c>
      <c r="C232" s="90" t="str">
        <f>"$"&amp;VLOOKUP(LEFT([1]!Table2[[#This Row],[Column2]],2),[1]Definitions!$B$51:$C$66,2,FALSE)&amp;MID([1]!Table2[[#This Row],[Column2]],3,3)&amp;RIGHT([1]!Table2[[#This Row],[Column2]],2)</f>
        <v>$C21200</v>
      </c>
      <c r="D232" s="47" t="s">
        <v>1970</v>
      </c>
      <c r="E232" s="47" t="s">
        <v>1971</v>
      </c>
      <c r="F232" s="52" t="s">
        <v>199</v>
      </c>
      <c r="G232" s="48" t="s">
        <v>74</v>
      </c>
      <c r="H232" s="30" t="s">
        <v>75</v>
      </c>
      <c r="I232" s="30" t="s">
        <v>76</v>
      </c>
      <c r="J232" s="48">
        <v>2</v>
      </c>
      <c r="K232" s="27" t="s">
        <v>77</v>
      </c>
      <c r="L232" s="27" t="s">
        <v>712</v>
      </c>
      <c r="M232" s="49" t="s">
        <v>712</v>
      </c>
      <c r="N232" s="27" t="s">
        <v>76</v>
      </c>
      <c r="O232" s="26" t="s">
        <v>218</v>
      </c>
      <c r="P232" s="26" t="s">
        <v>219</v>
      </c>
      <c r="Q232" s="27" t="s">
        <v>199</v>
      </c>
      <c r="R232" s="30" t="s">
        <v>202</v>
      </c>
      <c r="S232" s="27" t="s">
        <v>201</v>
      </c>
      <c r="T232" s="30" t="s">
        <v>202</v>
      </c>
      <c r="U232" s="30" t="s">
        <v>202</v>
      </c>
      <c r="V232" s="30" t="s">
        <v>202</v>
      </c>
      <c r="W232" s="33" t="s">
        <v>1972</v>
      </c>
      <c r="X232" s="51" t="s">
        <v>1973</v>
      </c>
      <c r="Y232" s="27">
        <v>2500</v>
      </c>
      <c r="Z232" s="30" t="s">
        <v>100</v>
      </c>
      <c r="AA232" s="27">
        <v>100</v>
      </c>
      <c r="AB232" s="27">
        <v>0</v>
      </c>
      <c r="AC232" s="27" t="s">
        <v>674</v>
      </c>
      <c r="AD232" s="27">
        <v>500</v>
      </c>
      <c r="AE232" s="26" t="s">
        <v>92</v>
      </c>
      <c r="AF232" s="27" t="s">
        <v>93</v>
      </c>
      <c r="AG232" s="62" t="s">
        <v>152</v>
      </c>
      <c r="AH232" s="34" t="s">
        <v>95</v>
      </c>
    </row>
    <row r="233" spans="2:34" ht="123.75" customHeight="1">
      <c r="B233" s="24">
        <f t="shared" si="3"/>
        <v>230</v>
      </c>
      <c r="C233" s="104" t="str">
        <f>"$"&amp;VLOOKUP(LEFT([1]!Table2[[#This Row],[Column2]],2),[1]Definitions!$B$51:$C$66,2,FALSE)&amp;MID([1]!Table2[[#This Row],[Column2]],3,3)&amp;RIGHT([1]!Table2[[#This Row],[Column2]],2)</f>
        <v>$C21300</v>
      </c>
      <c r="D233" s="105" t="s">
        <v>1974</v>
      </c>
      <c r="E233" s="26" t="s">
        <v>1975</v>
      </c>
      <c r="F233" s="52" t="s">
        <v>199</v>
      </c>
      <c r="G233" s="27" t="s">
        <v>74</v>
      </c>
      <c r="H233" s="27" t="s">
        <v>75</v>
      </c>
      <c r="I233" s="27" t="s">
        <v>76</v>
      </c>
      <c r="J233" s="30">
        <v>2</v>
      </c>
      <c r="K233" s="27" t="s">
        <v>77</v>
      </c>
      <c r="L233" s="27" t="s">
        <v>1264</v>
      </c>
      <c r="M233" s="49" t="s">
        <v>1976</v>
      </c>
      <c r="N233" s="27" t="s">
        <v>76</v>
      </c>
      <c r="O233" s="26" t="s">
        <v>218</v>
      </c>
      <c r="P233" s="26" t="s">
        <v>219</v>
      </c>
      <c r="Q233" s="27" t="s">
        <v>199</v>
      </c>
      <c r="R233" s="27" t="s">
        <v>202</v>
      </c>
      <c r="S233" s="27" t="s">
        <v>201</v>
      </c>
      <c r="T233" s="27" t="s">
        <v>202</v>
      </c>
      <c r="U233" s="30" t="s">
        <v>202</v>
      </c>
      <c r="V233" s="30" t="s">
        <v>202</v>
      </c>
      <c r="W233" s="103" t="s">
        <v>1977</v>
      </c>
      <c r="X233" s="51" t="s">
        <v>1978</v>
      </c>
      <c r="Y233" s="27">
        <v>2500</v>
      </c>
      <c r="Z233" s="30" t="s">
        <v>100</v>
      </c>
      <c r="AA233" s="27">
        <v>100</v>
      </c>
      <c r="AB233" s="27">
        <v>0</v>
      </c>
      <c r="AC233" s="27" t="s">
        <v>674</v>
      </c>
      <c r="AD233" s="27">
        <v>500</v>
      </c>
      <c r="AE233" s="26" t="s">
        <v>92</v>
      </c>
      <c r="AF233" s="27" t="s">
        <v>93</v>
      </c>
      <c r="AG233" s="51" t="s">
        <v>905</v>
      </c>
      <c r="AH233" s="34" t="s">
        <v>95</v>
      </c>
    </row>
    <row r="234" spans="2:34" ht="101.25" customHeight="1">
      <c r="B234" s="46">
        <f t="shared" si="3"/>
        <v>231</v>
      </c>
      <c r="C234" s="51" t="str">
        <f>"$"&amp;VLOOKUP(LEFT([1]!Table2[[#This Row],[Column2]],2),[1]Definitions!$B$51:$C$66,2,FALSE)&amp;MID([1]!Table2[[#This Row],[Column2]],3,3)&amp;RIGHT([1]!Table2[[#This Row],[Column2]],2)</f>
        <v>$C22400</v>
      </c>
      <c r="D234" s="26" t="s">
        <v>1979</v>
      </c>
      <c r="E234" s="26" t="s">
        <v>1980</v>
      </c>
      <c r="F234" s="52" t="s">
        <v>199</v>
      </c>
      <c r="G234" s="27" t="s">
        <v>74</v>
      </c>
      <c r="H234" s="27" t="s">
        <v>75</v>
      </c>
      <c r="I234" s="27" t="s">
        <v>76</v>
      </c>
      <c r="J234" s="27">
        <v>2</v>
      </c>
      <c r="K234" s="27" t="s">
        <v>77</v>
      </c>
      <c r="L234" s="27" t="s">
        <v>1981</v>
      </c>
      <c r="M234" s="26" t="s">
        <v>1982</v>
      </c>
      <c r="N234" s="27" t="s">
        <v>1983</v>
      </c>
      <c r="O234" s="26" t="s">
        <v>218</v>
      </c>
      <c r="P234" s="26" t="s">
        <v>219</v>
      </c>
      <c r="Q234" s="27" t="s">
        <v>199</v>
      </c>
      <c r="R234" s="27" t="s">
        <v>202</v>
      </c>
      <c r="S234" s="27" t="s">
        <v>201</v>
      </c>
      <c r="T234" s="27" t="s">
        <v>202</v>
      </c>
      <c r="U234" s="27" t="s">
        <v>202</v>
      </c>
      <c r="V234" s="27" t="s">
        <v>202</v>
      </c>
      <c r="W234" s="33" t="s">
        <v>1984</v>
      </c>
      <c r="X234" s="32" t="s">
        <v>1985</v>
      </c>
      <c r="Y234" s="27">
        <v>2500</v>
      </c>
      <c r="Z234" s="30" t="s">
        <v>100</v>
      </c>
      <c r="AA234" s="27">
        <v>100</v>
      </c>
      <c r="AB234" s="27">
        <v>0</v>
      </c>
      <c r="AC234" s="27" t="s">
        <v>1831</v>
      </c>
      <c r="AD234" s="27">
        <v>500</v>
      </c>
      <c r="AE234" s="26" t="s">
        <v>92</v>
      </c>
      <c r="AF234" s="27" t="s">
        <v>93</v>
      </c>
      <c r="AG234" s="106" t="s">
        <v>633</v>
      </c>
      <c r="AH234" s="34" t="s">
        <v>95</v>
      </c>
    </row>
    <row r="235" spans="2:34" ht="101.25" customHeight="1">
      <c r="B235" s="46">
        <f t="shared" si="3"/>
        <v>232</v>
      </c>
      <c r="C235" s="51" t="str">
        <f>"$"&amp;VLOOKUP(LEFT([1]!Table2[[#This Row],[Column2]],2),[1]Definitions!$B$51:$C$66,2,FALSE)&amp;MID([1]!Table2[[#This Row],[Column2]],3,3)&amp;RIGHT([1]!Table2[[#This Row],[Column2]],2)</f>
        <v>$C22500</v>
      </c>
      <c r="D235" s="26" t="s">
        <v>1986</v>
      </c>
      <c r="E235" s="26" t="s">
        <v>1987</v>
      </c>
      <c r="F235" s="52" t="s">
        <v>199</v>
      </c>
      <c r="G235" s="27" t="s">
        <v>74</v>
      </c>
      <c r="H235" s="27" t="s">
        <v>75</v>
      </c>
      <c r="I235" s="27" t="s">
        <v>76</v>
      </c>
      <c r="J235" s="27">
        <v>2</v>
      </c>
      <c r="K235" s="27" t="s">
        <v>77</v>
      </c>
      <c r="L235" s="27" t="s">
        <v>1981</v>
      </c>
      <c r="M235" s="26" t="s">
        <v>1988</v>
      </c>
      <c r="N235" s="27" t="s">
        <v>1989</v>
      </c>
      <c r="O235" s="26" t="s">
        <v>218</v>
      </c>
      <c r="P235" s="26" t="s">
        <v>219</v>
      </c>
      <c r="Q235" s="27" t="s">
        <v>199</v>
      </c>
      <c r="R235" s="27" t="s">
        <v>202</v>
      </c>
      <c r="S235" s="27" t="s">
        <v>201</v>
      </c>
      <c r="T235" s="27" t="s">
        <v>202</v>
      </c>
      <c r="U235" s="27" t="s">
        <v>202</v>
      </c>
      <c r="V235" s="27" t="s">
        <v>202</v>
      </c>
      <c r="W235" s="33" t="s">
        <v>1990</v>
      </c>
      <c r="X235" s="32" t="s">
        <v>1991</v>
      </c>
      <c r="Y235" s="27">
        <v>2500</v>
      </c>
      <c r="Z235" s="30" t="s">
        <v>100</v>
      </c>
      <c r="AA235" s="27">
        <v>100</v>
      </c>
      <c r="AB235" s="27">
        <v>0</v>
      </c>
      <c r="AC235" s="27" t="s">
        <v>674</v>
      </c>
      <c r="AD235" s="27">
        <v>500</v>
      </c>
      <c r="AE235" s="26" t="s">
        <v>92</v>
      </c>
      <c r="AF235" s="27" t="s">
        <v>93</v>
      </c>
      <c r="AG235" s="57" t="s">
        <v>633</v>
      </c>
      <c r="AH235" s="34" t="s">
        <v>95</v>
      </c>
    </row>
    <row r="236" spans="2:34" ht="90" customHeight="1">
      <c r="B236" s="46">
        <f t="shared" si="3"/>
        <v>233</v>
      </c>
      <c r="C236" s="32" t="str">
        <f>"$"&amp;VLOOKUP(LEFT([1]!Table2[[#This Row],[Column2]],2),[1]Definitions!$B$51:$C$66,2,FALSE)&amp;MID([1]!Table2[[#This Row],[Column2]],3,3)&amp;RIGHT([1]!Table2[[#This Row],[Column2]],2)</f>
        <v>$C23000</v>
      </c>
      <c r="D236" s="32" t="s">
        <v>1992</v>
      </c>
      <c r="E236" s="33" t="s">
        <v>1993</v>
      </c>
      <c r="F236" s="27" t="s">
        <v>199</v>
      </c>
      <c r="G236" s="54" t="s">
        <v>74</v>
      </c>
      <c r="H236" s="54" t="s">
        <v>75</v>
      </c>
      <c r="I236" s="54" t="s">
        <v>76</v>
      </c>
      <c r="J236" s="54">
        <v>2</v>
      </c>
      <c r="K236" s="27" t="s">
        <v>77</v>
      </c>
      <c r="L236" s="27" t="s">
        <v>255</v>
      </c>
      <c r="M236" s="49" t="s">
        <v>255</v>
      </c>
      <c r="N236" s="27" t="s">
        <v>76</v>
      </c>
      <c r="O236" s="26" t="s">
        <v>1994</v>
      </c>
      <c r="P236" s="26" t="s">
        <v>1995</v>
      </c>
      <c r="Q236" s="27" t="s">
        <v>199</v>
      </c>
      <c r="R236" s="54" t="s">
        <v>202</v>
      </c>
      <c r="S236" s="27" t="s">
        <v>201</v>
      </c>
      <c r="T236" s="54" t="s">
        <v>202</v>
      </c>
      <c r="U236" s="30" t="s">
        <v>202</v>
      </c>
      <c r="V236" s="30" t="s">
        <v>202</v>
      </c>
      <c r="W236" s="33" t="s">
        <v>1996</v>
      </c>
      <c r="X236" s="32" t="s">
        <v>1997</v>
      </c>
      <c r="Y236" s="27">
        <v>5000</v>
      </c>
      <c r="Z236" s="30" t="s">
        <v>100</v>
      </c>
      <c r="AA236" s="27">
        <v>100</v>
      </c>
      <c r="AB236" s="27">
        <v>0</v>
      </c>
      <c r="AC236" s="33" t="s">
        <v>1998</v>
      </c>
      <c r="AD236" s="27">
        <v>5000</v>
      </c>
      <c r="AE236" s="26" t="s">
        <v>92</v>
      </c>
      <c r="AF236" s="27" t="s">
        <v>93</v>
      </c>
      <c r="AG236" s="26" t="s">
        <v>763</v>
      </c>
      <c r="AH236" s="34" t="s">
        <v>95</v>
      </c>
    </row>
    <row r="237" spans="2:34" ht="236.25" customHeight="1">
      <c r="B237" s="46">
        <f t="shared" si="3"/>
        <v>234</v>
      </c>
      <c r="C237" s="51" t="str">
        <f>"$"&amp;VLOOKUP(LEFT([1]!Table2[[#This Row],[Column2]],2),[1]Definitions!$B$51:$C$66,2,FALSE)&amp;MID([1]!Table2[[#This Row],[Column2]],3,3)&amp;RIGHT([1]!Table2[[#This Row],[Column2]],2)</f>
        <v>$C23100</v>
      </c>
      <c r="D237" s="26" t="s">
        <v>1999</v>
      </c>
      <c r="E237" s="26" t="s">
        <v>2000</v>
      </c>
      <c r="F237" s="52" t="s">
        <v>199</v>
      </c>
      <c r="G237" s="27" t="s">
        <v>74</v>
      </c>
      <c r="H237" s="27" t="s">
        <v>75</v>
      </c>
      <c r="I237" s="27" t="s">
        <v>76</v>
      </c>
      <c r="J237" s="27">
        <v>2</v>
      </c>
      <c r="K237" s="27" t="s">
        <v>77</v>
      </c>
      <c r="L237" s="27" t="s">
        <v>2001</v>
      </c>
      <c r="M237" s="26" t="s">
        <v>2002</v>
      </c>
      <c r="N237" s="27" t="s">
        <v>2003</v>
      </c>
      <c r="O237" s="26" t="s">
        <v>218</v>
      </c>
      <c r="P237" s="26" t="s">
        <v>2004</v>
      </c>
      <c r="Q237" s="27" t="s">
        <v>199</v>
      </c>
      <c r="R237" s="27" t="s">
        <v>202</v>
      </c>
      <c r="S237" s="27" t="s">
        <v>201</v>
      </c>
      <c r="T237" s="68" t="s">
        <v>202</v>
      </c>
      <c r="U237" s="30" t="s">
        <v>202</v>
      </c>
      <c r="V237" s="30" t="s">
        <v>202</v>
      </c>
      <c r="W237" s="32" t="s">
        <v>2005</v>
      </c>
      <c r="X237" s="32" t="s">
        <v>2006</v>
      </c>
      <c r="Y237" s="27">
        <v>7500</v>
      </c>
      <c r="Z237" s="30" t="s">
        <v>100</v>
      </c>
      <c r="AA237" s="27">
        <v>100</v>
      </c>
      <c r="AB237" s="27">
        <v>0</v>
      </c>
      <c r="AC237" s="32" t="s">
        <v>2007</v>
      </c>
      <c r="AD237" s="27">
        <v>500</v>
      </c>
      <c r="AE237" s="33" t="s">
        <v>2008</v>
      </c>
      <c r="AF237" s="27" t="s">
        <v>93</v>
      </c>
      <c r="AG237" s="51" t="s">
        <v>633</v>
      </c>
      <c r="AH237" s="34" t="s">
        <v>208</v>
      </c>
    </row>
    <row r="238" spans="2:34" ht="101.25" customHeight="1">
      <c r="B238" s="46">
        <f t="shared" si="3"/>
        <v>235</v>
      </c>
      <c r="C238" s="25" t="str">
        <f>"$"&amp;VLOOKUP(LEFT([1]!Table2[[#This Row],[Column2]],2),[1]Definitions!$B$51:$C$66,2,FALSE)&amp;MID([1]!Table2[[#This Row],[Column2]],3,3)&amp;RIGHT([1]!Table2[[#This Row],[Column2]],2)</f>
        <v>$C23600</v>
      </c>
      <c r="D238" s="25" t="s">
        <v>2009</v>
      </c>
      <c r="E238" s="47" t="s">
        <v>2010</v>
      </c>
      <c r="F238" s="27" t="s">
        <v>227</v>
      </c>
      <c r="G238" s="48" t="s">
        <v>74</v>
      </c>
      <c r="H238" s="48" t="s">
        <v>75</v>
      </c>
      <c r="I238" s="48" t="s">
        <v>76</v>
      </c>
      <c r="J238" s="48">
        <v>2</v>
      </c>
      <c r="K238" s="27" t="s">
        <v>77</v>
      </c>
      <c r="L238" s="27" t="s">
        <v>2011</v>
      </c>
      <c r="M238" s="49" t="s">
        <v>2012</v>
      </c>
      <c r="N238" s="27" t="s">
        <v>76</v>
      </c>
      <c r="O238" s="26" t="s">
        <v>218</v>
      </c>
      <c r="P238" s="26" t="s">
        <v>219</v>
      </c>
      <c r="Q238" s="27" t="s">
        <v>199</v>
      </c>
      <c r="R238" s="48" t="s">
        <v>2013</v>
      </c>
      <c r="S238" s="27" t="s">
        <v>201</v>
      </c>
      <c r="T238" s="27" t="s">
        <v>76</v>
      </c>
      <c r="U238" s="30" t="s">
        <v>76</v>
      </c>
      <c r="V238" s="30" t="s">
        <v>76</v>
      </c>
      <c r="W238" s="33" t="s">
        <v>2014</v>
      </c>
      <c r="X238" s="51" t="s">
        <v>2015</v>
      </c>
      <c r="Y238" s="27">
        <v>2500</v>
      </c>
      <c r="Z238" s="30" t="s">
        <v>100</v>
      </c>
      <c r="AA238" s="27">
        <v>100</v>
      </c>
      <c r="AB238" s="27">
        <v>0</v>
      </c>
      <c r="AC238" s="27" t="s">
        <v>674</v>
      </c>
      <c r="AD238" s="27">
        <v>500</v>
      </c>
      <c r="AE238" s="26" t="s">
        <v>1135</v>
      </c>
      <c r="AF238" s="27" t="s">
        <v>93</v>
      </c>
      <c r="AG238" s="51" t="s">
        <v>185</v>
      </c>
      <c r="AH238" s="34" t="s">
        <v>95</v>
      </c>
    </row>
    <row r="239" spans="2:34" ht="101.25" customHeight="1">
      <c r="B239" s="46">
        <f t="shared" si="3"/>
        <v>236</v>
      </c>
      <c r="C239" s="90" t="str">
        <f>"$"&amp;VLOOKUP(LEFT([1]!Table2[[#This Row],[Column2]],2),[1]Definitions!$B$51:$C$66,2,FALSE)&amp;MID([1]!Table2[[#This Row],[Column2]],3,3)&amp;RIGHT([1]!Table2[[#This Row],[Column2]],2)</f>
        <v>$C24700</v>
      </c>
      <c r="D239" s="26" t="s">
        <v>2016</v>
      </c>
      <c r="E239" s="47" t="s">
        <v>2017</v>
      </c>
      <c r="F239" s="52" t="s">
        <v>199</v>
      </c>
      <c r="G239" s="48" t="s">
        <v>74</v>
      </c>
      <c r="H239" s="30" t="s">
        <v>75</v>
      </c>
      <c r="I239" s="30" t="s">
        <v>76</v>
      </c>
      <c r="J239" s="48">
        <v>2</v>
      </c>
      <c r="K239" s="27" t="s">
        <v>77</v>
      </c>
      <c r="L239" s="27" t="s">
        <v>2018</v>
      </c>
      <c r="M239" s="49" t="s">
        <v>2019</v>
      </c>
      <c r="N239" s="27" t="s">
        <v>76</v>
      </c>
      <c r="O239" s="26" t="s">
        <v>218</v>
      </c>
      <c r="P239" s="26" t="s">
        <v>219</v>
      </c>
      <c r="Q239" s="27" t="s">
        <v>199</v>
      </c>
      <c r="R239" s="30" t="s">
        <v>202</v>
      </c>
      <c r="S239" s="27" t="s">
        <v>201</v>
      </c>
      <c r="T239" s="30" t="s">
        <v>202</v>
      </c>
      <c r="U239" s="30" t="s">
        <v>202</v>
      </c>
      <c r="V239" s="30" t="s">
        <v>202</v>
      </c>
      <c r="W239" s="33" t="s">
        <v>2020</v>
      </c>
      <c r="X239" s="32" t="s">
        <v>2021</v>
      </c>
      <c r="Y239" s="27">
        <v>2500</v>
      </c>
      <c r="Z239" s="30" t="s">
        <v>100</v>
      </c>
      <c r="AA239" s="27">
        <v>100</v>
      </c>
      <c r="AB239" s="27">
        <v>0</v>
      </c>
      <c r="AC239" s="27" t="s">
        <v>674</v>
      </c>
      <c r="AD239" s="27">
        <v>2500</v>
      </c>
      <c r="AE239" s="26" t="s">
        <v>92</v>
      </c>
      <c r="AF239" s="27" t="s">
        <v>93</v>
      </c>
      <c r="AG239" s="51" t="s">
        <v>152</v>
      </c>
      <c r="AH239" s="34" t="s">
        <v>95</v>
      </c>
    </row>
    <row r="240" spans="2:34" ht="101.25" customHeight="1">
      <c r="B240" s="46">
        <f t="shared" si="3"/>
        <v>237</v>
      </c>
      <c r="C240" s="32" t="str">
        <f>"$"&amp;VLOOKUP(LEFT([1]!Table2[[#This Row],[Column2]],2),[1]Definitions!$B$51:$C$66,2,FALSE)&amp;MID([1]!Table2[[#This Row],[Column2]],3,3)&amp;RIGHT([1]!Table2[[#This Row],[Column2]],2)</f>
        <v>$C25500</v>
      </c>
      <c r="D240" s="32" t="s">
        <v>2022</v>
      </c>
      <c r="E240" s="33" t="s">
        <v>2023</v>
      </c>
      <c r="F240" s="27" t="s">
        <v>199</v>
      </c>
      <c r="G240" s="54" t="s">
        <v>74</v>
      </c>
      <c r="H240" s="54" t="s">
        <v>75</v>
      </c>
      <c r="I240" s="54" t="s">
        <v>76</v>
      </c>
      <c r="J240" s="54">
        <v>2</v>
      </c>
      <c r="K240" s="27" t="s">
        <v>77</v>
      </c>
      <c r="L240" s="27" t="s">
        <v>255</v>
      </c>
      <c r="M240" s="49" t="s">
        <v>255</v>
      </c>
      <c r="N240" s="27" t="s">
        <v>76</v>
      </c>
      <c r="O240" s="26" t="s">
        <v>2024</v>
      </c>
      <c r="P240" s="26" t="s">
        <v>2025</v>
      </c>
      <c r="Q240" s="27" t="s">
        <v>199</v>
      </c>
      <c r="R240" s="54" t="s">
        <v>202</v>
      </c>
      <c r="S240" s="27" t="s">
        <v>201</v>
      </c>
      <c r="T240" s="54" t="s">
        <v>202</v>
      </c>
      <c r="U240" s="30" t="s">
        <v>202</v>
      </c>
      <c r="V240" s="30" t="s">
        <v>202</v>
      </c>
      <c r="W240" s="33" t="s">
        <v>2026</v>
      </c>
      <c r="X240" s="51" t="s">
        <v>2027</v>
      </c>
      <c r="Y240" s="27">
        <v>5000</v>
      </c>
      <c r="Z240" s="30" t="s">
        <v>100</v>
      </c>
      <c r="AA240" s="27">
        <v>100</v>
      </c>
      <c r="AB240" s="27">
        <v>0</v>
      </c>
      <c r="AC240" s="51" t="s">
        <v>2028</v>
      </c>
      <c r="AD240" s="27">
        <v>5000</v>
      </c>
      <c r="AE240" s="26" t="s">
        <v>92</v>
      </c>
      <c r="AF240" s="27" t="s">
        <v>93</v>
      </c>
      <c r="AG240" s="26" t="s">
        <v>2029</v>
      </c>
      <c r="AH240" s="34" t="s">
        <v>95</v>
      </c>
    </row>
    <row r="241" spans="2:34" ht="90" customHeight="1">
      <c r="B241" s="46">
        <f t="shared" si="3"/>
        <v>238</v>
      </c>
      <c r="C241" s="32" t="str">
        <f>"$"&amp;VLOOKUP(LEFT([1]!Table2[[#This Row],[Column2]],2),[1]Definitions!$B$51:$C$66,2,FALSE)&amp;MID([1]!Table2[[#This Row],[Column2]],3,3)&amp;RIGHT([1]!Table2[[#This Row],[Column2]],2)</f>
        <v>$C27500</v>
      </c>
      <c r="D241" s="32" t="s">
        <v>2030</v>
      </c>
      <c r="E241" s="33" t="s">
        <v>2031</v>
      </c>
      <c r="F241" s="27" t="s">
        <v>199</v>
      </c>
      <c r="G241" s="54" t="s">
        <v>74</v>
      </c>
      <c r="H241" s="54" t="s">
        <v>75</v>
      </c>
      <c r="I241" s="54" t="s">
        <v>76</v>
      </c>
      <c r="J241" s="54">
        <v>2</v>
      </c>
      <c r="K241" s="27" t="s">
        <v>77</v>
      </c>
      <c r="L241" s="27" t="s">
        <v>255</v>
      </c>
      <c r="M241" s="49" t="s">
        <v>255</v>
      </c>
      <c r="N241" s="27" t="s">
        <v>1198</v>
      </c>
      <c r="O241" s="26" t="s">
        <v>2032</v>
      </c>
      <c r="P241" s="26" t="s">
        <v>2033</v>
      </c>
      <c r="Q241" s="27" t="s">
        <v>199</v>
      </c>
      <c r="R241" s="54" t="s">
        <v>202</v>
      </c>
      <c r="S241" s="27" t="s">
        <v>201</v>
      </c>
      <c r="T241" s="54" t="s">
        <v>202</v>
      </c>
      <c r="U241" s="30" t="s">
        <v>202</v>
      </c>
      <c r="V241" s="30" t="s">
        <v>202</v>
      </c>
      <c r="W241" s="33" t="s">
        <v>2034</v>
      </c>
      <c r="X241" s="107" t="s">
        <v>2035</v>
      </c>
      <c r="Y241" s="27">
        <v>5000</v>
      </c>
      <c r="Z241" s="30" t="s">
        <v>100</v>
      </c>
      <c r="AA241" s="27">
        <v>100</v>
      </c>
      <c r="AB241" s="27">
        <v>0</v>
      </c>
      <c r="AC241" s="26" t="s">
        <v>2036</v>
      </c>
      <c r="AD241" s="27">
        <v>5000</v>
      </c>
      <c r="AE241" s="26" t="s">
        <v>92</v>
      </c>
      <c r="AF241" s="27" t="s">
        <v>93</v>
      </c>
      <c r="AG241" s="26" t="s">
        <v>2037</v>
      </c>
      <c r="AH241" s="34" t="s">
        <v>95</v>
      </c>
    </row>
    <row r="242" spans="2:34" ht="101.25" customHeight="1">
      <c r="B242" s="46">
        <f t="shared" si="3"/>
        <v>239</v>
      </c>
      <c r="C242" s="90" t="str">
        <f>"$"&amp;VLOOKUP(LEFT([1]!Table2[[#This Row],[Column2]],2),[1]Definitions!$B$51:$C$66,2,FALSE)&amp;MID([1]!Table2[[#This Row],[Column2]],3,3)&amp;RIGHT([1]!Table2[[#This Row],[Column2]],2)</f>
        <v>$C2B300</v>
      </c>
      <c r="D242" s="25" t="s">
        <v>2038</v>
      </c>
      <c r="E242" s="47" t="s">
        <v>2039</v>
      </c>
      <c r="F242" s="52" t="s">
        <v>199</v>
      </c>
      <c r="G242" s="48" t="s">
        <v>74</v>
      </c>
      <c r="H242" s="30" t="s">
        <v>75</v>
      </c>
      <c r="I242" s="30" t="s">
        <v>76</v>
      </c>
      <c r="J242" s="48">
        <v>2</v>
      </c>
      <c r="K242" s="27" t="s">
        <v>77</v>
      </c>
      <c r="L242" s="27" t="s">
        <v>712</v>
      </c>
      <c r="M242" s="26" t="s">
        <v>712</v>
      </c>
      <c r="N242" s="27" t="s">
        <v>76</v>
      </c>
      <c r="O242" s="26" t="s">
        <v>218</v>
      </c>
      <c r="P242" s="26" t="s">
        <v>219</v>
      </c>
      <c r="Q242" s="27" t="s">
        <v>199</v>
      </c>
      <c r="R242" s="30" t="s">
        <v>202</v>
      </c>
      <c r="S242" s="27" t="s">
        <v>201</v>
      </c>
      <c r="T242" s="30" t="s">
        <v>202</v>
      </c>
      <c r="U242" s="30" t="s">
        <v>202</v>
      </c>
      <c r="V242" s="30" t="s">
        <v>202</v>
      </c>
      <c r="W242" s="33" t="s">
        <v>2040</v>
      </c>
      <c r="X242" s="51" t="s">
        <v>2041</v>
      </c>
      <c r="Y242" s="27">
        <v>5000</v>
      </c>
      <c r="Z242" s="30" t="s">
        <v>100</v>
      </c>
      <c r="AA242" s="27">
        <v>100</v>
      </c>
      <c r="AB242" s="27">
        <v>0</v>
      </c>
      <c r="AC242" s="27" t="s">
        <v>674</v>
      </c>
      <c r="AD242" s="27">
        <v>5000</v>
      </c>
      <c r="AE242" s="26" t="s">
        <v>92</v>
      </c>
      <c r="AF242" s="27" t="s">
        <v>93</v>
      </c>
      <c r="AG242" s="51" t="s">
        <v>2042</v>
      </c>
      <c r="AH242" s="34" t="s">
        <v>95</v>
      </c>
    </row>
    <row r="243" spans="2:34" ht="101.25" customHeight="1">
      <c r="B243" s="46">
        <f t="shared" si="3"/>
        <v>240</v>
      </c>
      <c r="C243" s="32" t="str">
        <f>"$"&amp;VLOOKUP(LEFT([1]!Table2[[#This Row],[Column2]],2),[1]Definitions!$B$51:$C$66,2,FALSE)&amp;MID([1]!Table2[[#This Row],[Column2]],3,3)&amp;RIGHT([1]!Table2[[#This Row],[Column2]],2)</f>
        <v>$C2B400</v>
      </c>
      <c r="D243" s="32" t="s">
        <v>2043</v>
      </c>
      <c r="E243" s="33" t="s">
        <v>2044</v>
      </c>
      <c r="F243" s="27" t="s">
        <v>199</v>
      </c>
      <c r="G243" s="54" t="s">
        <v>74</v>
      </c>
      <c r="H243" s="54" t="s">
        <v>75</v>
      </c>
      <c r="I243" s="54" t="s">
        <v>76</v>
      </c>
      <c r="J243" s="54">
        <v>2</v>
      </c>
      <c r="K243" s="27" t="s">
        <v>77</v>
      </c>
      <c r="L243" s="27" t="s">
        <v>255</v>
      </c>
      <c r="M243" s="49" t="s">
        <v>255</v>
      </c>
      <c r="N243" s="27" t="s">
        <v>76</v>
      </c>
      <c r="O243" s="26" t="s">
        <v>218</v>
      </c>
      <c r="P243" s="26" t="s">
        <v>219</v>
      </c>
      <c r="Q243" s="27" t="s">
        <v>199</v>
      </c>
      <c r="R243" s="54" t="s">
        <v>202</v>
      </c>
      <c r="S243" s="27" t="s">
        <v>201</v>
      </c>
      <c r="T243" s="54" t="s">
        <v>202</v>
      </c>
      <c r="U243" s="30" t="s">
        <v>202</v>
      </c>
      <c r="V243" s="30" t="s">
        <v>202</v>
      </c>
      <c r="W243" s="33" t="s">
        <v>2045</v>
      </c>
      <c r="X243" s="51" t="s">
        <v>2046</v>
      </c>
      <c r="Y243" s="27">
        <v>5000</v>
      </c>
      <c r="Z243" s="30" t="s">
        <v>100</v>
      </c>
      <c r="AA243" s="27">
        <v>100</v>
      </c>
      <c r="AB243" s="27">
        <v>0</v>
      </c>
      <c r="AC243" s="26" t="s">
        <v>251</v>
      </c>
      <c r="AD243" s="27">
        <v>5000</v>
      </c>
      <c r="AE243" s="26" t="s">
        <v>92</v>
      </c>
      <c r="AF243" s="27" t="s">
        <v>93</v>
      </c>
      <c r="AG243" s="26" t="s">
        <v>2047</v>
      </c>
      <c r="AH243" s="34" t="s">
        <v>95</v>
      </c>
    </row>
    <row r="244" spans="2:34" ht="101.25" customHeight="1">
      <c r="B244" s="46">
        <f t="shared" si="3"/>
        <v>241</v>
      </c>
      <c r="C244" s="90" t="str">
        <f>"$"&amp;VLOOKUP(LEFT([1]!Table2[[#This Row],[Column2]],2),[1]Definitions!$B$51:$C$66,2,FALSE)&amp;MID([1]!Table2[[#This Row],[Column2]],3,3)&amp;RIGHT([1]!Table2[[#This Row],[Column2]],2)</f>
        <v>$C2BC00</v>
      </c>
      <c r="D244" s="47" t="s">
        <v>2048</v>
      </c>
      <c r="E244" s="47" t="s">
        <v>2049</v>
      </c>
      <c r="F244" s="52" t="s">
        <v>199</v>
      </c>
      <c r="G244" s="48" t="s">
        <v>74</v>
      </c>
      <c r="H244" s="30" t="s">
        <v>75</v>
      </c>
      <c r="I244" s="30" t="s">
        <v>76</v>
      </c>
      <c r="J244" s="48">
        <v>2</v>
      </c>
      <c r="K244" s="27" t="s">
        <v>77</v>
      </c>
      <c r="L244" s="27" t="s">
        <v>712</v>
      </c>
      <c r="M244" s="26" t="s">
        <v>712</v>
      </c>
      <c r="N244" s="27" t="s">
        <v>76</v>
      </c>
      <c r="O244" s="26" t="s">
        <v>218</v>
      </c>
      <c r="P244" s="26" t="s">
        <v>219</v>
      </c>
      <c r="Q244" s="27" t="s">
        <v>199</v>
      </c>
      <c r="R244" s="30" t="s">
        <v>202</v>
      </c>
      <c r="S244" s="27" t="s">
        <v>201</v>
      </c>
      <c r="T244" s="30" t="s">
        <v>202</v>
      </c>
      <c r="U244" s="30" t="s">
        <v>202</v>
      </c>
      <c r="V244" s="30" t="s">
        <v>202</v>
      </c>
      <c r="W244" s="33" t="s">
        <v>2050</v>
      </c>
      <c r="X244" s="51" t="s">
        <v>2051</v>
      </c>
      <c r="Y244" s="27">
        <v>5000</v>
      </c>
      <c r="Z244" s="30" t="s">
        <v>100</v>
      </c>
      <c r="AA244" s="27">
        <v>100</v>
      </c>
      <c r="AB244" s="27">
        <v>0</v>
      </c>
      <c r="AC244" s="27" t="s">
        <v>674</v>
      </c>
      <c r="AD244" s="27">
        <v>5000</v>
      </c>
      <c r="AE244" s="26" t="s">
        <v>92</v>
      </c>
      <c r="AF244" s="27" t="s">
        <v>93</v>
      </c>
      <c r="AG244" s="51" t="s">
        <v>207</v>
      </c>
      <c r="AH244" s="34" t="s">
        <v>95</v>
      </c>
    </row>
    <row r="245" spans="2:34" ht="112.5" customHeight="1">
      <c r="B245" s="46">
        <f t="shared" si="3"/>
        <v>242</v>
      </c>
      <c r="C245" s="25" t="str">
        <f>"$"&amp;VLOOKUP(LEFT([1]!Table2[[#This Row],[Column2]],2),[1]Definitions!$B$51:$C$66,2,FALSE)&amp;MID([1]!Table2[[#This Row],[Column2]],3,3)&amp;RIGHT([1]!Table2[[#This Row],[Column2]],2)</f>
        <v>$C2BD00</v>
      </c>
      <c r="D245" s="25" t="s">
        <v>2052</v>
      </c>
      <c r="E245" s="47" t="s">
        <v>2053</v>
      </c>
      <c r="F245" s="27" t="s">
        <v>199</v>
      </c>
      <c r="G245" s="52" t="s">
        <v>74</v>
      </c>
      <c r="H245" s="52" t="s">
        <v>75</v>
      </c>
      <c r="I245" s="52" t="s">
        <v>76</v>
      </c>
      <c r="J245" s="52">
        <v>2</v>
      </c>
      <c r="K245" s="27" t="s">
        <v>77</v>
      </c>
      <c r="L245" s="27" t="s">
        <v>2054</v>
      </c>
      <c r="M245" s="49" t="s">
        <v>2055</v>
      </c>
      <c r="N245" s="27" t="s">
        <v>76</v>
      </c>
      <c r="O245" s="26" t="s">
        <v>218</v>
      </c>
      <c r="P245" s="26" t="s">
        <v>219</v>
      </c>
      <c r="Q245" s="27" t="s">
        <v>199</v>
      </c>
      <c r="R245" s="52" t="s">
        <v>201</v>
      </c>
      <c r="S245" s="27" t="s">
        <v>202</v>
      </c>
      <c r="T245" s="52" t="s">
        <v>202</v>
      </c>
      <c r="U245" s="30" t="s">
        <v>202</v>
      </c>
      <c r="V245" s="30" t="s">
        <v>202</v>
      </c>
      <c r="W245" s="33" t="s">
        <v>2056</v>
      </c>
      <c r="X245" s="51" t="s">
        <v>2057</v>
      </c>
      <c r="Y245" s="27">
        <v>5000</v>
      </c>
      <c r="Z245" s="30" t="s">
        <v>100</v>
      </c>
      <c r="AA245" s="27">
        <v>100</v>
      </c>
      <c r="AB245" s="27">
        <v>0</v>
      </c>
      <c r="AC245" s="26" t="s">
        <v>674</v>
      </c>
      <c r="AD245" s="27">
        <v>5000</v>
      </c>
      <c r="AE245" s="26" t="s">
        <v>2058</v>
      </c>
      <c r="AF245" s="27" t="s">
        <v>93</v>
      </c>
      <c r="AG245" s="56" t="s">
        <v>921</v>
      </c>
      <c r="AH245" s="34" t="s">
        <v>208</v>
      </c>
    </row>
    <row r="246" spans="2:34" ht="78.75" customHeight="1">
      <c r="B246" s="46">
        <f t="shared" si="3"/>
        <v>243</v>
      </c>
      <c r="C246" s="32" t="str">
        <f>"$"&amp;VLOOKUP(LEFT([1]!Table2[[#This Row],[Column2]],2),[1]Definitions!$B$51:$C$66,2,FALSE)&amp;MID([1]!Table2[[#This Row],[Column2]],3,3)&amp;RIGHT([1]!Table2[[#This Row],[Column2]],2)</f>
        <v>$C2BF00</v>
      </c>
      <c r="D246" s="32" t="s">
        <v>2059</v>
      </c>
      <c r="E246" s="33" t="s">
        <v>2060</v>
      </c>
      <c r="F246" s="27" t="s">
        <v>199</v>
      </c>
      <c r="G246" s="54" t="s">
        <v>74</v>
      </c>
      <c r="H246" s="54" t="s">
        <v>75</v>
      </c>
      <c r="I246" s="54" t="s">
        <v>76</v>
      </c>
      <c r="J246" s="54">
        <v>2</v>
      </c>
      <c r="K246" s="27" t="s">
        <v>77</v>
      </c>
      <c r="L246" s="27" t="s">
        <v>255</v>
      </c>
      <c r="M246" s="49" t="s">
        <v>255</v>
      </c>
      <c r="N246" s="27" t="s">
        <v>1198</v>
      </c>
      <c r="O246" s="26" t="s">
        <v>2061</v>
      </c>
      <c r="P246" s="26" t="s">
        <v>2062</v>
      </c>
      <c r="Q246" s="27" t="s">
        <v>199</v>
      </c>
      <c r="R246" s="54" t="s">
        <v>202</v>
      </c>
      <c r="S246" s="27" t="s">
        <v>201</v>
      </c>
      <c r="T246" s="54" t="s">
        <v>202</v>
      </c>
      <c r="U246" s="30" t="s">
        <v>202</v>
      </c>
      <c r="V246" s="30" t="s">
        <v>202</v>
      </c>
      <c r="W246" s="33" t="s">
        <v>2063</v>
      </c>
      <c r="X246" s="51" t="s">
        <v>2064</v>
      </c>
      <c r="Y246" s="27">
        <v>3500</v>
      </c>
      <c r="Z246" s="30" t="s">
        <v>100</v>
      </c>
      <c r="AA246" s="27">
        <v>100</v>
      </c>
      <c r="AB246" s="27">
        <v>0</v>
      </c>
      <c r="AC246" s="26" t="s">
        <v>674</v>
      </c>
      <c r="AD246" s="27">
        <v>2500</v>
      </c>
      <c r="AE246" s="26" t="s">
        <v>92</v>
      </c>
      <c r="AF246" s="27" t="s">
        <v>93</v>
      </c>
      <c r="AG246" s="26" t="s">
        <v>894</v>
      </c>
      <c r="AH246" s="34" t="s">
        <v>95</v>
      </c>
    </row>
    <row r="247" spans="2:34" ht="101.25" customHeight="1">
      <c r="B247" s="46">
        <f t="shared" si="3"/>
        <v>244</v>
      </c>
      <c r="C247" s="32" t="str">
        <f>"$"&amp;VLOOKUP(LEFT([1]!Table2[[#This Row],[Column2]],2),[1]Definitions!$B$51:$C$66,2,FALSE)&amp;MID([1]!Table2[[#This Row],[Column2]],3,3)&amp;RIGHT([1]!Table2[[#This Row],[Column2]],2)</f>
        <v>$C40100</v>
      </c>
      <c r="D247" s="32" t="s">
        <v>2065</v>
      </c>
      <c r="E247" s="33" t="s">
        <v>2066</v>
      </c>
      <c r="F247" s="27" t="s">
        <v>199</v>
      </c>
      <c r="G247" s="54" t="s">
        <v>74</v>
      </c>
      <c r="H247" s="54" t="s">
        <v>75</v>
      </c>
      <c r="I247" s="54" t="s">
        <v>76</v>
      </c>
      <c r="J247" s="54">
        <v>2</v>
      </c>
      <c r="K247" s="27" t="s">
        <v>77</v>
      </c>
      <c r="L247" s="27" t="s">
        <v>2067</v>
      </c>
      <c r="M247" s="49" t="s">
        <v>2068</v>
      </c>
      <c r="N247" s="27" t="s">
        <v>2069</v>
      </c>
      <c r="O247" s="26" t="s">
        <v>2070</v>
      </c>
      <c r="P247" s="26" t="s">
        <v>2071</v>
      </c>
      <c r="Q247" s="27" t="s">
        <v>199</v>
      </c>
      <c r="R247" s="54" t="s">
        <v>202</v>
      </c>
      <c r="S247" s="27" t="s">
        <v>201</v>
      </c>
      <c r="T247" s="54" t="s">
        <v>202</v>
      </c>
      <c r="U247" s="30" t="s">
        <v>202</v>
      </c>
      <c r="V247" s="30" t="s">
        <v>202</v>
      </c>
      <c r="W247" s="33" t="s">
        <v>2072</v>
      </c>
      <c r="X247" s="51" t="s">
        <v>2073</v>
      </c>
      <c r="Y247" s="27">
        <v>5000</v>
      </c>
      <c r="Z247" s="30" t="s">
        <v>100</v>
      </c>
      <c r="AA247" s="27">
        <v>100</v>
      </c>
      <c r="AB247" s="27">
        <v>0</v>
      </c>
      <c r="AC247" s="107" t="s">
        <v>2074</v>
      </c>
      <c r="AD247" s="27">
        <v>5000</v>
      </c>
      <c r="AE247" s="33" t="s">
        <v>2075</v>
      </c>
      <c r="AF247" s="27" t="s">
        <v>93</v>
      </c>
      <c r="AG247" s="26" t="s">
        <v>1823</v>
      </c>
      <c r="AH247" s="34" t="s">
        <v>208</v>
      </c>
    </row>
    <row r="248" spans="2:34" ht="90" customHeight="1">
      <c r="B248" s="46">
        <f t="shared" si="3"/>
        <v>245</v>
      </c>
      <c r="C248" s="32" t="str">
        <f>"$"&amp;VLOOKUP(LEFT([1]!Table2[[#This Row],[Column2]],2),[1]Definitions!$B$51:$C$66,2,FALSE)&amp;MID([1]!Table2[[#This Row],[Column2]],3,3)&amp;RIGHT([1]!Table2[[#This Row],[Column2]],2)</f>
        <v>$C40300</v>
      </c>
      <c r="D248" s="32" t="s">
        <v>2076</v>
      </c>
      <c r="E248" s="33" t="s">
        <v>2077</v>
      </c>
      <c r="F248" s="27" t="s">
        <v>199</v>
      </c>
      <c r="G248" s="54" t="s">
        <v>74</v>
      </c>
      <c r="H248" s="54" t="s">
        <v>75</v>
      </c>
      <c r="I248" s="54" t="s">
        <v>76</v>
      </c>
      <c r="J248" s="54">
        <v>2</v>
      </c>
      <c r="K248" s="27" t="s">
        <v>77</v>
      </c>
      <c r="L248" s="27" t="s">
        <v>255</v>
      </c>
      <c r="M248" s="49" t="s">
        <v>255</v>
      </c>
      <c r="N248" s="27" t="s">
        <v>76</v>
      </c>
      <c r="O248" s="26" t="s">
        <v>2078</v>
      </c>
      <c r="P248" s="26" t="s">
        <v>2079</v>
      </c>
      <c r="Q248" s="27" t="s">
        <v>199</v>
      </c>
      <c r="R248" s="54" t="s">
        <v>202</v>
      </c>
      <c r="S248" s="27" t="s">
        <v>201</v>
      </c>
      <c r="T248" s="54" t="s">
        <v>202</v>
      </c>
      <c r="U248" s="30" t="s">
        <v>202</v>
      </c>
      <c r="V248" s="30" t="s">
        <v>202</v>
      </c>
      <c r="W248" s="33" t="s">
        <v>2080</v>
      </c>
      <c r="X248" s="32" t="s">
        <v>2081</v>
      </c>
      <c r="Y248" s="27">
        <v>5000</v>
      </c>
      <c r="Z248" s="30" t="s">
        <v>100</v>
      </c>
      <c r="AA248" s="27">
        <v>100</v>
      </c>
      <c r="AB248" s="27">
        <v>0</v>
      </c>
      <c r="AC248" s="33" t="s">
        <v>2082</v>
      </c>
      <c r="AD248" s="27">
        <v>5000</v>
      </c>
      <c r="AE248" s="26" t="s">
        <v>92</v>
      </c>
      <c r="AF248" s="27" t="s">
        <v>93</v>
      </c>
      <c r="AG248" s="33" t="s">
        <v>2083</v>
      </c>
      <c r="AH248" s="34" t="s">
        <v>95</v>
      </c>
    </row>
    <row r="249" spans="2:34" ht="157.5" customHeight="1">
      <c r="B249" s="46">
        <f t="shared" si="3"/>
        <v>246</v>
      </c>
      <c r="C249" s="108" t="str">
        <f>"$"&amp;VLOOKUP(LEFT([1]!Table2[[#This Row],[Column2]],2),[1]Definitions!$B$51:$C$66,2,FALSE)&amp;MID([1]!Table2[[#This Row],[Column2]],3,3)&amp;RIGHT([1]!Table2[[#This Row],[Column2]],2)</f>
        <v>$C41800</v>
      </c>
      <c r="D249" s="72" t="s">
        <v>2084</v>
      </c>
      <c r="E249" s="33" t="s">
        <v>2085</v>
      </c>
      <c r="F249" s="27" t="s">
        <v>227</v>
      </c>
      <c r="G249" s="27" t="s">
        <v>74</v>
      </c>
      <c r="H249" s="27" t="s">
        <v>75</v>
      </c>
      <c r="I249" s="27" t="s">
        <v>76</v>
      </c>
      <c r="J249" s="27">
        <v>2</v>
      </c>
      <c r="K249" s="27" t="s">
        <v>77</v>
      </c>
      <c r="L249" s="73" t="s">
        <v>2086</v>
      </c>
      <c r="M249" s="49" t="s">
        <v>2087</v>
      </c>
      <c r="N249" s="27" t="s">
        <v>76</v>
      </c>
      <c r="O249" s="26" t="s">
        <v>2088</v>
      </c>
      <c r="P249" s="26" t="s">
        <v>2089</v>
      </c>
      <c r="Q249" s="27" t="s">
        <v>199</v>
      </c>
      <c r="R249" s="27" t="s">
        <v>202</v>
      </c>
      <c r="S249" s="27" t="s">
        <v>201</v>
      </c>
      <c r="T249" s="27" t="s">
        <v>202</v>
      </c>
      <c r="U249" s="30" t="s">
        <v>202</v>
      </c>
      <c r="V249" s="30" t="s">
        <v>202</v>
      </c>
      <c r="W249" s="33" t="s">
        <v>1828</v>
      </c>
      <c r="X249" s="32" t="s">
        <v>2090</v>
      </c>
      <c r="Y249" s="27">
        <v>2500</v>
      </c>
      <c r="Z249" s="30" t="s">
        <v>100</v>
      </c>
      <c r="AA249" s="27">
        <v>500</v>
      </c>
      <c r="AB249" s="27">
        <v>0</v>
      </c>
      <c r="AC249" s="32" t="s">
        <v>2091</v>
      </c>
      <c r="AD249" s="27">
        <v>1000</v>
      </c>
      <c r="AE249" s="33" t="s">
        <v>2092</v>
      </c>
      <c r="AF249" s="27" t="s">
        <v>93</v>
      </c>
      <c r="AG249" s="32" t="s">
        <v>2093</v>
      </c>
      <c r="AH249" s="34" t="s">
        <v>208</v>
      </c>
    </row>
    <row r="250" spans="2:34" ht="90" customHeight="1">
      <c r="B250" s="46">
        <f t="shared" si="3"/>
        <v>247</v>
      </c>
      <c r="C250" s="25" t="str">
        <f>"$"&amp;VLOOKUP(LEFT([1]!Table2[[#This Row],[Column2]],2),[1]Definitions!$B$51:$C$66,2,FALSE)&amp;MID([1]!Table2[[#This Row],[Column2]],3,3)&amp;RIGHT([1]!Table2[[#This Row],[Column2]],2)</f>
        <v>$C42000</v>
      </c>
      <c r="D250" s="25" t="s">
        <v>2094</v>
      </c>
      <c r="E250" s="26" t="s">
        <v>2095</v>
      </c>
      <c r="F250" s="27" t="s">
        <v>199</v>
      </c>
      <c r="G250" s="54" t="s">
        <v>74</v>
      </c>
      <c r="H250" s="54" t="s">
        <v>75</v>
      </c>
      <c r="I250" s="54" t="s">
        <v>76</v>
      </c>
      <c r="J250" s="54">
        <v>2</v>
      </c>
      <c r="K250" s="27" t="s">
        <v>77</v>
      </c>
      <c r="L250" s="27" t="s">
        <v>2096</v>
      </c>
      <c r="M250" s="49" t="s">
        <v>2096</v>
      </c>
      <c r="N250" s="27" t="s">
        <v>2097</v>
      </c>
      <c r="O250" s="26" t="s">
        <v>2098</v>
      </c>
      <c r="P250" s="26" t="s">
        <v>2099</v>
      </c>
      <c r="Q250" s="27" t="s">
        <v>199</v>
      </c>
      <c r="R250" s="52" t="s">
        <v>202</v>
      </c>
      <c r="S250" s="27" t="s">
        <v>201</v>
      </c>
      <c r="T250" s="52" t="s">
        <v>202</v>
      </c>
      <c r="U250" s="30" t="s">
        <v>202</v>
      </c>
      <c r="V250" s="30" t="s">
        <v>202</v>
      </c>
      <c r="W250" s="32" t="s">
        <v>2100</v>
      </c>
      <c r="X250" s="51" t="s">
        <v>2101</v>
      </c>
      <c r="Y250" s="27">
        <v>5000</v>
      </c>
      <c r="Z250" s="30" t="s">
        <v>100</v>
      </c>
      <c r="AA250" s="27">
        <v>100</v>
      </c>
      <c r="AB250" s="27">
        <v>0</v>
      </c>
      <c r="AC250" s="26" t="s">
        <v>2102</v>
      </c>
      <c r="AD250" s="27">
        <v>5000</v>
      </c>
      <c r="AE250" s="26" t="s">
        <v>92</v>
      </c>
      <c r="AF250" s="27" t="s">
        <v>93</v>
      </c>
      <c r="AG250" s="51" t="s">
        <v>2103</v>
      </c>
      <c r="AH250" s="34" t="s">
        <v>95</v>
      </c>
    </row>
    <row r="251" spans="2:34" ht="90" customHeight="1">
      <c r="B251" s="46">
        <f t="shared" si="3"/>
        <v>248</v>
      </c>
      <c r="C251" s="25" t="str">
        <f>"$"&amp;VLOOKUP(LEFT([1]!Table2[[#This Row],[Column2]],2),[1]Definitions!$B$51:$C$66,2,FALSE)&amp;MID([1]!Table2[[#This Row],[Column2]],3,3)&amp;RIGHT([1]!Table2[[#This Row],[Column2]],2)</f>
        <v>$C42300</v>
      </c>
      <c r="D251" s="32" t="s">
        <v>2104</v>
      </c>
      <c r="E251" s="33" t="s">
        <v>2105</v>
      </c>
      <c r="F251" s="27" t="s">
        <v>199</v>
      </c>
      <c r="G251" s="54" t="s">
        <v>74</v>
      </c>
      <c r="H251" s="54" t="s">
        <v>75</v>
      </c>
      <c r="I251" s="54" t="s">
        <v>76</v>
      </c>
      <c r="J251" s="54">
        <v>2</v>
      </c>
      <c r="K251" s="27" t="s">
        <v>77</v>
      </c>
      <c r="L251" s="27" t="s">
        <v>255</v>
      </c>
      <c r="M251" s="49" t="s">
        <v>255</v>
      </c>
      <c r="N251" s="27" t="s">
        <v>2106</v>
      </c>
      <c r="O251" s="26" t="s">
        <v>2107</v>
      </c>
      <c r="P251" s="26" t="s">
        <v>2108</v>
      </c>
      <c r="Q251" s="27" t="s">
        <v>199</v>
      </c>
      <c r="R251" s="54" t="s">
        <v>202</v>
      </c>
      <c r="S251" s="27" t="s">
        <v>201</v>
      </c>
      <c r="T251" s="54" t="s">
        <v>202</v>
      </c>
      <c r="U251" s="30" t="s">
        <v>202</v>
      </c>
      <c r="V251" s="30" t="s">
        <v>202</v>
      </c>
      <c r="W251" s="33" t="s">
        <v>2109</v>
      </c>
      <c r="X251" s="32" t="s">
        <v>2110</v>
      </c>
      <c r="Y251" s="27">
        <v>5000</v>
      </c>
      <c r="Z251" s="30" t="s">
        <v>100</v>
      </c>
      <c r="AA251" s="27">
        <v>100</v>
      </c>
      <c r="AB251" s="27">
        <v>0</v>
      </c>
      <c r="AC251" s="32" t="s">
        <v>2111</v>
      </c>
      <c r="AD251" s="27">
        <v>5000</v>
      </c>
      <c r="AE251" s="26" t="s">
        <v>92</v>
      </c>
      <c r="AF251" s="27" t="s">
        <v>93</v>
      </c>
      <c r="AG251" s="55" t="s">
        <v>2112</v>
      </c>
      <c r="AH251" s="34" t="s">
        <v>95</v>
      </c>
    </row>
    <row r="252" spans="2:34" ht="101.25" customHeight="1">
      <c r="B252" s="46">
        <f t="shared" si="3"/>
        <v>249</v>
      </c>
      <c r="C252" s="32" t="str">
        <f>"$"&amp;VLOOKUP(LEFT([1]!Table2[[#This Row],[Column2]],2),[1]Definitions!$B$51:$C$66,2,FALSE)&amp;MID([1]!Table2[[#This Row],[Column2]],3,3)&amp;RIGHT([1]!Table2[[#This Row],[Column2]],2)</f>
        <v>$C42400</v>
      </c>
      <c r="D252" s="32" t="s">
        <v>2113</v>
      </c>
      <c r="E252" s="33" t="s">
        <v>2114</v>
      </c>
      <c r="F252" s="27" t="s">
        <v>199</v>
      </c>
      <c r="G252" s="54" t="s">
        <v>74</v>
      </c>
      <c r="H252" s="54" t="s">
        <v>75</v>
      </c>
      <c r="I252" s="54" t="s">
        <v>76</v>
      </c>
      <c r="J252" s="54">
        <v>2</v>
      </c>
      <c r="K252" s="27" t="s">
        <v>77</v>
      </c>
      <c r="L252" s="27" t="s">
        <v>255</v>
      </c>
      <c r="M252" s="49" t="s">
        <v>255</v>
      </c>
      <c r="N252" s="27" t="s">
        <v>76</v>
      </c>
      <c r="O252" s="26" t="s">
        <v>1222</v>
      </c>
      <c r="P252" s="26" t="s">
        <v>1223</v>
      </c>
      <c r="Q252" s="27" t="s">
        <v>199</v>
      </c>
      <c r="R252" s="54" t="s">
        <v>202</v>
      </c>
      <c r="S252" s="27" t="s">
        <v>201</v>
      </c>
      <c r="T252" s="54" t="s">
        <v>202</v>
      </c>
      <c r="U252" s="30" t="s">
        <v>202</v>
      </c>
      <c r="V252" s="30" t="s">
        <v>202</v>
      </c>
      <c r="W252" s="33" t="s">
        <v>2115</v>
      </c>
      <c r="X252" s="51" t="s">
        <v>2116</v>
      </c>
      <c r="Y252" s="27">
        <v>5000</v>
      </c>
      <c r="Z252" s="30" t="s">
        <v>100</v>
      </c>
      <c r="AA252" s="27">
        <v>100</v>
      </c>
      <c r="AB252" s="27">
        <v>0</v>
      </c>
      <c r="AC252" s="26" t="s">
        <v>2117</v>
      </c>
      <c r="AD252" s="27">
        <v>5000</v>
      </c>
      <c r="AE252" s="26" t="s">
        <v>92</v>
      </c>
      <c r="AF252" s="27" t="s">
        <v>93</v>
      </c>
      <c r="AG252" s="26" t="s">
        <v>649</v>
      </c>
      <c r="AH252" s="34" t="s">
        <v>95</v>
      </c>
    </row>
    <row r="253" spans="2:34" ht="90" customHeight="1">
      <c r="B253" s="46">
        <f t="shared" si="3"/>
        <v>250</v>
      </c>
      <c r="C253" s="32" t="str">
        <f>"$"&amp;VLOOKUP(LEFT([1]!Table2[[#This Row],[Column2]],2),[1]Definitions!$B$51:$C$66,2,FALSE)&amp;MID([1]!Table2[[#This Row],[Column2]],3,3)&amp;RIGHT([1]!Table2[[#This Row],[Column2]],2)</f>
        <v>$C42900</v>
      </c>
      <c r="D253" s="109" t="s">
        <v>2118</v>
      </c>
      <c r="E253" s="110" t="s">
        <v>2119</v>
      </c>
      <c r="F253" s="111" t="s">
        <v>199</v>
      </c>
      <c r="G253" s="112" t="s">
        <v>74</v>
      </c>
      <c r="H253" s="112" t="s">
        <v>75</v>
      </c>
      <c r="I253" s="112" t="s">
        <v>76</v>
      </c>
      <c r="J253" s="112">
        <v>2</v>
      </c>
      <c r="K253" s="54" t="s">
        <v>77</v>
      </c>
      <c r="L253" s="113" t="s">
        <v>1145</v>
      </c>
      <c r="M253" s="113" t="s">
        <v>1145</v>
      </c>
      <c r="N253" s="111" t="s">
        <v>2097</v>
      </c>
      <c r="O253" s="65" t="s">
        <v>2098</v>
      </c>
      <c r="P253" s="114" t="s">
        <v>2099</v>
      </c>
      <c r="Q253" s="115" t="s">
        <v>199</v>
      </c>
      <c r="R253" s="54" t="s">
        <v>202</v>
      </c>
      <c r="S253" s="54" t="s">
        <v>201</v>
      </c>
      <c r="T253" s="54" t="s">
        <v>202</v>
      </c>
      <c r="U253" s="61" t="s">
        <v>202</v>
      </c>
      <c r="V253" s="61" t="s">
        <v>202</v>
      </c>
      <c r="W253" s="114" t="s">
        <v>2120</v>
      </c>
      <c r="X253" s="116" t="s">
        <v>2121</v>
      </c>
      <c r="Y253" s="111">
        <v>7500</v>
      </c>
      <c r="Z253" s="117" t="s">
        <v>100</v>
      </c>
      <c r="AA253" s="111">
        <v>100</v>
      </c>
      <c r="AB253" s="111">
        <v>0</v>
      </c>
      <c r="AC253" s="42" t="s">
        <v>2122</v>
      </c>
      <c r="AD253" s="111">
        <v>5000</v>
      </c>
      <c r="AE253" s="65" t="s">
        <v>92</v>
      </c>
      <c r="AF253" s="116" t="s">
        <v>93</v>
      </c>
      <c r="AG253" s="118" t="s">
        <v>1892</v>
      </c>
      <c r="AH253" s="34" t="s">
        <v>95</v>
      </c>
    </row>
    <row r="254" spans="2:34" ht="90" customHeight="1">
      <c r="B254" s="24">
        <f t="shared" si="3"/>
        <v>251</v>
      </c>
      <c r="C254" s="32" t="str">
        <f>"$"&amp;VLOOKUP(LEFT([1]!Table2[[#This Row],[Column2]],2),[1]Definitions!$B$51:$C$66,2,FALSE)&amp;MID([1]!Table2[[#This Row],[Column2]],3,3)&amp;RIGHT([1]!Table2[[#This Row],[Column2]],2)</f>
        <v>$C43A00</v>
      </c>
      <c r="D254" s="109" t="s">
        <v>2123</v>
      </c>
      <c r="E254" s="110" t="s">
        <v>2124</v>
      </c>
      <c r="F254" s="41" t="s">
        <v>199</v>
      </c>
      <c r="G254" s="112" t="s">
        <v>74</v>
      </c>
      <c r="H254" s="112" t="s">
        <v>75</v>
      </c>
      <c r="I254" s="112" t="s">
        <v>76</v>
      </c>
      <c r="J254" s="112">
        <v>2</v>
      </c>
      <c r="K254" s="27" t="s">
        <v>77</v>
      </c>
      <c r="L254" s="41" t="s">
        <v>255</v>
      </c>
      <c r="M254" s="82" t="s">
        <v>255</v>
      </c>
      <c r="N254" s="41" t="s">
        <v>1198</v>
      </c>
      <c r="O254" s="42" t="s">
        <v>2125</v>
      </c>
      <c r="P254" s="119" t="s">
        <v>1845</v>
      </c>
      <c r="Q254" s="115" t="s">
        <v>199</v>
      </c>
      <c r="R254" s="54" t="s">
        <v>202</v>
      </c>
      <c r="S254" s="27" t="s">
        <v>201</v>
      </c>
      <c r="T254" s="54" t="s">
        <v>202</v>
      </c>
      <c r="U254" s="30" t="s">
        <v>202</v>
      </c>
      <c r="V254" s="30" t="s">
        <v>202</v>
      </c>
      <c r="W254" s="120" t="s">
        <v>2126</v>
      </c>
      <c r="X254" s="121" t="s">
        <v>2127</v>
      </c>
      <c r="Y254" s="41">
        <v>5000</v>
      </c>
      <c r="Z254" s="43" t="s">
        <v>100</v>
      </c>
      <c r="AA254" s="41">
        <v>100</v>
      </c>
      <c r="AB254" s="41">
        <v>0</v>
      </c>
      <c r="AC254" s="42" t="s">
        <v>2128</v>
      </c>
      <c r="AD254" s="41">
        <v>5000</v>
      </c>
      <c r="AE254" s="42" t="s">
        <v>92</v>
      </c>
      <c r="AF254" s="115" t="s">
        <v>93</v>
      </c>
      <c r="AG254" s="45" t="s">
        <v>525</v>
      </c>
      <c r="AH254" s="34" t="s">
        <v>95</v>
      </c>
    </row>
    <row r="255" spans="2:34" ht="101.25" customHeight="1">
      <c r="B255" s="46">
        <f t="shared" si="3"/>
        <v>252</v>
      </c>
      <c r="C255" s="25" t="str">
        <f>"$"&amp;VLOOKUP(LEFT([1]!Table2[[#This Row],[Column2]],2),[1]Definitions!$B$51:$C$66,2,FALSE)&amp;MID([1]!Table2[[#This Row],[Column2]],3,3)&amp;RIGHT([1]!Table2[[#This Row],[Column2]],2)</f>
        <v>$C44000</v>
      </c>
      <c r="D255" s="35" t="s">
        <v>2129</v>
      </c>
      <c r="E255" s="122" t="s">
        <v>2130</v>
      </c>
      <c r="F255" s="41" t="s">
        <v>227</v>
      </c>
      <c r="G255" s="123" t="s">
        <v>74</v>
      </c>
      <c r="H255" s="123" t="s">
        <v>75</v>
      </c>
      <c r="I255" s="123" t="s">
        <v>76</v>
      </c>
      <c r="J255" s="123">
        <v>2</v>
      </c>
      <c r="K255" s="27" t="s">
        <v>77</v>
      </c>
      <c r="L255" s="41" t="s">
        <v>195</v>
      </c>
      <c r="M255" s="82" t="s">
        <v>2131</v>
      </c>
      <c r="N255" s="41" t="s">
        <v>76</v>
      </c>
      <c r="O255" s="42" t="s">
        <v>2132</v>
      </c>
      <c r="P255" s="119" t="s">
        <v>2133</v>
      </c>
      <c r="Q255" s="115" t="s">
        <v>199</v>
      </c>
      <c r="R255" s="48" t="s">
        <v>76</v>
      </c>
      <c r="S255" s="27" t="s">
        <v>1854</v>
      </c>
      <c r="T255" s="27" t="s">
        <v>76</v>
      </c>
      <c r="U255" s="30" t="s">
        <v>76</v>
      </c>
      <c r="V255" s="30" t="s">
        <v>76</v>
      </c>
      <c r="W255" s="120" t="s">
        <v>2134</v>
      </c>
      <c r="X255" s="120" t="s">
        <v>2135</v>
      </c>
      <c r="Y255" s="41">
        <v>5000</v>
      </c>
      <c r="Z255" s="43" t="s">
        <v>100</v>
      </c>
      <c r="AA255" s="41">
        <v>100</v>
      </c>
      <c r="AB255" s="41">
        <v>0</v>
      </c>
      <c r="AC255" s="124" t="s">
        <v>2136</v>
      </c>
      <c r="AD255" s="41">
        <v>1000</v>
      </c>
      <c r="AE255" s="26" t="s">
        <v>2137</v>
      </c>
      <c r="AF255" s="115" t="s">
        <v>93</v>
      </c>
      <c r="AG255" s="125" t="s">
        <v>207</v>
      </c>
      <c r="AH255" s="34" t="s">
        <v>208</v>
      </c>
    </row>
    <row r="256" spans="2:34" ht="67.5" customHeight="1">
      <c r="B256" s="46">
        <f t="shared" si="3"/>
        <v>253</v>
      </c>
      <c r="C256" s="25" t="str">
        <f>"$"&amp;VLOOKUP(LEFT([1]!Table2[[#This Row],[Column2]],2),[1]Definitions!$B$51:$C$66,2,FALSE)&amp;MID([1]!Table2[[#This Row],[Column2]],3,3)&amp;RIGHT([1]!Table2[[#This Row],[Column2]],2)</f>
        <v>$C44A00</v>
      </c>
      <c r="D256" s="126" t="s">
        <v>2138</v>
      </c>
      <c r="E256" s="110" t="s">
        <v>2139</v>
      </c>
      <c r="F256" s="41" t="s">
        <v>199</v>
      </c>
      <c r="G256" s="112" t="s">
        <v>74</v>
      </c>
      <c r="H256" s="112" t="s">
        <v>75</v>
      </c>
      <c r="I256" s="112" t="s">
        <v>76</v>
      </c>
      <c r="J256" s="112">
        <v>2</v>
      </c>
      <c r="K256" s="41" t="s">
        <v>77</v>
      </c>
      <c r="L256" s="41" t="s">
        <v>2140</v>
      </c>
      <c r="M256" s="63" t="s">
        <v>2141</v>
      </c>
      <c r="N256" s="27" t="s">
        <v>76</v>
      </c>
      <c r="O256" s="42" t="s">
        <v>2142</v>
      </c>
      <c r="P256" s="42" t="s">
        <v>2143</v>
      </c>
      <c r="Q256" s="41" t="s">
        <v>199</v>
      </c>
      <c r="R256" s="127" t="s">
        <v>200</v>
      </c>
      <c r="S256" s="41" t="s">
        <v>201</v>
      </c>
      <c r="T256" s="127" t="s">
        <v>200</v>
      </c>
      <c r="U256" s="43" t="s">
        <v>200</v>
      </c>
      <c r="V256" s="43" t="s">
        <v>200</v>
      </c>
      <c r="W256" s="126" t="s">
        <v>2144</v>
      </c>
      <c r="X256" s="83" t="s">
        <v>2145</v>
      </c>
      <c r="Y256" s="41">
        <v>2500</v>
      </c>
      <c r="Z256" s="43" t="s">
        <v>100</v>
      </c>
      <c r="AA256" s="41">
        <v>100</v>
      </c>
      <c r="AB256" s="41">
        <v>0</v>
      </c>
      <c r="AC256" s="65" t="s">
        <v>2146</v>
      </c>
      <c r="AD256" s="41">
        <v>1000</v>
      </c>
      <c r="AE256" s="33" t="s">
        <v>2147</v>
      </c>
      <c r="AF256" s="44" t="s">
        <v>93</v>
      </c>
      <c r="AG256" s="125" t="s">
        <v>2148</v>
      </c>
      <c r="AH256" s="34" t="s">
        <v>208</v>
      </c>
    </row>
    <row r="257" spans="2:34" ht="90" customHeight="1">
      <c r="B257" s="46">
        <f t="shared" si="3"/>
        <v>254</v>
      </c>
      <c r="C257" s="32" t="str">
        <f>"$"&amp;VLOOKUP(LEFT([1]!Table2[[#This Row],[Column2]],2),[1]Definitions!$B$51:$C$66,2,FALSE)&amp;MID([1]!Table2[[#This Row],[Column2]],3,3)&amp;RIGHT([1]!Table2[[#This Row],[Column2]],2)</f>
        <v>$C45500</v>
      </c>
      <c r="D257" s="126" t="s">
        <v>2149</v>
      </c>
      <c r="E257" s="110" t="s">
        <v>2150</v>
      </c>
      <c r="F257" s="41" t="s">
        <v>199</v>
      </c>
      <c r="G257" s="112" t="s">
        <v>74</v>
      </c>
      <c r="H257" s="112" t="s">
        <v>75</v>
      </c>
      <c r="I257" s="112" t="s">
        <v>76</v>
      </c>
      <c r="J257" s="112">
        <v>2</v>
      </c>
      <c r="K257" s="41" t="s">
        <v>77</v>
      </c>
      <c r="L257" s="41" t="s">
        <v>255</v>
      </c>
      <c r="M257" s="82" t="s">
        <v>255</v>
      </c>
      <c r="N257" s="27" t="s">
        <v>76</v>
      </c>
      <c r="O257" s="42" t="s">
        <v>1222</v>
      </c>
      <c r="P257" s="42" t="s">
        <v>1223</v>
      </c>
      <c r="Q257" s="41" t="s">
        <v>199</v>
      </c>
      <c r="R257" s="112" t="s">
        <v>202</v>
      </c>
      <c r="S257" s="41" t="s">
        <v>201</v>
      </c>
      <c r="T257" s="112" t="s">
        <v>202</v>
      </c>
      <c r="U257" s="43" t="s">
        <v>202</v>
      </c>
      <c r="V257" s="43" t="s">
        <v>202</v>
      </c>
      <c r="W257" s="70" t="s">
        <v>2151</v>
      </c>
      <c r="X257" s="83" t="s">
        <v>2152</v>
      </c>
      <c r="Y257" s="41">
        <v>5000</v>
      </c>
      <c r="Z257" s="43" t="s">
        <v>100</v>
      </c>
      <c r="AA257" s="41">
        <v>100</v>
      </c>
      <c r="AB257" s="41">
        <v>0</v>
      </c>
      <c r="AC257" s="42" t="s">
        <v>2153</v>
      </c>
      <c r="AD257" s="41">
        <v>5000</v>
      </c>
      <c r="AE257" s="42" t="s">
        <v>92</v>
      </c>
      <c r="AF257" s="44" t="s">
        <v>93</v>
      </c>
      <c r="AG257" s="96" t="s">
        <v>649</v>
      </c>
      <c r="AH257" s="34" t="s">
        <v>95</v>
      </c>
    </row>
    <row r="258" spans="2:34" ht="101.25" customHeight="1">
      <c r="B258" s="46">
        <f t="shared" si="3"/>
        <v>255</v>
      </c>
      <c r="C258" s="32" t="str">
        <f>"$"&amp;VLOOKUP(LEFT([1]!Table2[[#This Row],[Column2]],2),[1]Definitions!$B$51:$C$66,2,FALSE)&amp;MID([1]!Table2[[#This Row],[Column2]],3,3)&amp;RIGHT([1]!Table2[[#This Row],[Column2]],2)</f>
        <v>$C45A00</v>
      </c>
      <c r="D258" s="126" t="s">
        <v>2154</v>
      </c>
      <c r="E258" s="110" t="s">
        <v>2155</v>
      </c>
      <c r="F258" s="41" t="s">
        <v>199</v>
      </c>
      <c r="G258" s="112" t="s">
        <v>74</v>
      </c>
      <c r="H258" s="112" t="s">
        <v>75</v>
      </c>
      <c r="I258" s="112" t="s">
        <v>76</v>
      </c>
      <c r="J258" s="112">
        <v>2</v>
      </c>
      <c r="K258" s="41" t="s">
        <v>77</v>
      </c>
      <c r="L258" s="41" t="s">
        <v>255</v>
      </c>
      <c r="M258" s="82" t="s">
        <v>255</v>
      </c>
      <c r="N258" s="27" t="s">
        <v>76</v>
      </c>
      <c r="O258" s="42" t="s">
        <v>2156</v>
      </c>
      <c r="P258" s="42" t="s">
        <v>2157</v>
      </c>
      <c r="Q258" s="41" t="s">
        <v>199</v>
      </c>
      <c r="R258" s="112" t="s">
        <v>202</v>
      </c>
      <c r="S258" s="41" t="s">
        <v>201</v>
      </c>
      <c r="T258" s="112" t="s">
        <v>202</v>
      </c>
      <c r="U258" s="43" t="s">
        <v>202</v>
      </c>
      <c r="V258" s="43" t="s">
        <v>202</v>
      </c>
      <c r="W258" s="70" t="s">
        <v>2158</v>
      </c>
      <c r="X258" s="83" t="s">
        <v>2159</v>
      </c>
      <c r="Y258" s="41">
        <v>5000</v>
      </c>
      <c r="Z258" s="43" t="s">
        <v>100</v>
      </c>
      <c r="AA258" s="41">
        <v>100</v>
      </c>
      <c r="AB258" s="41">
        <v>0</v>
      </c>
      <c r="AC258" s="42" t="s">
        <v>2160</v>
      </c>
      <c r="AD258" s="41">
        <v>5000</v>
      </c>
      <c r="AE258" s="42" t="s">
        <v>92</v>
      </c>
      <c r="AF258" s="44" t="s">
        <v>93</v>
      </c>
      <c r="AG258" s="89" t="s">
        <v>2047</v>
      </c>
      <c r="AH258" s="34" t="s">
        <v>95</v>
      </c>
    </row>
    <row r="259" spans="2:34" ht="135" customHeight="1">
      <c r="B259" s="46">
        <f t="shared" si="3"/>
        <v>256</v>
      </c>
      <c r="C259" s="90" t="str">
        <f>"$"&amp;VLOOKUP(LEFT([1]!Table2[[#This Row],[Column2]],2),[1]Definitions!$B$51:$C$66,2,FALSE)&amp;MID([1]!Table2[[#This Row],[Column2]],3,3)&amp;RIGHT([1]!Table2[[#This Row],[Column2]],2)</f>
        <v>$C45D00</v>
      </c>
      <c r="D259" s="128" t="s">
        <v>2161</v>
      </c>
      <c r="E259" s="122" t="s">
        <v>2162</v>
      </c>
      <c r="F259" s="41" t="s">
        <v>199</v>
      </c>
      <c r="G259" s="123" t="s">
        <v>74</v>
      </c>
      <c r="H259" s="129" t="s">
        <v>75</v>
      </c>
      <c r="I259" s="129" t="s">
        <v>76</v>
      </c>
      <c r="J259" s="123">
        <v>2</v>
      </c>
      <c r="K259" s="41" t="s">
        <v>77</v>
      </c>
      <c r="L259" s="111" t="s">
        <v>2163</v>
      </c>
      <c r="M259" s="82" t="s">
        <v>2164</v>
      </c>
      <c r="N259" s="27" t="s">
        <v>76</v>
      </c>
      <c r="O259" s="42" t="s">
        <v>2165</v>
      </c>
      <c r="P259" s="42" t="s">
        <v>2166</v>
      </c>
      <c r="Q259" s="41" t="s">
        <v>199</v>
      </c>
      <c r="R259" s="37" t="s">
        <v>202</v>
      </c>
      <c r="S259" s="41" t="s">
        <v>201</v>
      </c>
      <c r="T259" s="37" t="s">
        <v>202</v>
      </c>
      <c r="U259" s="43" t="s">
        <v>202</v>
      </c>
      <c r="V259" s="43" t="s">
        <v>202</v>
      </c>
      <c r="W259" s="126" t="s">
        <v>2167</v>
      </c>
      <c r="X259" s="64" t="s">
        <v>2168</v>
      </c>
      <c r="Y259" s="41">
        <v>7500</v>
      </c>
      <c r="Z259" s="43" t="s">
        <v>100</v>
      </c>
      <c r="AA259" s="41">
        <v>100</v>
      </c>
      <c r="AB259" s="41">
        <v>0</v>
      </c>
      <c r="AC259" s="65" t="s">
        <v>2169</v>
      </c>
      <c r="AD259" s="41">
        <v>100</v>
      </c>
      <c r="AE259" s="42" t="s">
        <v>92</v>
      </c>
      <c r="AF259" s="44" t="s">
        <v>93</v>
      </c>
      <c r="AG259" s="125" t="s">
        <v>2170</v>
      </c>
      <c r="AH259" s="34" t="s">
        <v>95</v>
      </c>
    </row>
    <row r="260" spans="2:34" ht="101.25" customHeight="1">
      <c r="B260" s="46">
        <f t="shared" ref="B260:B323" si="4">ROW()-3</f>
        <v>257</v>
      </c>
      <c r="C260" s="32" t="str">
        <f>"$"&amp;VLOOKUP(LEFT([1]!Table2[[#This Row],[Column2]],2),[1]Definitions!$B$51:$C$66,2,FALSE)&amp;MID([1]!Table2[[#This Row],[Column2]],3,3)&amp;RIGHT([1]!Table2[[#This Row],[Column2]],2)</f>
        <v>$C47000</v>
      </c>
      <c r="D260" s="126" t="s">
        <v>2171</v>
      </c>
      <c r="E260" s="110" t="s">
        <v>2172</v>
      </c>
      <c r="F260" s="41" t="s">
        <v>199</v>
      </c>
      <c r="G260" s="112" t="s">
        <v>74</v>
      </c>
      <c r="H260" s="112" t="s">
        <v>75</v>
      </c>
      <c r="I260" s="112" t="s">
        <v>76</v>
      </c>
      <c r="J260" s="112">
        <v>2</v>
      </c>
      <c r="K260" s="41" t="s">
        <v>77</v>
      </c>
      <c r="L260" s="41" t="s">
        <v>255</v>
      </c>
      <c r="M260" s="82" t="s">
        <v>255</v>
      </c>
      <c r="N260" s="27" t="s">
        <v>76</v>
      </c>
      <c r="O260" s="42" t="s">
        <v>2173</v>
      </c>
      <c r="P260" s="42" t="s">
        <v>2174</v>
      </c>
      <c r="Q260" s="41" t="s">
        <v>199</v>
      </c>
      <c r="R260" s="112" t="s">
        <v>202</v>
      </c>
      <c r="S260" s="41" t="s">
        <v>201</v>
      </c>
      <c r="T260" s="112" t="s">
        <v>202</v>
      </c>
      <c r="U260" s="43" t="s">
        <v>202</v>
      </c>
      <c r="V260" s="43" t="s">
        <v>202</v>
      </c>
      <c r="W260" s="70" t="s">
        <v>2175</v>
      </c>
      <c r="X260" s="83" t="s">
        <v>2176</v>
      </c>
      <c r="Y260" s="41">
        <v>5000</v>
      </c>
      <c r="Z260" s="43" t="s">
        <v>100</v>
      </c>
      <c r="AA260" s="41">
        <v>100</v>
      </c>
      <c r="AB260" s="41">
        <v>0</v>
      </c>
      <c r="AC260" s="42" t="s">
        <v>2177</v>
      </c>
      <c r="AD260" s="41">
        <v>5000</v>
      </c>
      <c r="AE260" s="42" t="s">
        <v>92</v>
      </c>
      <c r="AF260" s="44" t="s">
        <v>93</v>
      </c>
      <c r="AG260" s="89" t="s">
        <v>599</v>
      </c>
      <c r="AH260" s="34" t="s">
        <v>95</v>
      </c>
    </row>
    <row r="261" spans="2:34" ht="112.5" customHeight="1">
      <c r="B261" s="46">
        <f t="shared" si="4"/>
        <v>258</v>
      </c>
      <c r="C261" s="130" t="str">
        <f>"$"&amp;VLOOKUP(LEFT([1]!Table2[[#This Row],[Column2]],2),[1]Definitions!$B$51:$C$66,2,FALSE)&amp;MID([1]!Table2[[#This Row],[Column2]],3,3)&amp;RIGHT([1]!Table2[[#This Row],[Column2]],2)</f>
        <v>$C48400</v>
      </c>
      <c r="D261" s="131" t="s">
        <v>2178</v>
      </c>
      <c r="E261" s="132" t="s">
        <v>2179</v>
      </c>
      <c r="F261" s="41" t="s">
        <v>227</v>
      </c>
      <c r="G261" s="37" t="s">
        <v>74</v>
      </c>
      <c r="H261" s="37" t="s">
        <v>75</v>
      </c>
      <c r="I261" s="37" t="s">
        <v>76</v>
      </c>
      <c r="J261" s="37">
        <v>2</v>
      </c>
      <c r="K261" s="41" t="s">
        <v>77</v>
      </c>
      <c r="L261" s="133" t="s">
        <v>2180</v>
      </c>
      <c r="M261" s="82" t="s">
        <v>2181</v>
      </c>
      <c r="N261" s="41" t="s">
        <v>76</v>
      </c>
      <c r="O261" s="42" t="s">
        <v>2182</v>
      </c>
      <c r="P261" s="42" t="s">
        <v>543</v>
      </c>
      <c r="Q261" s="41" t="s">
        <v>199</v>
      </c>
      <c r="R261" s="37" t="s">
        <v>202</v>
      </c>
      <c r="S261" s="41" t="s">
        <v>201</v>
      </c>
      <c r="T261" s="37" t="s">
        <v>202</v>
      </c>
      <c r="U261" s="43" t="s">
        <v>202</v>
      </c>
      <c r="V261" s="43" t="s">
        <v>202</v>
      </c>
      <c r="W261" s="70" t="s">
        <v>2183</v>
      </c>
      <c r="X261" s="64" t="s">
        <v>2184</v>
      </c>
      <c r="Y261" s="41">
        <v>7500</v>
      </c>
      <c r="Z261" s="43" t="s">
        <v>100</v>
      </c>
      <c r="AA261" s="41">
        <v>100</v>
      </c>
      <c r="AB261" s="41">
        <v>0</v>
      </c>
      <c r="AC261" s="64" t="s">
        <v>2185</v>
      </c>
      <c r="AD261" s="41">
        <v>7500</v>
      </c>
      <c r="AE261" s="65" t="s">
        <v>2186</v>
      </c>
      <c r="AF261" s="44" t="s">
        <v>93</v>
      </c>
      <c r="AG261" s="118" t="s">
        <v>2187</v>
      </c>
      <c r="AH261" s="34" t="s">
        <v>208</v>
      </c>
    </row>
    <row r="262" spans="2:34" ht="90" customHeight="1">
      <c r="B262" s="46">
        <f t="shared" si="4"/>
        <v>259</v>
      </c>
      <c r="C262" s="32" t="str">
        <f>"$"&amp;VLOOKUP(LEFT([1]!Table2[[#This Row],[Column2]],2),[1]Definitions!$B$51:$C$66,2,FALSE)&amp;MID([1]!Table2[[#This Row],[Column2]],3,3)&amp;RIGHT([1]!Table2[[#This Row],[Column2]],2)</f>
        <v>$C48700</v>
      </c>
      <c r="D262" s="126" t="s">
        <v>2188</v>
      </c>
      <c r="E262" s="132" t="s">
        <v>2189</v>
      </c>
      <c r="F262" s="41" t="s">
        <v>199</v>
      </c>
      <c r="G262" s="112" t="s">
        <v>74</v>
      </c>
      <c r="H262" s="112" t="s">
        <v>75</v>
      </c>
      <c r="I262" s="112" t="s">
        <v>76</v>
      </c>
      <c r="J262" s="112">
        <v>2</v>
      </c>
      <c r="K262" s="41" t="s">
        <v>77</v>
      </c>
      <c r="L262" s="41" t="s">
        <v>255</v>
      </c>
      <c r="M262" s="82" t="s">
        <v>255</v>
      </c>
      <c r="N262" s="41" t="s">
        <v>76</v>
      </c>
      <c r="O262" s="42" t="s">
        <v>1931</v>
      </c>
      <c r="P262" s="42" t="s">
        <v>1932</v>
      </c>
      <c r="Q262" s="41" t="s">
        <v>199</v>
      </c>
      <c r="R262" s="112" t="s">
        <v>202</v>
      </c>
      <c r="S262" s="41" t="s">
        <v>201</v>
      </c>
      <c r="T262" s="112" t="s">
        <v>202</v>
      </c>
      <c r="U262" s="43" t="s">
        <v>202</v>
      </c>
      <c r="V262" s="43" t="s">
        <v>202</v>
      </c>
      <c r="W262" s="70" t="s">
        <v>1933</v>
      </c>
      <c r="X262" s="83" t="s">
        <v>2190</v>
      </c>
      <c r="Y262" s="41">
        <v>5000</v>
      </c>
      <c r="Z262" s="43" t="s">
        <v>100</v>
      </c>
      <c r="AA262" s="41">
        <v>100</v>
      </c>
      <c r="AB262" s="41">
        <v>0</v>
      </c>
      <c r="AC262" s="42" t="s">
        <v>2191</v>
      </c>
      <c r="AD262" s="41">
        <v>5000</v>
      </c>
      <c r="AE262" s="42" t="s">
        <v>92</v>
      </c>
      <c r="AF262" s="44" t="s">
        <v>93</v>
      </c>
      <c r="AG262" s="96" t="s">
        <v>649</v>
      </c>
      <c r="AH262" s="34" t="s">
        <v>95</v>
      </c>
    </row>
    <row r="263" spans="2:34" ht="101.25" customHeight="1">
      <c r="B263" s="46">
        <f t="shared" si="4"/>
        <v>260</v>
      </c>
      <c r="C263" s="32" t="str">
        <f>"$"&amp;VLOOKUP(LEFT([1]!Table2[[#This Row],[Column2]],2),[1]Definitions!$B$51:$C$66,2,FALSE)&amp;MID([1]!Table2[[#This Row],[Column2]],3,3)&amp;RIGHT([1]!Table2[[#This Row],[Column2]],2)</f>
        <v>$C49200</v>
      </c>
      <c r="D263" s="126" t="s">
        <v>2192</v>
      </c>
      <c r="E263" s="132" t="s">
        <v>2193</v>
      </c>
      <c r="F263" s="41" t="s">
        <v>199</v>
      </c>
      <c r="G263" s="112" t="s">
        <v>74</v>
      </c>
      <c r="H263" s="112" t="s">
        <v>75</v>
      </c>
      <c r="I263" s="112" t="s">
        <v>76</v>
      </c>
      <c r="J263" s="112">
        <v>2</v>
      </c>
      <c r="K263" s="41" t="s">
        <v>77</v>
      </c>
      <c r="L263" s="41" t="s">
        <v>255</v>
      </c>
      <c r="M263" s="82" t="s">
        <v>712</v>
      </c>
      <c r="N263" s="41" t="s">
        <v>76</v>
      </c>
      <c r="O263" s="42" t="s">
        <v>218</v>
      </c>
      <c r="P263" s="42" t="s">
        <v>219</v>
      </c>
      <c r="Q263" s="41" t="s">
        <v>199</v>
      </c>
      <c r="R263" s="112" t="s">
        <v>202</v>
      </c>
      <c r="S263" s="41" t="s">
        <v>201</v>
      </c>
      <c r="T263" s="112" t="s">
        <v>202</v>
      </c>
      <c r="U263" s="43" t="s">
        <v>202</v>
      </c>
      <c r="V263" s="43" t="s">
        <v>202</v>
      </c>
      <c r="W263" s="70" t="s">
        <v>2194</v>
      </c>
      <c r="X263" s="83" t="s">
        <v>2195</v>
      </c>
      <c r="Y263" s="41">
        <v>2500</v>
      </c>
      <c r="Z263" s="43" t="s">
        <v>100</v>
      </c>
      <c r="AA263" s="41">
        <v>100</v>
      </c>
      <c r="AB263" s="41">
        <v>0</v>
      </c>
      <c r="AC263" s="42" t="s">
        <v>2196</v>
      </c>
      <c r="AD263" s="41">
        <v>1000</v>
      </c>
      <c r="AE263" s="42" t="s">
        <v>92</v>
      </c>
      <c r="AF263" s="44" t="s">
        <v>93</v>
      </c>
      <c r="AG263" s="89" t="s">
        <v>1943</v>
      </c>
      <c r="AH263" s="34" t="s">
        <v>95</v>
      </c>
    </row>
    <row r="264" spans="2:34" ht="123.75" customHeight="1">
      <c r="B264" s="46">
        <f t="shared" si="4"/>
        <v>261</v>
      </c>
      <c r="C264" s="32" t="str">
        <f>"$"&amp;VLOOKUP(LEFT([1]!Table2[[#This Row],[Column2]],2),[1]Definitions!$B$51:$C$66,2,FALSE)&amp;MID([1]!Table2[[#This Row],[Column2]],3,3)&amp;RIGHT([1]!Table2[[#This Row],[Column2]],2)</f>
        <v>$C49900</v>
      </c>
      <c r="D264" s="126" t="s">
        <v>2197</v>
      </c>
      <c r="E264" s="132" t="s">
        <v>2198</v>
      </c>
      <c r="F264" s="41" t="s">
        <v>199</v>
      </c>
      <c r="G264" s="112" t="s">
        <v>74</v>
      </c>
      <c r="H264" s="112" t="s">
        <v>75</v>
      </c>
      <c r="I264" s="112" t="s">
        <v>76</v>
      </c>
      <c r="J264" s="112">
        <v>2</v>
      </c>
      <c r="K264" s="41" t="s">
        <v>77</v>
      </c>
      <c r="L264" s="41" t="s">
        <v>255</v>
      </c>
      <c r="M264" s="82" t="s">
        <v>712</v>
      </c>
      <c r="N264" s="41" t="s">
        <v>76</v>
      </c>
      <c r="O264" s="42" t="s">
        <v>218</v>
      </c>
      <c r="P264" s="42" t="s">
        <v>219</v>
      </c>
      <c r="Q264" s="41" t="s">
        <v>199</v>
      </c>
      <c r="R264" s="112" t="s">
        <v>202</v>
      </c>
      <c r="S264" s="41" t="s">
        <v>201</v>
      </c>
      <c r="T264" s="112" t="s">
        <v>202</v>
      </c>
      <c r="U264" s="43" t="s">
        <v>202</v>
      </c>
      <c r="V264" s="43" t="s">
        <v>202</v>
      </c>
      <c r="W264" s="70" t="s">
        <v>2199</v>
      </c>
      <c r="X264" s="83" t="s">
        <v>2200</v>
      </c>
      <c r="Y264" s="41">
        <v>2500</v>
      </c>
      <c r="Z264" s="43" t="s">
        <v>100</v>
      </c>
      <c r="AA264" s="41">
        <v>100</v>
      </c>
      <c r="AB264" s="41">
        <v>0</v>
      </c>
      <c r="AC264" s="42" t="s">
        <v>2201</v>
      </c>
      <c r="AD264" s="41">
        <v>1000</v>
      </c>
      <c r="AE264" s="42" t="s">
        <v>92</v>
      </c>
      <c r="AF264" s="44" t="s">
        <v>93</v>
      </c>
      <c r="AG264" s="89" t="s">
        <v>1866</v>
      </c>
      <c r="AH264" s="34" t="s">
        <v>95</v>
      </c>
    </row>
    <row r="265" spans="2:34" ht="90" customHeight="1">
      <c r="B265" s="46">
        <f t="shared" si="4"/>
        <v>262</v>
      </c>
      <c r="C265" s="32" t="str">
        <f>"$"&amp;VLOOKUP(LEFT([1]!Table2[[#This Row],[Column2]],2),[1]Definitions!$B$51:$C$66,2,FALSE)&amp;MID([1]!Table2[[#This Row],[Column2]],3,3)&amp;RIGHT([1]!Table2[[#This Row],[Column2]],2)</f>
        <v>$C49A00</v>
      </c>
      <c r="D265" s="126" t="s">
        <v>2202</v>
      </c>
      <c r="E265" s="132" t="s">
        <v>2203</v>
      </c>
      <c r="F265" s="41" t="s">
        <v>199</v>
      </c>
      <c r="G265" s="112" t="s">
        <v>74</v>
      </c>
      <c r="H265" s="112" t="s">
        <v>75</v>
      </c>
      <c r="I265" s="112" t="s">
        <v>76</v>
      </c>
      <c r="J265" s="112">
        <v>2</v>
      </c>
      <c r="K265" s="41" t="s">
        <v>77</v>
      </c>
      <c r="L265" s="41" t="s">
        <v>255</v>
      </c>
      <c r="M265" s="82" t="s">
        <v>255</v>
      </c>
      <c r="N265" s="41" t="s">
        <v>76</v>
      </c>
      <c r="O265" s="42" t="s">
        <v>1222</v>
      </c>
      <c r="P265" s="42" t="s">
        <v>1223</v>
      </c>
      <c r="Q265" s="41" t="s">
        <v>199</v>
      </c>
      <c r="R265" s="112" t="s">
        <v>202</v>
      </c>
      <c r="S265" s="41" t="s">
        <v>201</v>
      </c>
      <c r="T265" s="112" t="s">
        <v>202</v>
      </c>
      <c r="U265" s="43" t="s">
        <v>202</v>
      </c>
      <c r="V265" s="43" t="s">
        <v>202</v>
      </c>
      <c r="W265" s="70" t="s">
        <v>2204</v>
      </c>
      <c r="X265" s="83" t="s">
        <v>2205</v>
      </c>
      <c r="Y265" s="41">
        <v>5000</v>
      </c>
      <c r="Z265" s="43" t="s">
        <v>100</v>
      </c>
      <c r="AA265" s="41">
        <v>100</v>
      </c>
      <c r="AB265" s="41">
        <v>0</v>
      </c>
      <c r="AC265" s="42" t="s">
        <v>2206</v>
      </c>
      <c r="AD265" s="41">
        <v>5000</v>
      </c>
      <c r="AE265" s="42" t="s">
        <v>92</v>
      </c>
      <c r="AF265" s="44" t="s">
        <v>93</v>
      </c>
      <c r="AG265" s="96" t="s">
        <v>649</v>
      </c>
      <c r="AH265" s="34" t="s">
        <v>95</v>
      </c>
    </row>
    <row r="266" spans="2:34" ht="90" customHeight="1">
      <c r="B266" s="46">
        <f t="shared" si="4"/>
        <v>263</v>
      </c>
      <c r="C266" s="32" t="str">
        <f>"$"&amp;VLOOKUP(LEFT([1]!Table2[[#This Row],[Column2]],2),[1]Definitions!$B$51:$C$66,2,FALSE)&amp;MID([1]!Table2[[#This Row],[Column2]],3,3)&amp;RIGHT([1]!Table2[[#This Row],[Column2]],2)</f>
        <v>$C4B500</v>
      </c>
      <c r="D266" s="126" t="s">
        <v>2207</v>
      </c>
      <c r="E266" s="132" t="s">
        <v>2208</v>
      </c>
      <c r="F266" s="41" t="s">
        <v>199</v>
      </c>
      <c r="G266" s="112" t="s">
        <v>74</v>
      </c>
      <c r="H266" s="112" t="s">
        <v>75</v>
      </c>
      <c r="I266" s="112" t="s">
        <v>76</v>
      </c>
      <c r="J266" s="112">
        <v>2</v>
      </c>
      <c r="K266" s="41" t="s">
        <v>77</v>
      </c>
      <c r="L266" s="41" t="s">
        <v>255</v>
      </c>
      <c r="M266" s="82" t="s">
        <v>255</v>
      </c>
      <c r="N266" s="134" t="s">
        <v>1198</v>
      </c>
      <c r="O266" s="135" t="s">
        <v>2209</v>
      </c>
      <c r="P266" s="136" t="s">
        <v>2210</v>
      </c>
      <c r="Q266" s="41" t="s">
        <v>199</v>
      </c>
      <c r="R266" s="112" t="s">
        <v>202</v>
      </c>
      <c r="S266" s="41" t="s">
        <v>201</v>
      </c>
      <c r="T266" s="112" t="s">
        <v>202</v>
      </c>
      <c r="U266" s="43" t="s">
        <v>202</v>
      </c>
      <c r="V266" s="43" t="s">
        <v>202</v>
      </c>
      <c r="W266" s="70" t="s">
        <v>2211</v>
      </c>
      <c r="X266" s="64" t="s">
        <v>2212</v>
      </c>
      <c r="Y266" s="137">
        <v>5000</v>
      </c>
      <c r="Z266" s="138" t="s">
        <v>100</v>
      </c>
      <c r="AA266" s="139">
        <v>100</v>
      </c>
      <c r="AB266" s="139">
        <v>0</v>
      </c>
      <c r="AC266" s="140" t="s">
        <v>2213</v>
      </c>
      <c r="AD266" s="141">
        <v>5000</v>
      </c>
      <c r="AE266" s="142" t="s">
        <v>92</v>
      </c>
      <c r="AF266" s="44" t="s">
        <v>93</v>
      </c>
      <c r="AG266" s="89" t="s">
        <v>1913</v>
      </c>
      <c r="AH266" s="34" t="s">
        <v>95</v>
      </c>
    </row>
    <row r="267" spans="2:34" ht="90" customHeight="1">
      <c r="B267" s="46">
        <f t="shared" si="4"/>
        <v>264</v>
      </c>
      <c r="C267" s="90" t="str">
        <f>"$"&amp;VLOOKUP(LEFT([1]!Table2[[#This Row],[Column2]],2),[1]Definitions!$B$51:$C$66,2,FALSE)&amp;MID([1]!Table2[[#This Row],[Column2]],3,3)&amp;RIGHT([1]!Table2[[#This Row],[Column2]],2)</f>
        <v>$C4EC00</v>
      </c>
      <c r="D267" s="128" t="s">
        <v>2214</v>
      </c>
      <c r="E267" s="143" t="s">
        <v>2215</v>
      </c>
      <c r="F267" s="41" t="s">
        <v>199</v>
      </c>
      <c r="G267" s="123" t="s">
        <v>74</v>
      </c>
      <c r="H267" s="129" t="s">
        <v>75</v>
      </c>
      <c r="I267" s="129" t="s">
        <v>76</v>
      </c>
      <c r="J267" s="123">
        <v>2</v>
      </c>
      <c r="K267" s="41" t="s">
        <v>77</v>
      </c>
      <c r="L267" s="27" t="s">
        <v>712</v>
      </c>
      <c r="M267" s="49" t="s">
        <v>712</v>
      </c>
      <c r="N267" s="144" t="s">
        <v>76</v>
      </c>
      <c r="O267" s="119" t="s">
        <v>2216</v>
      </c>
      <c r="P267" s="136" t="s">
        <v>2217</v>
      </c>
      <c r="Q267" s="41" t="s">
        <v>199</v>
      </c>
      <c r="R267" s="37" t="s">
        <v>202</v>
      </c>
      <c r="S267" s="41" t="s">
        <v>201</v>
      </c>
      <c r="T267" s="37" t="s">
        <v>202</v>
      </c>
      <c r="U267" s="43" t="s">
        <v>202</v>
      </c>
      <c r="V267" s="43" t="s">
        <v>202</v>
      </c>
      <c r="W267" s="126" t="s">
        <v>2218</v>
      </c>
      <c r="X267" s="64" t="s">
        <v>2219</v>
      </c>
      <c r="Y267" s="145">
        <v>5000</v>
      </c>
      <c r="Z267" s="146" t="s">
        <v>100</v>
      </c>
      <c r="AA267" s="147">
        <v>100</v>
      </c>
      <c r="AB267" s="147">
        <v>0</v>
      </c>
      <c r="AC267" s="148" t="s">
        <v>260</v>
      </c>
      <c r="AD267" s="149">
        <v>5000</v>
      </c>
      <c r="AE267" s="26" t="s">
        <v>92</v>
      </c>
      <c r="AF267" s="44" t="s">
        <v>93</v>
      </c>
      <c r="AG267" s="118" t="s">
        <v>649</v>
      </c>
      <c r="AH267" s="34" t="s">
        <v>95</v>
      </c>
    </row>
    <row r="268" spans="2:34" ht="90" customHeight="1">
      <c r="B268" s="46">
        <f t="shared" si="4"/>
        <v>265</v>
      </c>
      <c r="C268" s="32" t="str">
        <f>"$"&amp;VLOOKUP(LEFT([1]!Table2[[#This Row],[Column2]],2),[1]Definitions!$B$51:$C$66,2,FALSE)&amp;MID([1]!Table2[[#This Row],[Column2]],3,3)&amp;RIGHT([1]!Table2[[#This Row],[Column2]],2)</f>
        <v>$C50100</v>
      </c>
      <c r="D268" s="126" t="s">
        <v>2220</v>
      </c>
      <c r="E268" s="132" t="s">
        <v>2221</v>
      </c>
      <c r="F268" s="41" t="s">
        <v>199</v>
      </c>
      <c r="G268" s="112" t="s">
        <v>74</v>
      </c>
      <c r="H268" s="112" t="s">
        <v>75</v>
      </c>
      <c r="I268" s="112" t="s">
        <v>76</v>
      </c>
      <c r="J268" s="112">
        <v>2</v>
      </c>
      <c r="K268" s="41" t="s">
        <v>77</v>
      </c>
      <c r="L268" s="41" t="s">
        <v>255</v>
      </c>
      <c r="M268" s="82" t="s">
        <v>255</v>
      </c>
      <c r="N268" s="41" t="s">
        <v>76</v>
      </c>
      <c r="O268" s="42" t="s">
        <v>1222</v>
      </c>
      <c r="P268" s="42" t="s">
        <v>1223</v>
      </c>
      <c r="Q268" s="41" t="s">
        <v>199</v>
      </c>
      <c r="R268" s="112" t="s">
        <v>202</v>
      </c>
      <c r="S268" s="41" t="s">
        <v>201</v>
      </c>
      <c r="T268" s="112" t="s">
        <v>202</v>
      </c>
      <c r="U268" s="43" t="s">
        <v>202</v>
      </c>
      <c r="V268" s="43" t="s">
        <v>202</v>
      </c>
      <c r="W268" s="70" t="s">
        <v>2222</v>
      </c>
      <c r="X268" s="83" t="s">
        <v>2223</v>
      </c>
      <c r="Y268" s="41">
        <v>5000</v>
      </c>
      <c r="Z268" s="43" t="s">
        <v>100</v>
      </c>
      <c r="AA268" s="41">
        <v>100</v>
      </c>
      <c r="AB268" s="41">
        <v>0</v>
      </c>
      <c r="AC268" s="42" t="s">
        <v>2224</v>
      </c>
      <c r="AD268" s="41">
        <v>5000</v>
      </c>
      <c r="AE268" s="42" t="s">
        <v>92</v>
      </c>
      <c r="AF268" s="44" t="s">
        <v>93</v>
      </c>
      <c r="AG268" s="26" t="s">
        <v>649</v>
      </c>
      <c r="AH268" s="34" t="s">
        <v>95</v>
      </c>
    </row>
    <row r="269" spans="2:34" ht="90" customHeight="1">
      <c r="B269" s="46">
        <f t="shared" si="4"/>
        <v>266</v>
      </c>
      <c r="C269" s="32" t="str">
        <f>"$"&amp;VLOOKUP(LEFT([1]!Table2[[#This Row],[Column2]],2),[1]Definitions!$B$51:$C$66,2,FALSE)&amp;MID([1]!Table2[[#This Row],[Column2]],3,3)&amp;RIGHT([1]!Table2[[#This Row],[Column2]],2)</f>
        <v>$C50700</v>
      </c>
      <c r="D269" s="32" t="s">
        <v>2225</v>
      </c>
      <c r="E269" s="33" t="s">
        <v>2226</v>
      </c>
      <c r="F269" s="27" t="s">
        <v>199</v>
      </c>
      <c r="G269" s="54" t="s">
        <v>74</v>
      </c>
      <c r="H269" s="54" t="s">
        <v>75</v>
      </c>
      <c r="I269" s="54" t="s">
        <v>76</v>
      </c>
      <c r="J269" s="54">
        <v>2</v>
      </c>
      <c r="K269" s="27" t="s">
        <v>77</v>
      </c>
      <c r="L269" s="27" t="s">
        <v>255</v>
      </c>
      <c r="M269" s="49" t="s">
        <v>255</v>
      </c>
      <c r="N269" s="27" t="s">
        <v>76</v>
      </c>
      <c r="O269" s="26" t="s">
        <v>1222</v>
      </c>
      <c r="P269" s="26" t="s">
        <v>1223</v>
      </c>
      <c r="Q269" s="27" t="s">
        <v>199</v>
      </c>
      <c r="R269" s="54" t="s">
        <v>202</v>
      </c>
      <c r="S269" s="27" t="s">
        <v>201</v>
      </c>
      <c r="T269" s="54" t="s">
        <v>202</v>
      </c>
      <c r="U269" s="30" t="s">
        <v>202</v>
      </c>
      <c r="V269" s="30" t="s">
        <v>202</v>
      </c>
      <c r="W269" s="33" t="s">
        <v>2227</v>
      </c>
      <c r="X269" s="51" t="s">
        <v>2228</v>
      </c>
      <c r="Y269" s="27">
        <v>5000</v>
      </c>
      <c r="Z269" s="30" t="s">
        <v>100</v>
      </c>
      <c r="AA269" s="27">
        <v>100</v>
      </c>
      <c r="AB269" s="27">
        <v>0</v>
      </c>
      <c r="AC269" s="26" t="s">
        <v>2229</v>
      </c>
      <c r="AD269" s="27">
        <v>5000</v>
      </c>
      <c r="AE269" s="26" t="s">
        <v>92</v>
      </c>
      <c r="AF269" s="27" t="s">
        <v>93</v>
      </c>
      <c r="AG269" s="26" t="s">
        <v>894</v>
      </c>
      <c r="AH269" s="34" t="s">
        <v>95</v>
      </c>
    </row>
    <row r="270" spans="2:34" ht="90" customHeight="1">
      <c r="B270" s="46">
        <f t="shared" si="4"/>
        <v>267</v>
      </c>
      <c r="C270" s="32" t="str">
        <f>"$"&amp;VLOOKUP(LEFT([1]!Table2[[#This Row],[Column2]],2),[1]Definitions!$B$51:$C$66,2,FALSE)&amp;MID([1]!Table2[[#This Row],[Column2]],3,3)&amp;RIGHT([1]!Table2[[#This Row],[Column2]],2)</f>
        <v>$C53100</v>
      </c>
      <c r="D270" s="150" t="s">
        <v>2230</v>
      </c>
      <c r="E270" s="151" t="s">
        <v>2231</v>
      </c>
      <c r="F270" s="41" t="s">
        <v>199</v>
      </c>
      <c r="G270" s="152" t="s">
        <v>74</v>
      </c>
      <c r="H270" s="152" t="s">
        <v>75</v>
      </c>
      <c r="I270" s="152" t="s">
        <v>76</v>
      </c>
      <c r="J270" s="152">
        <v>2</v>
      </c>
      <c r="K270" s="41" t="s">
        <v>77</v>
      </c>
      <c r="L270" s="27" t="s">
        <v>255</v>
      </c>
      <c r="M270" s="49" t="s">
        <v>255</v>
      </c>
      <c r="N270" s="41" t="s">
        <v>76</v>
      </c>
      <c r="O270" s="42" t="s">
        <v>1994</v>
      </c>
      <c r="P270" s="42" t="s">
        <v>1995</v>
      </c>
      <c r="Q270" s="41" t="s">
        <v>199</v>
      </c>
      <c r="R270" s="152" t="s">
        <v>202</v>
      </c>
      <c r="S270" s="41" t="s">
        <v>201</v>
      </c>
      <c r="T270" s="152" t="s">
        <v>202</v>
      </c>
      <c r="U270" s="43" t="s">
        <v>202</v>
      </c>
      <c r="V270" s="43" t="s">
        <v>202</v>
      </c>
      <c r="W270" s="153" t="s">
        <v>2232</v>
      </c>
      <c r="X270" s="64" t="s">
        <v>2233</v>
      </c>
      <c r="Y270" s="41">
        <v>5000</v>
      </c>
      <c r="Z270" s="43" t="s">
        <v>100</v>
      </c>
      <c r="AA270" s="41">
        <v>100</v>
      </c>
      <c r="AB270" s="41">
        <v>0</v>
      </c>
      <c r="AC270" s="65" t="s">
        <v>2234</v>
      </c>
      <c r="AD270" s="41">
        <v>5000</v>
      </c>
      <c r="AE270" s="26" t="s">
        <v>92</v>
      </c>
      <c r="AF270" s="44" t="s">
        <v>93</v>
      </c>
      <c r="AG270" s="89" t="s">
        <v>763</v>
      </c>
      <c r="AH270" s="34" t="s">
        <v>95</v>
      </c>
    </row>
    <row r="271" spans="2:34" ht="90" customHeight="1">
      <c r="B271" s="46">
        <f t="shared" si="4"/>
        <v>268</v>
      </c>
      <c r="C271" s="32" t="str">
        <f>"$"&amp;VLOOKUP(LEFT([1]!Table2[[#This Row],[Column2]],2),[1]Definitions!$B$51:$C$66,2,FALSE)&amp;MID([1]!Table2[[#This Row],[Column2]],3,3)&amp;RIGHT([1]!Table2[[#This Row],[Column2]],2)</f>
        <v>$C54B00</v>
      </c>
      <c r="D271" s="150" t="s">
        <v>2235</v>
      </c>
      <c r="E271" s="151" t="s">
        <v>2236</v>
      </c>
      <c r="F271" s="41" t="s">
        <v>199</v>
      </c>
      <c r="G271" s="152" t="s">
        <v>74</v>
      </c>
      <c r="H271" s="152" t="s">
        <v>75</v>
      </c>
      <c r="I271" s="152" t="s">
        <v>76</v>
      </c>
      <c r="J271" s="152">
        <v>2</v>
      </c>
      <c r="K271" s="41" t="s">
        <v>77</v>
      </c>
      <c r="L271" s="41" t="s">
        <v>255</v>
      </c>
      <c r="M271" s="82" t="s">
        <v>255</v>
      </c>
      <c r="N271" s="41" t="s">
        <v>76</v>
      </c>
      <c r="O271" s="42" t="s">
        <v>2237</v>
      </c>
      <c r="P271" s="42" t="s">
        <v>2238</v>
      </c>
      <c r="Q271" s="41" t="s">
        <v>199</v>
      </c>
      <c r="R271" s="152" t="s">
        <v>202</v>
      </c>
      <c r="S271" s="41" t="s">
        <v>201</v>
      </c>
      <c r="T271" s="152" t="s">
        <v>202</v>
      </c>
      <c r="U271" s="43" t="s">
        <v>202</v>
      </c>
      <c r="V271" s="43" t="s">
        <v>202</v>
      </c>
      <c r="W271" s="153" t="s">
        <v>2239</v>
      </c>
      <c r="X271" s="64" t="s">
        <v>2240</v>
      </c>
      <c r="Y271" s="41">
        <v>5000</v>
      </c>
      <c r="Z271" s="43" t="s">
        <v>100</v>
      </c>
      <c r="AA271" s="41">
        <v>100</v>
      </c>
      <c r="AB271" s="41">
        <v>0</v>
      </c>
      <c r="AC271" s="65" t="s">
        <v>2241</v>
      </c>
      <c r="AD271" s="41">
        <v>5000</v>
      </c>
      <c r="AE271" s="42" t="s">
        <v>92</v>
      </c>
      <c r="AF271" s="44" t="s">
        <v>93</v>
      </c>
      <c r="AG271" s="96" t="s">
        <v>2242</v>
      </c>
      <c r="AH271" s="34" t="s">
        <v>95</v>
      </c>
    </row>
    <row r="272" spans="2:34" ht="101.25" customHeight="1">
      <c r="B272" s="46">
        <f t="shared" si="4"/>
        <v>269</v>
      </c>
      <c r="C272" s="32" t="str">
        <f>"$"&amp;VLOOKUP(LEFT([1]!Table2[[#This Row],[Column2]],2),[1]Definitions!$B$51:$C$66,2,FALSE)&amp;MID([1]!Table2[[#This Row],[Column2]],3,3)&amp;RIGHT([1]!Table2[[#This Row],[Column2]],2)</f>
        <v>$C5568B</v>
      </c>
      <c r="D272" s="64" t="s">
        <v>2243</v>
      </c>
      <c r="E272" s="65" t="s">
        <v>2244</v>
      </c>
      <c r="F272" s="41" t="s">
        <v>199</v>
      </c>
      <c r="G272" s="152" t="s">
        <v>74</v>
      </c>
      <c r="H272" s="152" t="s">
        <v>75</v>
      </c>
      <c r="I272" s="152" t="s">
        <v>76</v>
      </c>
      <c r="J272" s="152">
        <v>2</v>
      </c>
      <c r="K272" s="41" t="s">
        <v>77</v>
      </c>
      <c r="L272" s="41" t="s">
        <v>255</v>
      </c>
      <c r="M272" s="82" t="s">
        <v>712</v>
      </c>
      <c r="N272" s="41" t="s">
        <v>76</v>
      </c>
      <c r="O272" s="42" t="s">
        <v>218</v>
      </c>
      <c r="P272" s="42" t="s">
        <v>219</v>
      </c>
      <c r="Q272" s="41" t="s">
        <v>199</v>
      </c>
      <c r="R272" s="152" t="s">
        <v>202</v>
      </c>
      <c r="S272" s="41" t="s">
        <v>201</v>
      </c>
      <c r="T272" s="152" t="s">
        <v>202</v>
      </c>
      <c r="U272" s="43" t="s">
        <v>202</v>
      </c>
      <c r="V272" s="43" t="s">
        <v>202</v>
      </c>
      <c r="W272" s="153" t="s">
        <v>2245</v>
      </c>
      <c r="X272" s="83" t="s">
        <v>2246</v>
      </c>
      <c r="Y272" s="41">
        <v>2500</v>
      </c>
      <c r="Z272" s="43" t="s">
        <v>100</v>
      </c>
      <c r="AA272" s="41">
        <v>100</v>
      </c>
      <c r="AB272" s="41">
        <v>0</v>
      </c>
      <c r="AC272" s="42" t="s">
        <v>2247</v>
      </c>
      <c r="AD272" s="41">
        <v>1000</v>
      </c>
      <c r="AE272" s="42" t="s">
        <v>92</v>
      </c>
      <c r="AF272" s="44" t="s">
        <v>93</v>
      </c>
      <c r="AG272" s="89" t="s">
        <v>1823</v>
      </c>
      <c r="AH272" s="34" t="s">
        <v>95</v>
      </c>
    </row>
    <row r="273" spans="2:34" ht="101.25" customHeight="1">
      <c r="B273" s="46">
        <f t="shared" si="4"/>
        <v>270</v>
      </c>
      <c r="C273" s="25" t="str">
        <f>"$"&amp;VLOOKUP(LEFT([1]!Table2[[#This Row],[Column2]],2),[1]Definitions!$B$51:$C$66,2,FALSE)&amp;MID([1]!Table2[[#This Row],[Column2]],3,3)&amp;RIGHT([1]!Table2[[#This Row],[Column2]],2)</f>
        <v>$C57400</v>
      </c>
      <c r="D273" s="154" t="s">
        <v>2248</v>
      </c>
      <c r="E273" s="155" t="s">
        <v>2249</v>
      </c>
      <c r="F273" s="41" t="s">
        <v>227</v>
      </c>
      <c r="G273" s="156" t="s">
        <v>74</v>
      </c>
      <c r="H273" s="156" t="s">
        <v>75</v>
      </c>
      <c r="I273" s="156" t="s">
        <v>76</v>
      </c>
      <c r="J273" s="156">
        <v>2</v>
      </c>
      <c r="K273" s="41" t="s">
        <v>77</v>
      </c>
      <c r="L273" s="41" t="s">
        <v>2250</v>
      </c>
      <c r="M273" s="82" t="s">
        <v>2251</v>
      </c>
      <c r="N273" s="41" t="s">
        <v>76</v>
      </c>
      <c r="O273" s="42" t="s">
        <v>218</v>
      </c>
      <c r="P273" s="42" t="s">
        <v>219</v>
      </c>
      <c r="Q273" s="41" t="s">
        <v>82</v>
      </c>
      <c r="R273" s="156" t="s">
        <v>76</v>
      </c>
      <c r="S273" s="41" t="s">
        <v>201</v>
      </c>
      <c r="T273" s="157" t="s">
        <v>76</v>
      </c>
      <c r="U273" s="43" t="s">
        <v>76</v>
      </c>
      <c r="V273" s="43" t="s">
        <v>76</v>
      </c>
      <c r="W273" s="153" t="s">
        <v>2252</v>
      </c>
      <c r="X273" s="83" t="s">
        <v>2253</v>
      </c>
      <c r="Y273" s="41">
        <v>5000</v>
      </c>
      <c r="Z273" s="43" t="s">
        <v>100</v>
      </c>
      <c r="AA273" s="41">
        <v>100</v>
      </c>
      <c r="AB273" s="41">
        <v>0</v>
      </c>
      <c r="AC273" s="42" t="s">
        <v>2254</v>
      </c>
      <c r="AD273" s="41">
        <v>5000</v>
      </c>
      <c r="AE273" s="42" t="s">
        <v>2255</v>
      </c>
      <c r="AF273" s="44" t="s">
        <v>93</v>
      </c>
      <c r="AG273" s="125" t="s">
        <v>921</v>
      </c>
      <c r="AH273" s="34" t="s">
        <v>208</v>
      </c>
    </row>
    <row r="274" spans="2:34" ht="101.25" customHeight="1">
      <c r="B274" s="158">
        <f t="shared" si="4"/>
        <v>271</v>
      </c>
      <c r="C274" s="154" t="str">
        <f>"$"&amp;VLOOKUP(LEFT([1]!Table2[[#This Row],[Column2]],2),[1]Definitions!$B$51:$C$66,2,FALSE)&amp;MID([1]!Table2[[#This Row],[Column2]],3,3)&amp;RIGHT([1]!Table2[[#This Row],[Column2]],2)</f>
        <v>$C57500</v>
      </c>
      <c r="D274" s="154" t="s">
        <v>2256</v>
      </c>
      <c r="E274" s="155" t="s">
        <v>2257</v>
      </c>
      <c r="F274" s="41" t="s">
        <v>227</v>
      </c>
      <c r="G274" s="156" t="s">
        <v>74</v>
      </c>
      <c r="H274" s="156" t="s">
        <v>75</v>
      </c>
      <c r="I274" s="156" t="s">
        <v>76</v>
      </c>
      <c r="J274" s="156">
        <v>2</v>
      </c>
      <c r="K274" s="41" t="s">
        <v>77</v>
      </c>
      <c r="L274" s="41" t="s">
        <v>2250</v>
      </c>
      <c r="M274" s="82" t="s">
        <v>2258</v>
      </c>
      <c r="N274" s="41" t="s">
        <v>76</v>
      </c>
      <c r="O274" s="42" t="s">
        <v>218</v>
      </c>
      <c r="P274" s="42" t="s">
        <v>219</v>
      </c>
      <c r="Q274" s="41" t="s">
        <v>199</v>
      </c>
      <c r="R274" s="156" t="s">
        <v>76</v>
      </c>
      <c r="S274" s="41" t="s">
        <v>201</v>
      </c>
      <c r="T274" s="157" t="s">
        <v>76</v>
      </c>
      <c r="U274" s="43" t="s">
        <v>76</v>
      </c>
      <c r="V274" s="43" t="s">
        <v>76</v>
      </c>
      <c r="W274" s="150" t="s">
        <v>2259</v>
      </c>
      <c r="X274" s="83" t="s">
        <v>2260</v>
      </c>
      <c r="Y274" s="41">
        <v>5000</v>
      </c>
      <c r="Z274" s="43" t="s">
        <v>100</v>
      </c>
      <c r="AA274" s="41">
        <v>100</v>
      </c>
      <c r="AB274" s="41">
        <v>0</v>
      </c>
      <c r="AC274" s="42" t="s">
        <v>2261</v>
      </c>
      <c r="AD274" s="41">
        <v>5000</v>
      </c>
      <c r="AE274" s="65" t="s">
        <v>2262</v>
      </c>
      <c r="AF274" s="44" t="s">
        <v>93</v>
      </c>
      <c r="AG274" s="125" t="s">
        <v>921</v>
      </c>
      <c r="AH274" s="34" t="s">
        <v>208</v>
      </c>
    </row>
    <row r="275" spans="2:34" ht="90" customHeight="1">
      <c r="B275" s="46">
        <f t="shared" si="4"/>
        <v>272</v>
      </c>
      <c r="C275" s="150" t="str">
        <f>"$"&amp;VLOOKUP(LEFT([1]!Table2[[#This Row],[Column2]],2),[1]Definitions!$B$51:$C$66,2,FALSE)&amp;MID([1]!Table2[[#This Row],[Column2]],3,3)&amp;RIGHT([1]!Table2[[#This Row],[Column2]],2)</f>
        <v>$C57600</v>
      </c>
      <c r="D275" s="150" t="s">
        <v>2263</v>
      </c>
      <c r="E275" s="151" t="s">
        <v>2264</v>
      </c>
      <c r="F275" s="41" t="s">
        <v>199</v>
      </c>
      <c r="G275" s="152" t="s">
        <v>74</v>
      </c>
      <c r="H275" s="152" t="s">
        <v>75</v>
      </c>
      <c r="I275" s="152" t="s">
        <v>76</v>
      </c>
      <c r="J275" s="152">
        <v>2</v>
      </c>
      <c r="K275" s="41" t="s">
        <v>77</v>
      </c>
      <c r="L275" s="41" t="s">
        <v>255</v>
      </c>
      <c r="M275" s="82" t="s">
        <v>255</v>
      </c>
      <c r="N275" s="41" t="s">
        <v>1198</v>
      </c>
      <c r="O275" s="42" t="s">
        <v>2032</v>
      </c>
      <c r="P275" s="42" t="s">
        <v>2033</v>
      </c>
      <c r="Q275" s="41" t="s">
        <v>199</v>
      </c>
      <c r="R275" s="152" t="s">
        <v>202</v>
      </c>
      <c r="S275" s="41" t="s">
        <v>201</v>
      </c>
      <c r="T275" s="152" t="s">
        <v>202</v>
      </c>
      <c r="U275" s="43" t="s">
        <v>202</v>
      </c>
      <c r="V275" s="43" t="s">
        <v>202</v>
      </c>
      <c r="W275" s="153" t="s">
        <v>2034</v>
      </c>
      <c r="X275" s="83" t="s">
        <v>2265</v>
      </c>
      <c r="Y275" s="41">
        <v>5000</v>
      </c>
      <c r="Z275" s="43" t="s">
        <v>100</v>
      </c>
      <c r="AA275" s="41">
        <v>100</v>
      </c>
      <c r="AB275" s="41">
        <v>0</v>
      </c>
      <c r="AC275" s="42" t="s">
        <v>2266</v>
      </c>
      <c r="AD275" s="41">
        <v>5000</v>
      </c>
      <c r="AE275" s="42" t="s">
        <v>92</v>
      </c>
      <c r="AF275" s="44" t="s">
        <v>93</v>
      </c>
      <c r="AG275" s="89" t="s">
        <v>2037</v>
      </c>
      <c r="AH275" s="34" t="s">
        <v>95</v>
      </c>
    </row>
    <row r="276" spans="2:34" ht="90" customHeight="1">
      <c r="B276" s="46">
        <f t="shared" si="4"/>
        <v>273</v>
      </c>
      <c r="C276" s="150" t="str">
        <f>"$"&amp;VLOOKUP(LEFT([1]!Table2[[#This Row],[Column2]],2),[1]Definitions!$B$51:$C$66,2,FALSE)&amp;MID([1]!Table2[[#This Row],[Column2]],3,3)&amp;RIGHT([1]!Table2[[#This Row],[Column2]],2)</f>
        <v>$C57E00</v>
      </c>
      <c r="D276" s="150" t="s">
        <v>2267</v>
      </c>
      <c r="E276" s="151" t="s">
        <v>2268</v>
      </c>
      <c r="F276" s="41" t="s">
        <v>199</v>
      </c>
      <c r="G276" s="152" t="s">
        <v>74</v>
      </c>
      <c r="H276" s="152" t="s">
        <v>75</v>
      </c>
      <c r="I276" s="152" t="s">
        <v>76</v>
      </c>
      <c r="J276" s="152">
        <v>2</v>
      </c>
      <c r="K276" s="41" t="s">
        <v>77</v>
      </c>
      <c r="L276" s="41" t="s">
        <v>255</v>
      </c>
      <c r="M276" s="82" t="s">
        <v>255</v>
      </c>
      <c r="N276" s="41" t="s">
        <v>76</v>
      </c>
      <c r="O276" s="42" t="s">
        <v>1222</v>
      </c>
      <c r="P276" s="42" t="s">
        <v>1223</v>
      </c>
      <c r="Q276" s="41" t="s">
        <v>199</v>
      </c>
      <c r="R276" s="152" t="s">
        <v>202</v>
      </c>
      <c r="S276" s="41" t="s">
        <v>201</v>
      </c>
      <c r="T276" s="152" t="s">
        <v>202</v>
      </c>
      <c r="U276" s="43" t="s">
        <v>202</v>
      </c>
      <c r="V276" s="43" t="s">
        <v>202</v>
      </c>
      <c r="W276" s="153" t="s">
        <v>2269</v>
      </c>
      <c r="X276" s="83" t="s">
        <v>2270</v>
      </c>
      <c r="Y276" s="41">
        <v>5000</v>
      </c>
      <c r="Z276" s="43" t="s">
        <v>100</v>
      </c>
      <c r="AA276" s="41">
        <v>100</v>
      </c>
      <c r="AB276" s="41">
        <v>0</v>
      </c>
      <c r="AC276" s="42" t="s">
        <v>2271</v>
      </c>
      <c r="AD276" s="41">
        <v>5000</v>
      </c>
      <c r="AE276" s="42" t="s">
        <v>92</v>
      </c>
      <c r="AF276" s="44" t="s">
        <v>93</v>
      </c>
      <c r="AG276" s="96" t="s">
        <v>649</v>
      </c>
      <c r="AH276" s="34" t="s">
        <v>95</v>
      </c>
    </row>
    <row r="277" spans="2:34" ht="90" customHeight="1">
      <c r="B277" s="46">
        <f t="shared" si="4"/>
        <v>274</v>
      </c>
      <c r="C277" s="150" t="str">
        <f>"$"&amp;VLOOKUP(LEFT([1]!Table2[[#This Row],[Column2]],2),[1]Definitions!$B$51:$C$66,2,FALSE)&amp;MID([1]!Table2[[#This Row],[Column2]],3,3)&amp;RIGHT([1]!Table2[[#This Row],[Column2]],2)</f>
        <v>$C57F00</v>
      </c>
      <c r="D277" s="159" t="s">
        <v>2272</v>
      </c>
      <c r="E277" s="160" t="s">
        <v>2273</v>
      </c>
      <c r="F277" s="41" t="s">
        <v>199</v>
      </c>
      <c r="G277" s="161" t="s">
        <v>74</v>
      </c>
      <c r="H277" s="161" t="s">
        <v>75</v>
      </c>
      <c r="I277" s="161" t="s">
        <v>76</v>
      </c>
      <c r="J277" s="161">
        <v>2</v>
      </c>
      <c r="K277" s="41" t="s">
        <v>77</v>
      </c>
      <c r="L277" s="41" t="s">
        <v>255</v>
      </c>
      <c r="M277" s="82" t="s">
        <v>255</v>
      </c>
      <c r="N277" s="41" t="s">
        <v>76</v>
      </c>
      <c r="O277" s="42" t="s">
        <v>1222</v>
      </c>
      <c r="P277" s="42" t="s">
        <v>1223</v>
      </c>
      <c r="Q277" s="41" t="s">
        <v>199</v>
      </c>
      <c r="R277" s="161" t="s">
        <v>202</v>
      </c>
      <c r="S277" s="41" t="s">
        <v>201</v>
      </c>
      <c r="T277" s="161" t="s">
        <v>202</v>
      </c>
      <c r="U277" s="43" t="s">
        <v>202</v>
      </c>
      <c r="V277" s="43" t="s">
        <v>202</v>
      </c>
      <c r="W277" s="162" t="s">
        <v>2274</v>
      </c>
      <c r="X277" s="83" t="s">
        <v>2275</v>
      </c>
      <c r="Y277" s="41">
        <v>5000</v>
      </c>
      <c r="Z277" s="43" t="s">
        <v>100</v>
      </c>
      <c r="AA277" s="41">
        <v>100</v>
      </c>
      <c r="AB277" s="41">
        <v>0</v>
      </c>
      <c r="AC277" s="42" t="s">
        <v>2276</v>
      </c>
      <c r="AD277" s="41">
        <v>5000</v>
      </c>
      <c r="AE277" s="42" t="s">
        <v>92</v>
      </c>
      <c r="AF277" s="44" t="s">
        <v>93</v>
      </c>
      <c r="AG277" s="36" t="s">
        <v>2277</v>
      </c>
      <c r="AH277" s="34" t="s">
        <v>95</v>
      </c>
    </row>
    <row r="278" spans="2:34" ht="90" customHeight="1">
      <c r="B278" s="46">
        <f t="shared" si="4"/>
        <v>275</v>
      </c>
      <c r="C278" s="150" t="str">
        <f>"$"&amp;VLOOKUP(LEFT([1]!Table2[[#This Row],[Column2]],2),[1]Definitions!$B$51:$C$66,2,FALSE)&amp;MID([1]!Table2[[#This Row],[Column2]],3,3)&amp;RIGHT([1]!Table2[[#This Row],[Column2]],2)</f>
        <v>$C59200</v>
      </c>
      <c r="D278" s="150" t="s">
        <v>2278</v>
      </c>
      <c r="E278" s="151" t="s">
        <v>2279</v>
      </c>
      <c r="F278" s="41" t="s">
        <v>199</v>
      </c>
      <c r="G278" s="152" t="s">
        <v>74</v>
      </c>
      <c r="H278" s="152" t="s">
        <v>75</v>
      </c>
      <c r="I278" s="152" t="s">
        <v>76</v>
      </c>
      <c r="J278" s="152">
        <v>2</v>
      </c>
      <c r="K278" s="41" t="s">
        <v>77</v>
      </c>
      <c r="L278" s="41" t="s">
        <v>255</v>
      </c>
      <c r="M278" s="82" t="s">
        <v>255</v>
      </c>
      <c r="N278" s="41" t="s">
        <v>76</v>
      </c>
      <c r="O278" s="42" t="s">
        <v>2280</v>
      </c>
      <c r="P278" s="42" t="s">
        <v>2281</v>
      </c>
      <c r="Q278" s="41" t="s">
        <v>199</v>
      </c>
      <c r="R278" s="152" t="s">
        <v>202</v>
      </c>
      <c r="S278" s="41" t="s">
        <v>201</v>
      </c>
      <c r="T278" s="152" t="s">
        <v>202</v>
      </c>
      <c r="U278" s="43" t="s">
        <v>202</v>
      </c>
      <c r="V278" s="43" t="s">
        <v>202</v>
      </c>
      <c r="W278" s="153" t="s">
        <v>2282</v>
      </c>
      <c r="X278" s="83" t="s">
        <v>2283</v>
      </c>
      <c r="Y278" s="41">
        <v>5000</v>
      </c>
      <c r="Z278" s="43" t="s">
        <v>100</v>
      </c>
      <c r="AA278" s="41">
        <v>100</v>
      </c>
      <c r="AB278" s="41">
        <v>0</v>
      </c>
      <c r="AC278" s="42" t="s">
        <v>260</v>
      </c>
      <c r="AD278" s="41">
        <v>5000</v>
      </c>
      <c r="AE278" s="42" t="s">
        <v>92</v>
      </c>
      <c r="AF278" s="44" t="s">
        <v>93</v>
      </c>
      <c r="AG278" s="89" t="s">
        <v>649</v>
      </c>
      <c r="AH278" s="34" t="s">
        <v>95</v>
      </c>
    </row>
    <row r="279" spans="2:34" ht="90" customHeight="1">
      <c r="B279" s="46">
        <f t="shared" si="4"/>
        <v>276</v>
      </c>
      <c r="C279" s="150" t="str">
        <f>"$"&amp;VLOOKUP(LEFT([1]!Table2[[#This Row],[Column2]],2),[1]Definitions!$B$51:$C$66,2,FALSE)&amp;MID([1]!Table2[[#This Row],[Column2]],3,3)&amp;RIGHT([1]!Table2[[#This Row],[Column2]],2)</f>
        <v>$C5B400</v>
      </c>
      <c r="D279" s="150" t="s">
        <v>2284</v>
      </c>
      <c r="E279" s="151" t="s">
        <v>2285</v>
      </c>
      <c r="F279" s="41" t="s">
        <v>199</v>
      </c>
      <c r="G279" s="152" t="s">
        <v>74</v>
      </c>
      <c r="H279" s="152" t="s">
        <v>75</v>
      </c>
      <c r="I279" s="152" t="s">
        <v>76</v>
      </c>
      <c r="J279" s="152">
        <v>2</v>
      </c>
      <c r="K279" s="41" t="s">
        <v>77</v>
      </c>
      <c r="L279" s="41" t="s">
        <v>255</v>
      </c>
      <c r="M279" s="82" t="s">
        <v>255</v>
      </c>
      <c r="N279" s="41" t="s">
        <v>1198</v>
      </c>
      <c r="O279" s="42" t="s">
        <v>2286</v>
      </c>
      <c r="P279" s="42" t="s">
        <v>2287</v>
      </c>
      <c r="Q279" s="41" t="s">
        <v>199</v>
      </c>
      <c r="R279" s="152" t="s">
        <v>202</v>
      </c>
      <c r="S279" s="41" t="s">
        <v>201</v>
      </c>
      <c r="T279" s="152" t="s">
        <v>202</v>
      </c>
      <c r="U279" s="43" t="s">
        <v>202</v>
      </c>
      <c r="V279" s="43" t="s">
        <v>202</v>
      </c>
      <c r="W279" s="153" t="s">
        <v>2288</v>
      </c>
      <c r="X279" s="64" t="s">
        <v>2289</v>
      </c>
      <c r="Y279" s="41">
        <v>5000</v>
      </c>
      <c r="Z279" s="43" t="s">
        <v>100</v>
      </c>
      <c r="AA279" s="41">
        <v>100</v>
      </c>
      <c r="AB279" s="41">
        <v>0</v>
      </c>
      <c r="AC279" s="65" t="s">
        <v>2266</v>
      </c>
      <c r="AD279" s="41">
        <v>5000</v>
      </c>
      <c r="AE279" s="42" t="s">
        <v>92</v>
      </c>
      <c r="AF279" s="44" t="s">
        <v>93</v>
      </c>
      <c r="AG279" s="89" t="s">
        <v>2290</v>
      </c>
      <c r="AH279" s="34" t="s">
        <v>95</v>
      </c>
    </row>
    <row r="280" spans="2:34" ht="101.25" customHeight="1">
      <c r="B280" s="46">
        <f t="shared" si="4"/>
        <v>277</v>
      </c>
      <c r="C280" s="150" t="str">
        <f>"$"&amp;VLOOKUP(LEFT([1]!Table2[[#This Row],[Column2]],2),[1]Definitions!$B$51:$C$66,2,FALSE)&amp;MID([1]!Table2[[#This Row],[Column2]],3,3)&amp;RIGHT([1]!Table2[[#This Row],[Column2]],2)</f>
        <v>$C5B500</v>
      </c>
      <c r="D280" s="150" t="s">
        <v>2291</v>
      </c>
      <c r="E280" s="151" t="s">
        <v>2292</v>
      </c>
      <c r="F280" s="41" t="s">
        <v>199</v>
      </c>
      <c r="G280" s="152" t="s">
        <v>74</v>
      </c>
      <c r="H280" s="152" t="s">
        <v>75</v>
      </c>
      <c r="I280" s="152" t="s">
        <v>76</v>
      </c>
      <c r="J280" s="152">
        <v>2</v>
      </c>
      <c r="K280" s="41" t="s">
        <v>77</v>
      </c>
      <c r="L280" s="41" t="s">
        <v>255</v>
      </c>
      <c r="M280" s="82" t="s">
        <v>255</v>
      </c>
      <c r="N280" s="41" t="s">
        <v>76</v>
      </c>
      <c r="O280" s="42" t="s">
        <v>2293</v>
      </c>
      <c r="P280" s="42" t="s">
        <v>2294</v>
      </c>
      <c r="Q280" s="41" t="s">
        <v>199</v>
      </c>
      <c r="R280" s="152" t="s">
        <v>202</v>
      </c>
      <c r="S280" s="41" t="s">
        <v>201</v>
      </c>
      <c r="T280" s="152" t="s">
        <v>202</v>
      </c>
      <c r="U280" s="43" t="s">
        <v>202</v>
      </c>
      <c r="V280" s="43" t="s">
        <v>202</v>
      </c>
      <c r="W280" s="153" t="s">
        <v>2045</v>
      </c>
      <c r="X280" s="83" t="s">
        <v>2295</v>
      </c>
      <c r="Y280" s="41">
        <v>5000</v>
      </c>
      <c r="Z280" s="43" t="s">
        <v>100</v>
      </c>
      <c r="AA280" s="41">
        <v>100</v>
      </c>
      <c r="AB280" s="41">
        <v>0</v>
      </c>
      <c r="AC280" s="42" t="s">
        <v>260</v>
      </c>
      <c r="AD280" s="41">
        <v>5000</v>
      </c>
      <c r="AE280" s="42" t="s">
        <v>92</v>
      </c>
      <c r="AF280" s="44" t="s">
        <v>93</v>
      </c>
      <c r="AG280" s="89" t="s">
        <v>2047</v>
      </c>
      <c r="AH280" s="34" t="s">
        <v>95</v>
      </c>
    </row>
    <row r="281" spans="2:34" ht="90" customHeight="1">
      <c r="B281" s="46">
        <f t="shared" si="4"/>
        <v>278</v>
      </c>
      <c r="C281" s="150" t="str">
        <f>"$"&amp;VLOOKUP(LEFT([1]!Table2[[#This Row],[Column2]],2),[1]Definitions!$B$51:$C$66,2,FALSE)&amp;MID([1]!Table2[[#This Row],[Column2]],3,3)&amp;RIGHT([1]!Table2[[#This Row],[Column2]],2)</f>
        <v>$C5BD00</v>
      </c>
      <c r="D281" s="150" t="s">
        <v>2296</v>
      </c>
      <c r="E281" s="151" t="s">
        <v>2297</v>
      </c>
      <c r="F281" s="41" t="s">
        <v>199</v>
      </c>
      <c r="G281" s="152" t="s">
        <v>74</v>
      </c>
      <c r="H281" s="152" t="s">
        <v>75</v>
      </c>
      <c r="I281" s="152" t="s">
        <v>76</v>
      </c>
      <c r="J281" s="152">
        <v>2</v>
      </c>
      <c r="K281" s="41" t="s">
        <v>77</v>
      </c>
      <c r="L281" s="41" t="s">
        <v>255</v>
      </c>
      <c r="M281" s="82" t="s">
        <v>255</v>
      </c>
      <c r="N281" s="41" t="s">
        <v>1198</v>
      </c>
      <c r="O281" s="42" t="s">
        <v>2298</v>
      </c>
      <c r="P281" s="42" t="s">
        <v>2299</v>
      </c>
      <c r="Q281" s="41" t="s">
        <v>199</v>
      </c>
      <c r="R281" s="152" t="s">
        <v>202</v>
      </c>
      <c r="S281" s="41" t="s">
        <v>201</v>
      </c>
      <c r="T281" s="152" t="s">
        <v>202</v>
      </c>
      <c r="U281" s="43" t="s">
        <v>202</v>
      </c>
      <c r="V281" s="43" t="s">
        <v>202</v>
      </c>
      <c r="W281" s="153" t="s">
        <v>2300</v>
      </c>
      <c r="X281" s="163" t="s">
        <v>2301</v>
      </c>
      <c r="Y281" s="41">
        <v>5000</v>
      </c>
      <c r="Z281" s="43" t="s">
        <v>100</v>
      </c>
      <c r="AA281" s="41">
        <v>100</v>
      </c>
      <c r="AB281" s="41">
        <v>0</v>
      </c>
      <c r="AC281" s="65" t="s">
        <v>2302</v>
      </c>
      <c r="AD281" s="41">
        <v>5000</v>
      </c>
      <c r="AE281" s="42" t="s">
        <v>92</v>
      </c>
      <c r="AF281" s="44" t="s">
        <v>93</v>
      </c>
      <c r="AG281" s="89" t="s">
        <v>1913</v>
      </c>
      <c r="AH281" s="34" t="s">
        <v>95</v>
      </c>
    </row>
    <row r="282" spans="2:34" ht="101.25" customHeight="1">
      <c r="B282" s="46">
        <f t="shared" si="4"/>
        <v>279</v>
      </c>
      <c r="C282" s="150" t="str">
        <f>"$"&amp;VLOOKUP(LEFT([1]!Table2[[#This Row],[Column2]],2),[1]Definitions!$B$51:$C$66,2,FALSE)&amp;MID([1]!Table2[[#This Row],[Column2]],3,3)&amp;RIGHT([1]!Table2[[#This Row],[Column2]],2)</f>
        <v>$C5BE00</v>
      </c>
      <c r="D282" s="150" t="s">
        <v>2303</v>
      </c>
      <c r="E282" s="151" t="s">
        <v>2304</v>
      </c>
      <c r="F282" s="41" t="s">
        <v>199</v>
      </c>
      <c r="G282" s="152" t="s">
        <v>74</v>
      </c>
      <c r="H282" s="152" t="s">
        <v>75</v>
      </c>
      <c r="I282" s="152" t="s">
        <v>76</v>
      </c>
      <c r="J282" s="152">
        <v>2</v>
      </c>
      <c r="K282" s="41" t="s">
        <v>77</v>
      </c>
      <c r="L282" s="41" t="s">
        <v>2054</v>
      </c>
      <c r="M282" s="82" t="s">
        <v>2055</v>
      </c>
      <c r="N282" s="41" t="s">
        <v>76</v>
      </c>
      <c r="O282" s="42" t="s">
        <v>218</v>
      </c>
      <c r="P282" s="42" t="s">
        <v>219</v>
      </c>
      <c r="Q282" s="41" t="s">
        <v>199</v>
      </c>
      <c r="R282" s="152" t="s">
        <v>201</v>
      </c>
      <c r="S282" s="41" t="s">
        <v>202</v>
      </c>
      <c r="T282" s="152" t="s">
        <v>202</v>
      </c>
      <c r="U282" s="43" t="s">
        <v>202</v>
      </c>
      <c r="V282" s="43" t="s">
        <v>202</v>
      </c>
      <c r="W282" s="153" t="s">
        <v>2305</v>
      </c>
      <c r="X282" s="83" t="s">
        <v>2306</v>
      </c>
      <c r="Y282" s="41">
        <v>5000</v>
      </c>
      <c r="Z282" s="43" t="s">
        <v>100</v>
      </c>
      <c r="AA282" s="41">
        <v>100</v>
      </c>
      <c r="AB282" s="41">
        <v>0</v>
      </c>
      <c r="AC282" s="42" t="s">
        <v>2307</v>
      </c>
      <c r="AD282" s="41">
        <v>5000</v>
      </c>
      <c r="AE282" s="42" t="s">
        <v>92</v>
      </c>
      <c r="AF282" s="44" t="s">
        <v>93</v>
      </c>
      <c r="AG282" s="89" t="s">
        <v>2308</v>
      </c>
      <c r="AH282" s="34" t="s">
        <v>95</v>
      </c>
    </row>
    <row r="283" spans="2:34" ht="101.25" customHeight="1">
      <c r="B283" s="46">
        <f t="shared" si="4"/>
        <v>280</v>
      </c>
      <c r="C283" s="164" t="str">
        <f>"$"&amp;VLOOKUP(LEFT([1]!Table2[[#This Row],[Column2]],2),[1]Definitions!$B$51:$C$66,2,FALSE)&amp;MID([1]!Table2[[#This Row],[Column2]],3,3)&amp;RIGHT([1]!Table2[[#This Row],[Column2]],2)</f>
        <v>$C6A900</v>
      </c>
      <c r="D283" s="165" t="s">
        <v>2309</v>
      </c>
      <c r="E283" s="155" t="s">
        <v>2310</v>
      </c>
      <c r="F283" s="88" t="s">
        <v>199</v>
      </c>
      <c r="G283" s="166" t="s">
        <v>74</v>
      </c>
      <c r="H283" s="166" t="s">
        <v>75</v>
      </c>
      <c r="I283" s="166" t="s">
        <v>76</v>
      </c>
      <c r="J283" s="166">
        <v>2</v>
      </c>
      <c r="K283" s="41" t="s">
        <v>77</v>
      </c>
      <c r="L283" s="41" t="s">
        <v>228</v>
      </c>
      <c r="M283" s="42" t="s">
        <v>2311</v>
      </c>
      <c r="N283" s="41" t="s">
        <v>381</v>
      </c>
      <c r="O283" s="42" t="s">
        <v>218</v>
      </c>
      <c r="P283" s="42" t="s">
        <v>219</v>
      </c>
      <c r="Q283" s="41" t="s">
        <v>199</v>
      </c>
      <c r="R283" s="166" t="s">
        <v>202</v>
      </c>
      <c r="S283" s="41" t="s">
        <v>201</v>
      </c>
      <c r="T283" s="167" t="s">
        <v>202</v>
      </c>
      <c r="U283" s="43" t="s">
        <v>202</v>
      </c>
      <c r="V283" s="43" t="s">
        <v>202</v>
      </c>
      <c r="W283" s="153" t="s">
        <v>672</v>
      </c>
      <c r="X283" s="83" t="s">
        <v>2312</v>
      </c>
      <c r="Y283" s="41">
        <v>2500</v>
      </c>
      <c r="Z283" s="43" t="s">
        <v>100</v>
      </c>
      <c r="AA283" s="41">
        <v>100</v>
      </c>
      <c r="AB283" s="41">
        <v>0</v>
      </c>
      <c r="AC283" s="41" t="s">
        <v>674</v>
      </c>
      <c r="AD283" s="41">
        <v>500</v>
      </c>
      <c r="AE283" s="42" t="s">
        <v>2313</v>
      </c>
      <c r="AF283" s="44" t="s">
        <v>93</v>
      </c>
      <c r="AG283" s="125" t="s">
        <v>2314</v>
      </c>
      <c r="AH283" s="34" t="s">
        <v>208</v>
      </c>
    </row>
    <row r="284" spans="2:34" ht="101.25" customHeight="1">
      <c r="B284" s="46">
        <f t="shared" si="4"/>
        <v>281</v>
      </c>
      <c r="C284" s="168" t="str">
        <f>"$"&amp;VLOOKUP(LEFT([1]!Table2[[#This Row],[Column2]],2),[1]Definitions!$B$51:$C$66,2,FALSE)&amp;MID([1]!Table2[[#This Row],[Column2]],3,3)&amp;RIGHT([1]!Table2[[#This Row],[Column2]],2)</f>
        <v>$D00800</v>
      </c>
      <c r="D284" s="169" t="s">
        <v>2315</v>
      </c>
      <c r="E284" s="170" t="s">
        <v>2316</v>
      </c>
      <c r="F284" s="88" t="s">
        <v>199</v>
      </c>
      <c r="G284" s="166" t="s">
        <v>74</v>
      </c>
      <c r="H284" s="166" t="s">
        <v>75</v>
      </c>
      <c r="I284" s="166" t="s">
        <v>76</v>
      </c>
      <c r="J284" s="166">
        <v>2</v>
      </c>
      <c r="K284" s="41" t="s">
        <v>77</v>
      </c>
      <c r="L284" s="41" t="s">
        <v>202</v>
      </c>
      <c r="M284" s="42" t="s">
        <v>202</v>
      </c>
      <c r="N284" s="41" t="s">
        <v>2317</v>
      </c>
      <c r="O284" s="42" t="s">
        <v>218</v>
      </c>
      <c r="P284" s="83" t="s">
        <v>440</v>
      </c>
      <c r="Q284" s="41" t="s">
        <v>199</v>
      </c>
      <c r="R284" s="166" t="s">
        <v>202</v>
      </c>
      <c r="S284" s="41" t="s">
        <v>201</v>
      </c>
      <c r="T284" s="166" t="s">
        <v>202</v>
      </c>
      <c r="U284" s="41" t="s">
        <v>202</v>
      </c>
      <c r="V284" s="41" t="s">
        <v>202</v>
      </c>
      <c r="W284" s="150" t="s">
        <v>2318</v>
      </c>
      <c r="X284" s="83" t="s">
        <v>2319</v>
      </c>
      <c r="Y284" s="41">
        <v>2000</v>
      </c>
      <c r="Z284" s="41" t="s">
        <v>100</v>
      </c>
      <c r="AA284" s="41">
        <v>100</v>
      </c>
      <c r="AB284" s="41">
        <v>0</v>
      </c>
      <c r="AC284" s="42" t="s">
        <v>2320</v>
      </c>
      <c r="AD284" s="41">
        <v>1000</v>
      </c>
      <c r="AE284" s="42" t="s">
        <v>92</v>
      </c>
      <c r="AF284" s="44" t="s">
        <v>93</v>
      </c>
      <c r="AG284" s="125" t="s">
        <v>152</v>
      </c>
      <c r="AH284" s="34" t="s">
        <v>95</v>
      </c>
    </row>
    <row r="285" spans="2:34" ht="101.25" customHeight="1">
      <c r="B285" s="46">
        <f t="shared" si="4"/>
        <v>282</v>
      </c>
      <c r="C285" s="168" t="str">
        <f>"$"&amp;VLOOKUP(LEFT([1]!Table2[[#This Row],[Column2]],2),[1]Definitions!$B$51:$C$66,2,FALSE)&amp;MID([1]!Table2[[#This Row],[Column2]],3,3)&amp;RIGHT([1]!Table2[[#This Row],[Column2]],2)</f>
        <v>$D00900</v>
      </c>
      <c r="D285" s="169" t="s">
        <v>2321</v>
      </c>
      <c r="E285" s="170" t="s">
        <v>2322</v>
      </c>
      <c r="F285" s="88" t="s">
        <v>199</v>
      </c>
      <c r="G285" s="166" t="s">
        <v>74</v>
      </c>
      <c r="H285" s="166" t="s">
        <v>75</v>
      </c>
      <c r="I285" s="166" t="s">
        <v>76</v>
      </c>
      <c r="J285" s="166">
        <v>2</v>
      </c>
      <c r="K285" s="41" t="s">
        <v>77</v>
      </c>
      <c r="L285" s="41" t="s">
        <v>202</v>
      </c>
      <c r="M285" s="42" t="s">
        <v>202</v>
      </c>
      <c r="N285" s="41" t="s">
        <v>2317</v>
      </c>
      <c r="O285" s="42" t="s">
        <v>218</v>
      </c>
      <c r="P285" s="83" t="s">
        <v>440</v>
      </c>
      <c r="Q285" s="41" t="s">
        <v>199</v>
      </c>
      <c r="R285" s="166" t="s">
        <v>202</v>
      </c>
      <c r="S285" s="41" t="s">
        <v>201</v>
      </c>
      <c r="T285" s="166" t="s">
        <v>202</v>
      </c>
      <c r="U285" s="41" t="s">
        <v>202</v>
      </c>
      <c r="V285" s="41" t="s">
        <v>202</v>
      </c>
      <c r="W285" s="150" t="s">
        <v>2318</v>
      </c>
      <c r="X285" s="83" t="s">
        <v>2323</v>
      </c>
      <c r="Y285" s="41">
        <v>1000</v>
      </c>
      <c r="Z285" s="41" t="s">
        <v>100</v>
      </c>
      <c r="AA285" s="41">
        <v>100</v>
      </c>
      <c r="AB285" s="41">
        <v>0</v>
      </c>
      <c r="AC285" s="42" t="s">
        <v>2324</v>
      </c>
      <c r="AD285" s="41">
        <v>1000</v>
      </c>
      <c r="AE285" s="42" t="s">
        <v>92</v>
      </c>
      <c r="AF285" s="44" t="s">
        <v>93</v>
      </c>
      <c r="AG285" s="125" t="s">
        <v>152</v>
      </c>
      <c r="AH285" s="34" t="s">
        <v>95</v>
      </c>
    </row>
    <row r="286" spans="2:34" ht="101.25" customHeight="1">
      <c r="B286" s="46">
        <f t="shared" si="4"/>
        <v>283</v>
      </c>
      <c r="C286" s="168" t="str">
        <f>"$"&amp;VLOOKUP(LEFT([1]!Table2[[#This Row],[Column2]],2),[1]Definitions!$B$51:$C$66,2,FALSE)&amp;MID([1]!Table2[[#This Row],[Column2]],3,3)&amp;RIGHT([1]!Table2[[#This Row],[Column2]],2)</f>
        <v>$D02B00</v>
      </c>
      <c r="D286" s="169" t="s">
        <v>2325</v>
      </c>
      <c r="E286" s="170" t="s">
        <v>2326</v>
      </c>
      <c r="F286" s="88" t="s">
        <v>199</v>
      </c>
      <c r="G286" s="166" t="s">
        <v>74</v>
      </c>
      <c r="H286" s="166" t="s">
        <v>75</v>
      </c>
      <c r="I286" s="166" t="s">
        <v>76</v>
      </c>
      <c r="J286" s="171">
        <v>2</v>
      </c>
      <c r="K286" s="41" t="s">
        <v>77</v>
      </c>
      <c r="L286" s="41" t="s">
        <v>1145</v>
      </c>
      <c r="M286" s="42" t="s">
        <v>1776</v>
      </c>
      <c r="N286" s="41" t="s">
        <v>76</v>
      </c>
      <c r="O286" s="42" t="s">
        <v>218</v>
      </c>
      <c r="P286" s="42" t="s">
        <v>219</v>
      </c>
      <c r="Q286" s="41" t="s">
        <v>199</v>
      </c>
      <c r="R286" s="166" t="s">
        <v>202</v>
      </c>
      <c r="S286" s="41" t="s">
        <v>201</v>
      </c>
      <c r="T286" s="166" t="s">
        <v>202</v>
      </c>
      <c r="U286" s="41" t="s">
        <v>202</v>
      </c>
      <c r="V286" s="41" t="s">
        <v>202</v>
      </c>
      <c r="W286" s="153" t="s">
        <v>2327</v>
      </c>
      <c r="X286" s="83" t="s">
        <v>2328</v>
      </c>
      <c r="Y286" s="41">
        <v>1000</v>
      </c>
      <c r="Z286" s="43" t="s">
        <v>100</v>
      </c>
      <c r="AA286" s="41">
        <v>100</v>
      </c>
      <c r="AB286" s="41">
        <v>0</v>
      </c>
      <c r="AC286" s="42" t="s">
        <v>2329</v>
      </c>
      <c r="AD286" s="41">
        <v>1000</v>
      </c>
      <c r="AE286" s="42" t="s">
        <v>92</v>
      </c>
      <c r="AF286" s="44" t="s">
        <v>93</v>
      </c>
      <c r="AG286" s="125" t="s">
        <v>649</v>
      </c>
      <c r="AH286" s="34" t="s">
        <v>95</v>
      </c>
    </row>
    <row r="287" spans="2:34" ht="101.25" customHeight="1">
      <c r="B287" s="46">
        <f t="shared" si="4"/>
        <v>284</v>
      </c>
      <c r="C287" s="168" t="str">
        <f>"$"&amp;VLOOKUP(LEFT([1]!Table2[[#This Row],[Column2]],2),[1]Definitions!$B$51:$C$66,2,FALSE)&amp;MID([1]!Table2[[#This Row],[Column2]],3,3)&amp;RIGHT([1]!Table2[[#This Row],[Column2]],2)</f>
        <v>$D04500</v>
      </c>
      <c r="D287" s="169" t="s">
        <v>2330</v>
      </c>
      <c r="E287" s="170" t="s">
        <v>2331</v>
      </c>
      <c r="F287" s="88" t="s">
        <v>199</v>
      </c>
      <c r="G287" s="166" t="s">
        <v>74</v>
      </c>
      <c r="H287" s="166" t="s">
        <v>75</v>
      </c>
      <c r="I287" s="166" t="s">
        <v>76</v>
      </c>
      <c r="J287" s="166">
        <v>2</v>
      </c>
      <c r="K287" s="41" t="s">
        <v>77</v>
      </c>
      <c r="L287" s="41" t="s">
        <v>712</v>
      </c>
      <c r="M287" s="42" t="s">
        <v>712</v>
      </c>
      <c r="N287" s="41" t="s">
        <v>2317</v>
      </c>
      <c r="O287" s="42" t="s">
        <v>218</v>
      </c>
      <c r="P287" s="83" t="s">
        <v>440</v>
      </c>
      <c r="Q287" s="41" t="s">
        <v>199</v>
      </c>
      <c r="R287" s="166" t="s">
        <v>202</v>
      </c>
      <c r="S287" s="41" t="s">
        <v>201</v>
      </c>
      <c r="T287" s="166" t="s">
        <v>202</v>
      </c>
      <c r="U287" s="41" t="s">
        <v>202</v>
      </c>
      <c r="V287" s="41" t="s">
        <v>202</v>
      </c>
      <c r="W287" s="150" t="s">
        <v>2332</v>
      </c>
      <c r="X287" s="83" t="s">
        <v>2333</v>
      </c>
      <c r="Y287" s="41">
        <v>1000</v>
      </c>
      <c r="Z287" s="41" t="s">
        <v>100</v>
      </c>
      <c r="AA287" s="41">
        <v>100</v>
      </c>
      <c r="AB287" s="41">
        <v>0</v>
      </c>
      <c r="AC287" s="42" t="s">
        <v>2334</v>
      </c>
      <c r="AD287" s="41">
        <v>1000</v>
      </c>
      <c r="AE287" s="42" t="s">
        <v>92</v>
      </c>
      <c r="AF287" s="44" t="s">
        <v>93</v>
      </c>
      <c r="AG287" s="125" t="s">
        <v>649</v>
      </c>
      <c r="AH287" s="34" t="s">
        <v>95</v>
      </c>
    </row>
    <row r="288" spans="2:34" ht="101.25" customHeight="1">
      <c r="B288" s="46">
        <f t="shared" si="4"/>
        <v>285</v>
      </c>
      <c r="C288" s="168" t="str">
        <f>"$"&amp;VLOOKUP(LEFT([1]!Table2[[#This Row],[Column2]],2),[1]Definitions!$B$51:$C$66,2,FALSE)&amp;MID([1]!Table2[[#This Row],[Column2]],3,3)&amp;RIGHT([1]!Table2[[#This Row],[Column2]],2)</f>
        <v>$D04600</v>
      </c>
      <c r="D288" s="169" t="s">
        <v>2335</v>
      </c>
      <c r="E288" s="170" t="s">
        <v>2336</v>
      </c>
      <c r="F288" s="88" t="s">
        <v>199</v>
      </c>
      <c r="G288" s="166" t="s">
        <v>74</v>
      </c>
      <c r="H288" s="166" t="s">
        <v>75</v>
      </c>
      <c r="I288" s="166" t="s">
        <v>76</v>
      </c>
      <c r="J288" s="166">
        <v>2</v>
      </c>
      <c r="K288" s="41" t="s">
        <v>77</v>
      </c>
      <c r="L288" s="41" t="s">
        <v>2337</v>
      </c>
      <c r="M288" s="42" t="s">
        <v>2338</v>
      </c>
      <c r="N288" s="41" t="s">
        <v>2317</v>
      </c>
      <c r="O288" s="42" t="s">
        <v>218</v>
      </c>
      <c r="P288" s="83" t="s">
        <v>440</v>
      </c>
      <c r="Q288" s="41" t="s">
        <v>199</v>
      </c>
      <c r="R288" s="166" t="s">
        <v>202</v>
      </c>
      <c r="S288" s="41" t="s">
        <v>201</v>
      </c>
      <c r="T288" s="166" t="s">
        <v>202</v>
      </c>
      <c r="U288" s="41" t="s">
        <v>202</v>
      </c>
      <c r="V288" s="41" t="s">
        <v>202</v>
      </c>
      <c r="W288" s="150" t="s">
        <v>2318</v>
      </c>
      <c r="X288" s="83" t="s">
        <v>2339</v>
      </c>
      <c r="Y288" s="41">
        <v>1000</v>
      </c>
      <c r="Z288" s="41" t="s">
        <v>100</v>
      </c>
      <c r="AA288" s="41">
        <v>100</v>
      </c>
      <c r="AB288" s="41">
        <v>0</v>
      </c>
      <c r="AC288" s="42" t="s">
        <v>2340</v>
      </c>
      <c r="AD288" s="41">
        <v>1000</v>
      </c>
      <c r="AE288" s="65" t="s">
        <v>2341</v>
      </c>
      <c r="AF288" s="44" t="s">
        <v>93</v>
      </c>
      <c r="AG288" s="125" t="s">
        <v>152</v>
      </c>
      <c r="AH288" s="34" t="s">
        <v>208</v>
      </c>
    </row>
    <row r="289" spans="2:34" ht="101.25" customHeight="1">
      <c r="B289" s="46">
        <f t="shared" si="4"/>
        <v>286</v>
      </c>
      <c r="C289" s="168" t="str">
        <f>"$"&amp;VLOOKUP(LEFT([1]!Table2[[#This Row],[Column2]],2),[1]Definitions!$B$51:$C$66,2,FALSE)&amp;MID([1]!Table2[[#This Row],[Column2]],3,3)&amp;RIGHT([1]!Table2[[#This Row],[Column2]],2)</f>
        <v>$D04700</v>
      </c>
      <c r="D289" s="169" t="s">
        <v>2342</v>
      </c>
      <c r="E289" s="170" t="s">
        <v>2343</v>
      </c>
      <c r="F289" s="88" t="s">
        <v>199</v>
      </c>
      <c r="G289" s="166" t="s">
        <v>74</v>
      </c>
      <c r="H289" s="166" t="s">
        <v>75</v>
      </c>
      <c r="I289" s="166" t="s">
        <v>76</v>
      </c>
      <c r="J289" s="166">
        <v>2</v>
      </c>
      <c r="K289" s="41" t="s">
        <v>77</v>
      </c>
      <c r="L289" s="41" t="s">
        <v>202</v>
      </c>
      <c r="M289" s="42" t="s">
        <v>202</v>
      </c>
      <c r="N289" s="41" t="s">
        <v>2317</v>
      </c>
      <c r="O289" s="42" t="s">
        <v>218</v>
      </c>
      <c r="P289" s="83" t="s">
        <v>440</v>
      </c>
      <c r="Q289" s="41" t="s">
        <v>199</v>
      </c>
      <c r="R289" s="166" t="s">
        <v>202</v>
      </c>
      <c r="S289" s="41" t="s">
        <v>201</v>
      </c>
      <c r="T289" s="166" t="s">
        <v>202</v>
      </c>
      <c r="U289" s="41" t="s">
        <v>202</v>
      </c>
      <c r="V289" s="41" t="s">
        <v>202</v>
      </c>
      <c r="W289" s="150" t="s">
        <v>2318</v>
      </c>
      <c r="X289" s="83" t="s">
        <v>2344</v>
      </c>
      <c r="Y289" s="41">
        <v>1000</v>
      </c>
      <c r="Z289" s="41" t="s">
        <v>100</v>
      </c>
      <c r="AA289" s="41">
        <v>100</v>
      </c>
      <c r="AB289" s="41">
        <v>0</v>
      </c>
      <c r="AC289" s="42" t="s">
        <v>2345</v>
      </c>
      <c r="AD289" s="41">
        <v>1000</v>
      </c>
      <c r="AE289" s="42" t="s">
        <v>92</v>
      </c>
      <c r="AF289" s="44" t="s">
        <v>93</v>
      </c>
      <c r="AG289" s="125" t="s">
        <v>152</v>
      </c>
      <c r="AH289" s="34" t="s">
        <v>95</v>
      </c>
    </row>
    <row r="290" spans="2:34" ht="101.25" customHeight="1">
      <c r="B290" s="46">
        <f t="shared" si="4"/>
        <v>287</v>
      </c>
      <c r="C290" s="168" t="str">
        <f>"$"&amp;VLOOKUP(LEFT([1]!Table2[[#This Row],[Column2]],2),[1]Definitions!$B$51:$C$66,2,FALSE)&amp;MID([1]!Table2[[#This Row],[Column2]],3,3)&amp;RIGHT([1]!Table2[[#This Row],[Column2]],2)</f>
        <v>$D04800</v>
      </c>
      <c r="D290" s="169" t="s">
        <v>2346</v>
      </c>
      <c r="E290" s="170" t="s">
        <v>2347</v>
      </c>
      <c r="F290" s="88" t="s">
        <v>199</v>
      </c>
      <c r="G290" s="166" t="s">
        <v>74</v>
      </c>
      <c r="H290" s="166" t="s">
        <v>75</v>
      </c>
      <c r="I290" s="166" t="s">
        <v>76</v>
      </c>
      <c r="J290" s="166">
        <v>2</v>
      </c>
      <c r="K290" s="41" t="s">
        <v>77</v>
      </c>
      <c r="L290" s="41" t="s">
        <v>1198</v>
      </c>
      <c r="M290" s="42" t="s">
        <v>1198</v>
      </c>
      <c r="N290" s="41" t="s">
        <v>2317</v>
      </c>
      <c r="O290" s="42" t="s">
        <v>218</v>
      </c>
      <c r="P290" s="83" t="s">
        <v>440</v>
      </c>
      <c r="Q290" s="41" t="s">
        <v>199</v>
      </c>
      <c r="R290" s="166" t="s">
        <v>202</v>
      </c>
      <c r="S290" s="41" t="s">
        <v>201</v>
      </c>
      <c r="T290" s="166" t="s">
        <v>202</v>
      </c>
      <c r="U290" s="41" t="s">
        <v>202</v>
      </c>
      <c r="V290" s="41" t="s">
        <v>202</v>
      </c>
      <c r="W290" s="150" t="s">
        <v>2318</v>
      </c>
      <c r="X290" s="83" t="s">
        <v>2348</v>
      </c>
      <c r="Y290" s="41">
        <v>1000</v>
      </c>
      <c r="Z290" s="41" t="s">
        <v>100</v>
      </c>
      <c r="AA290" s="41">
        <v>100</v>
      </c>
      <c r="AB290" s="41">
        <v>0</v>
      </c>
      <c r="AC290" s="42" t="s">
        <v>2349</v>
      </c>
      <c r="AD290" s="41">
        <v>1000</v>
      </c>
      <c r="AE290" s="42" t="s">
        <v>92</v>
      </c>
      <c r="AF290" s="44" t="s">
        <v>93</v>
      </c>
      <c r="AG290" s="125" t="s">
        <v>152</v>
      </c>
      <c r="AH290" s="34" t="s">
        <v>95</v>
      </c>
    </row>
    <row r="291" spans="2:34" ht="101.25" customHeight="1">
      <c r="B291" s="46">
        <f t="shared" si="4"/>
        <v>288</v>
      </c>
      <c r="C291" s="168" t="str">
        <f>"$"&amp;VLOOKUP(LEFT([1]!Table2[[#This Row],[Column2]],2),[1]Definitions!$B$51:$C$66,2,FALSE)&amp;MID([1]!Table2[[#This Row],[Column2]],3,3)&amp;RIGHT([1]!Table2[[#This Row],[Column2]],2)</f>
        <v>$D04900</v>
      </c>
      <c r="D291" s="169" t="s">
        <v>2350</v>
      </c>
      <c r="E291" s="170" t="s">
        <v>2351</v>
      </c>
      <c r="F291" s="88" t="s">
        <v>199</v>
      </c>
      <c r="G291" s="166" t="s">
        <v>74</v>
      </c>
      <c r="H291" s="166" t="s">
        <v>75</v>
      </c>
      <c r="I291" s="166" t="s">
        <v>76</v>
      </c>
      <c r="J291" s="166">
        <v>2</v>
      </c>
      <c r="K291" s="41" t="s">
        <v>77</v>
      </c>
      <c r="L291" s="41" t="s">
        <v>202</v>
      </c>
      <c r="M291" s="42" t="s">
        <v>202</v>
      </c>
      <c r="N291" s="41" t="s">
        <v>2317</v>
      </c>
      <c r="O291" s="42" t="s">
        <v>218</v>
      </c>
      <c r="P291" s="83" t="s">
        <v>440</v>
      </c>
      <c r="Q291" s="41" t="s">
        <v>199</v>
      </c>
      <c r="R291" s="166" t="s">
        <v>202</v>
      </c>
      <c r="S291" s="41" t="s">
        <v>201</v>
      </c>
      <c r="T291" s="166" t="s">
        <v>202</v>
      </c>
      <c r="U291" s="41" t="s">
        <v>202</v>
      </c>
      <c r="V291" s="41" t="s">
        <v>202</v>
      </c>
      <c r="W291" s="150" t="s">
        <v>2352</v>
      </c>
      <c r="X291" s="83" t="s">
        <v>2353</v>
      </c>
      <c r="Y291" s="41">
        <v>2000</v>
      </c>
      <c r="Z291" s="41" t="s">
        <v>100</v>
      </c>
      <c r="AA291" s="41">
        <v>100</v>
      </c>
      <c r="AB291" s="41">
        <v>0</v>
      </c>
      <c r="AC291" s="42" t="s">
        <v>2354</v>
      </c>
      <c r="AD291" s="41">
        <v>1000</v>
      </c>
      <c r="AE291" s="42" t="s">
        <v>92</v>
      </c>
      <c r="AF291" s="44" t="s">
        <v>93</v>
      </c>
      <c r="AG291" s="125" t="s">
        <v>2042</v>
      </c>
      <c r="AH291" s="34" t="s">
        <v>95</v>
      </c>
    </row>
    <row r="292" spans="2:34" ht="101.25" customHeight="1">
      <c r="B292" s="46">
        <f t="shared" si="4"/>
        <v>289</v>
      </c>
      <c r="C292" s="168" t="str">
        <f>"$"&amp;VLOOKUP(LEFT([1]!Table2[[#This Row],[Column2]],2),[1]Definitions!$B$51:$C$66,2,FALSE)&amp;MID([1]!Table2[[#This Row],[Column2]],3,3)&amp;RIGHT([1]!Table2[[#This Row],[Column2]],2)</f>
        <v>$D04E00</v>
      </c>
      <c r="D292" s="169" t="s">
        <v>2355</v>
      </c>
      <c r="E292" s="170" t="s">
        <v>2356</v>
      </c>
      <c r="F292" s="41" t="s">
        <v>1761</v>
      </c>
      <c r="G292" s="166" t="s">
        <v>74</v>
      </c>
      <c r="H292" s="166" t="s">
        <v>75</v>
      </c>
      <c r="I292" s="166" t="s">
        <v>76</v>
      </c>
      <c r="J292" s="171">
        <v>2</v>
      </c>
      <c r="K292" s="41" t="s">
        <v>77</v>
      </c>
      <c r="L292" s="41" t="s">
        <v>2357</v>
      </c>
      <c r="M292" s="42" t="s">
        <v>1776</v>
      </c>
      <c r="N292" s="41" t="s">
        <v>76</v>
      </c>
      <c r="O292" s="42" t="s">
        <v>218</v>
      </c>
      <c r="P292" s="42" t="s">
        <v>219</v>
      </c>
      <c r="Q292" s="41" t="s">
        <v>199</v>
      </c>
      <c r="R292" s="166" t="s">
        <v>202</v>
      </c>
      <c r="S292" s="41" t="s">
        <v>201</v>
      </c>
      <c r="T292" s="166" t="s">
        <v>202</v>
      </c>
      <c r="U292" s="41" t="s">
        <v>202</v>
      </c>
      <c r="V292" s="41" t="s">
        <v>202</v>
      </c>
      <c r="W292" s="153" t="s">
        <v>1765</v>
      </c>
      <c r="X292" s="83" t="s">
        <v>2358</v>
      </c>
      <c r="Y292" s="41">
        <v>1000</v>
      </c>
      <c r="Z292" s="43" t="s">
        <v>100</v>
      </c>
      <c r="AA292" s="41">
        <v>100</v>
      </c>
      <c r="AB292" s="41">
        <v>0</v>
      </c>
      <c r="AC292" s="42" t="s">
        <v>2359</v>
      </c>
      <c r="AD292" s="41">
        <v>1000</v>
      </c>
      <c r="AE292" s="42" t="s">
        <v>92</v>
      </c>
      <c r="AF292" s="44" t="s">
        <v>93</v>
      </c>
      <c r="AG292" s="125" t="s">
        <v>649</v>
      </c>
      <c r="AH292" s="34" t="s">
        <v>95</v>
      </c>
    </row>
    <row r="293" spans="2:34" ht="101.25" customHeight="1">
      <c r="B293" s="46">
        <f t="shared" si="4"/>
        <v>290</v>
      </c>
      <c r="C293" s="168" t="str">
        <f>"$"&amp;VLOOKUP(LEFT([1]!Table2[[#This Row],[Column2]],2),[1]Definitions!$B$51:$C$66,2,FALSE)&amp;MID([1]!Table2[[#This Row],[Column2]],3,3)&amp;RIGHT([1]!Table2[[#This Row],[Column2]],2)</f>
        <v>$D05700</v>
      </c>
      <c r="D293" s="169" t="s">
        <v>2360</v>
      </c>
      <c r="E293" s="170" t="s">
        <v>2361</v>
      </c>
      <c r="F293" s="41" t="s">
        <v>1761</v>
      </c>
      <c r="G293" s="166" t="s">
        <v>74</v>
      </c>
      <c r="H293" s="166" t="s">
        <v>75</v>
      </c>
      <c r="I293" s="166" t="s">
        <v>76</v>
      </c>
      <c r="J293" s="171">
        <v>2</v>
      </c>
      <c r="K293" s="41" t="s">
        <v>77</v>
      </c>
      <c r="L293" s="41" t="s">
        <v>1145</v>
      </c>
      <c r="M293" s="42" t="s">
        <v>1776</v>
      </c>
      <c r="N293" s="41" t="s">
        <v>76</v>
      </c>
      <c r="O293" s="42" t="s">
        <v>218</v>
      </c>
      <c r="P293" s="42" t="s">
        <v>219</v>
      </c>
      <c r="Q293" s="41" t="s">
        <v>199</v>
      </c>
      <c r="R293" s="166" t="s">
        <v>202</v>
      </c>
      <c r="S293" s="41" t="s">
        <v>201</v>
      </c>
      <c r="T293" s="166" t="s">
        <v>202</v>
      </c>
      <c r="U293" s="41" t="s">
        <v>202</v>
      </c>
      <c r="V293" s="41" t="s">
        <v>202</v>
      </c>
      <c r="W293" s="153" t="s">
        <v>2362</v>
      </c>
      <c r="X293" s="83" t="s">
        <v>2363</v>
      </c>
      <c r="Y293" s="41">
        <v>1000</v>
      </c>
      <c r="Z293" s="43" t="s">
        <v>100</v>
      </c>
      <c r="AA293" s="41">
        <v>100</v>
      </c>
      <c r="AB293" s="41">
        <v>0</v>
      </c>
      <c r="AC293" s="42" t="s">
        <v>2364</v>
      </c>
      <c r="AD293" s="41">
        <v>1000</v>
      </c>
      <c r="AE293" s="42" t="s">
        <v>92</v>
      </c>
      <c r="AF293" s="44" t="s">
        <v>93</v>
      </c>
      <c r="AG293" s="125" t="s">
        <v>649</v>
      </c>
      <c r="AH293" s="34" t="s">
        <v>95</v>
      </c>
    </row>
    <row r="294" spans="2:34" ht="101.25" customHeight="1">
      <c r="B294" s="46">
        <f t="shared" si="4"/>
        <v>291</v>
      </c>
      <c r="C294" s="168" t="str">
        <f>"$"&amp;VLOOKUP(LEFT([1]!Table2[[#This Row],[Column2]],2),[1]Definitions!$B$51:$C$66,2,FALSE)&amp;MID([1]!Table2[[#This Row],[Column2]],3,3)&amp;RIGHT([1]!Table2[[#This Row],[Column2]],2)</f>
        <v>$D05F00</v>
      </c>
      <c r="D294" s="169" t="s">
        <v>2365</v>
      </c>
      <c r="E294" s="170" t="s">
        <v>2366</v>
      </c>
      <c r="F294" s="41" t="s">
        <v>1761</v>
      </c>
      <c r="G294" s="166" t="s">
        <v>74</v>
      </c>
      <c r="H294" s="166" t="s">
        <v>75</v>
      </c>
      <c r="I294" s="166" t="s">
        <v>76</v>
      </c>
      <c r="J294" s="171">
        <v>2</v>
      </c>
      <c r="K294" s="41" t="s">
        <v>77</v>
      </c>
      <c r="L294" s="41" t="s">
        <v>1145</v>
      </c>
      <c r="M294" s="42" t="s">
        <v>1776</v>
      </c>
      <c r="N294" s="41" t="s">
        <v>76</v>
      </c>
      <c r="O294" s="42" t="s">
        <v>218</v>
      </c>
      <c r="P294" s="42" t="s">
        <v>219</v>
      </c>
      <c r="Q294" s="41" t="s">
        <v>199</v>
      </c>
      <c r="R294" s="166" t="s">
        <v>202</v>
      </c>
      <c r="S294" s="41" t="s">
        <v>201</v>
      </c>
      <c r="T294" s="166" t="s">
        <v>202</v>
      </c>
      <c r="U294" s="41" t="s">
        <v>202</v>
      </c>
      <c r="V294" s="41" t="s">
        <v>202</v>
      </c>
      <c r="W294" s="153" t="s">
        <v>1765</v>
      </c>
      <c r="X294" s="83" t="s">
        <v>2367</v>
      </c>
      <c r="Y294" s="41">
        <v>1000</v>
      </c>
      <c r="Z294" s="43" t="s">
        <v>100</v>
      </c>
      <c r="AA294" s="41">
        <v>100</v>
      </c>
      <c r="AB294" s="41">
        <v>0</v>
      </c>
      <c r="AC294" s="42" t="s">
        <v>2368</v>
      </c>
      <c r="AD294" s="41">
        <v>1000</v>
      </c>
      <c r="AE294" s="42" t="s">
        <v>92</v>
      </c>
      <c r="AF294" s="44" t="s">
        <v>93</v>
      </c>
      <c r="AG294" s="125" t="s">
        <v>649</v>
      </c>
      <c r="AH294" s="34" t="s">
        <v>95</v>
      </c>
    </row>
    <row r="295" spans="2:34" ht="101.25" customHeight="1">
      <c r="B295" s="46">
        <f t="shared" si="4"/>
        <v>292</v>
      </c>
      <c r="C295" s="168" t="str">
        <f>"$"&amp;VLOOKUP(LEFT([1]!Table2[[#This Row],[Column2]],2),[1]Definitions!$B$51:$C$66,2,FALSE)&amp;MID([1]!Table2[[#This Row],[Column2]],3,3)&amp;RIGHT([1]!Table2[[#This Row],[Column2]],2)</f>
        <v>$D07100</v>
      </c>
      <c r="D295" s="169" t="s">
        <v>2369</v>
      </c>
      <c r="E295" s="170" t="s">
        <v>2370</v>
      </c>
      <c r="F295" s="88" t="s">
        <v>199</v>
      </c>
      <c r="G295" s="166" t="s">
        <v>74</v>
      </c>
      <c r="H295" s="166" t="s">
        <v>75</v>
      </c>
      <c r="I295" s="166" t="s">
        <v>76</v>
      </c>
      <c r="J295" s="166">
        <v>2</v>
      </c>
      <c r="K295" s="41" t="s">
        <v>77</v>
      </c>
      <c r="L295" s="41" t="s">
        <v>200</v>
      </c>
      <c r="M295" s="42" t="s">
        <v>2371</v>
      </c>
      <c r="N295" s="41" t="s">
        <v>2317</v>
      </c>
      <c r="O295" s="42" t="s">
        <v>218</v>
      </c>
      <c r="P295" s="83" t="s">
        <v>440</v>
      </c>
      <c r="Q295" s="41" t="s">
        <v>199</v>
      </c>
      <c r="R295" s="166" t="s">
        <v>202</v>
      </c>
      <c r="S295" s="41" t="s">
        <v>201</v>
      </c>
      <c r="T295" s="166" t="s">
        <v>202</v>
      </c>
      <c r="U295" s="41" t="s">
        <v>202</v>
      </c>
      <c r="V295" s="41" t="s">
        <v>202</v>
      </c>
      <c r="W295" s="150" t="s">
        <v>2372</v>
      </c>
      <c r="X295" s="83" t="s">
        <v>2373</v>
      </c>
      <c r="Y295" s="41">
        <v>1000</v>
      </c>
      <c r="Z295" s="41" t="s">
        <v>100</v>
      </c>
      <c r="AA295" s="41">
        <v>100</v>
      </c>
      <c r="AB295" s="41">
        <v>0</v>
      </c>
      <c r="AC295" s="42" t="s">
        <v>2374</v>
      </c>
      <c r="AD295" s="41">
        <v>1000</v>
      </c>
      <c r="AE295" s="42" t="s">
        <v>92</v>
      </c>
      <c r="AF295" s="44" t="s">
        <v>93</v>
      </c>
      <c r="AG295" s="125" t="s">
        <v>2314</v>
      </c>
      <c r="AH295" s="34" t="s">
        <v>95</v>
      </c>
    </row>
    <row r="296" spans="2:34" ht="101.25" customHeight="1">
      <c r="B296" s="46">
        <f t="shared" si="4"/>
        <v>293</v>
      </c>
      <c r="C296" s="154" t="str">
        <f>"$"&amp;VLOOKUP(LEFT([1]!Table2[[#This Row],[Column2]],2),[1]Definitions!$B$51:$C$66,2,FALSE)&amp;MID([1]!Table2[[#This Row],[Column2]],3,3)&amp;RIGHT([1]!Table2[[#This Row],[Column2]],2)</f>
        <v>$D07D00</v>
      </c>
      <c r="D296" s="172" t="s">
        <v>2375</v>
      </c>
      <c r="E296" s="151" t="s">
        <v>2376</v>
      </c>
      <c r="F296" s="88" t="s">
        <v>199</v>
      </c>
      <c r="G296" s="172" t="s">
        <v>74</v>
      </c>
      <c r="H296" s="172" t="s">
        <v>75</v>
      </c>
      <c r="I296" s="172" t="s">
        <v>76</v>
      </c>
      <c r="J296" s="172">
        <v>2</v>
      </c>
      <c r="K296" s="88" t="s">
        <v>77</v>
      </c>
      <c r="L296" s="88" t="s">
        <v>712</v>
      </c>
      <c r="M296" s="88" t="s">
        <v>712</v>
      </c>
      <c r="N296" s="41" t="s">
        <v>76</v>
      </c>
      <c r="O296" s="88" t="s">
        <v>219</v>
      </c>
      <c r="P296" s="88" t="s">
        <v>219</v>
      </c>
      <c r="Q296" s="41" t="s">
        <v>199</v>
      </c>
      <c r="R296" s="172" t="s">
        <v>202</v>
      </c>
      <c r="S296" s="88" t="s">
        <v>202</v>
      </c>
      <c r="T296" s="172" t="s">
        <v>202</v>
      </c>
      <c r="U296" s="88" t="s">
        <v>202</v>
      </c>
      <c r="V296" s="88" t="s">
        <v>202</v>
      </c>
      <c r="W296" s="150" t="s">
        <v>2377</v>
      </c>
      <c r="X296" s="88" t="s">
        <v>2378</v>
      </c>
      <c r="Y296" s="88">
        <v>2000</v>
      </c>
      <c r="Z296" s="88" t="s">
        <v>100</v>
      </c>
      <c r="AA296" s="88">
        <v>100</v>
      </c>
      <c r="AB296" s="88">
        <v>0</v>
      </c>
      <c r="AC296" s="88" t="s">
        <v>2379</v>
      </c>
      <c r="AD296" s="88">
        <v>2000</v>
      </c>
      <c r="AE296" s="26" t="s">
        <v>92</v>
      </c>
      <c r="AF296" s="44" t="s">
        <v>93</v>
      </c>
      <c r="AG296" s="173" t="s">
        <v>1969</v>
      </c>
      <c r="AH296" s="34" t="s">
        <v>95</v>
      </c>
    </row>
    <row r="297" spans="2:34" ht="101.25" customHeight="1">
      <c r="B297" s="46">
        <f t="shared" si="4"/>
        <v>294</v>
      </c>
      <c r="C297" s="172" t="str">
        <f>"$"&amp;VLOOKUP(LEFT([1]!Table2[[#This Row],[Column2]],2),[1]Definitions!$B$51:$C$66,2,FALSE)&amp;MID([1]!Table2[[#This Row],[Column2]],3,3)&amp;RIGHT([1]!Table2[[#This Row],[Column2]],2)</f>
        <v>$D07E00</v>
      </c>
      <c r="D297" s="172" t="s">
        <v>2380</v>
      </c>
      <c r="E297" s="151" t="s">
        <v>2381</v>
      </c>
      <c r="F297" s="88" t="s">
        <v>199</v>
      </c>
      <c r="G297" s="172" t="s">
        <v>74</v>
      </c>
      <c r="H297" s="172" t="s">
        <v>75</v>
      </c>
      <c r="I297" s="172" t="s">
        <v>76</v>
      </c>
      <c r="J297" s="172">
        <v>2</v>
      </c>
      <c r="K297" s="88" t="s">
        <v>77</v>
      </c>
      <c r="L297" s="88" t="s">
        <v>712</v>
      </c>
      <c r="M297" s="88" t="s">
        <v>712</v>
      </c>
      <c r="N297" s="41" t="s">
        <v>76</v>
      </c>
      <c r="O297" s="88" t="s">
        <v>219</v>
      </c>
      <c r="P297" s="88" t="s">
        <v>219</v>
      </c>
      <c r="Q297" s="41" t="s">
        <v>199</v>
      </c>
      <c r="R297" s="172" t="s">
        <v>202</v>
      </c>
      <c r="S297" s="88" t="s">
        <v>201</v>
      </c>
      <c r="T297" s="172" t="s">
        <v>202</v>
      </c>
      <c r="U297" s="88" t="s">
        <v>202</v>
      </c>
      <c r="V297" s="88" t="s">
        <v>202</v>
      </c>
      <c r="W297" s="150" t="s">
        <v>2382</v>
      </c>
      <c r="X297" s="88" t="s">
        <v>2383</v>
      </c>
      <c r="Y297" s="88">
        <v>2000</v>
      </c>
      <c r="Z297" s="88" t="s">
        <v>100</v>
      </c>
      <c r="AA297" s="88">
        <v>100</v>
      </c>
      <c r="AB297" s="88">
        <v>0</v>
      </c>
      <c r="AC297" s="88" t="s">
        <v>2384</v>
      </c>
      <c r="AD297" s="88">
        <v>2000</v>
      </c>
      <c r="AE297" s="26" t="s">
        <v>92</v>
      </c>
      <c r="AF297" s="44" t="s">
        <v>93</v>
      </c>
      <c r="AG297" s="173" t="s">
        <v>1969</v>
      </c>
      <c r="AH297" s="34" t="s">
        <v>95</v>
      </c>
    </row>
    <row r="298" spans="2:34" ht="123.75" customHeight="1">
      <c r="B298" s="46">
        <f t="shared" si="4"/>
        <v>295</v>
      </c>
      <c r="C298" s="154" t="str">
        <f>"$"&amp;VLOOKUP(LEFT([1]!Table2[[#This Row],[Column2]],2),[1]Definitions!$B$51:$C$66,2,FALSE)&amp;MID([1]!Table2[[#This Row],[Column2]],3,3)&amp;RIGHT([1]!Table2[[#This Row],[Column2]],2)</f>
        <v>$D12200</v>
      </c>
      <c r="D298" s="153" t="s">
        <v>2385</v>
      </c>
      <c r="E298" s="151" t="s">
        <v>2386</v>
      </c>
      <c r="F298" s="41" t="s">
        <v>199</v>
      </c>
      <c r="G298" s="152" t="s">
        <v>74</v>
      </c>
      <c r="H298" s="152" t="s">
        <v>75</v>
      </c>
      <c r="I298" s="152" t="s">
        <v>76</v>
      </c>
      <c r="J298" s="152">
        <v>2</v>
      </c>
      <c r="K298" s="41" t="s">
        <v>77</v>
      </c>
      <c r="L298" s="41" t="s">
        <v>2387</v>
      </c>
      <c r="M298" s="82" t="s">
        <v>2388</v>
      </c>
      <c r="N298" s="41" t="s">
        <v>76</v>
      </c>
      <c r="O298" s="42" t="s">
        <v>218</v>
      </c>
      <c r="P298" s="42" t="s">
        <v>219</v>
      </c>
      <c r="Q298" s="41" t="s">
        <v>199</v>
      </c>
      <c r="R298" s="172" t="s">
        <v>202</v>
      </c>
      <c r="S298" s="41" t="s">
        <v>201</v>
      </c>
      <c r="T298" s="172" t="s">
        <v>202</v>
      </c>
      <c r="U298" s="43" t="s">
        <v>202</v>
      </c>
      <c r="V298" s="43" t="s">
        <v>202</v>
      </c>
      <c r="W298" s="150" t="s">
        <v>2389</v>
      </c>
      <c r="X298" s="64" t="s">
        <v>2390</v>
      </c>
      <c r="Y298" s="41">
        <v>7500</v>
      </c>
      <c r="Z298" s="43" t="s">
        <v>100</v>
      </c>
      <c r="AA298" s="41">
        <v>400</v>
      </c>
      <c r="AB298" s="41">
        <v>0</v>
      </c>
      <c r="AC298" s="64" t="s">
        <v>2391</v>
      </c>
      <c r="AD298" s="41">
        <v>7500</v>
      </c>
      <c r="AE298" s="26" t="s">
        <v>92</v>
      </c>
      <c r="AF298" s="44" t="s">
        <v>93</v>
      </c>
      <c r="AG298" s="96" t="s">
        <v>649</v>
      </c>
      <c r="AH298" s="34" t="s">
        <v>95</v>
      </c>
    </row>
    <row r="299" spans="2:34" ht="123.75" customHeight="1">
      <c r="B299" s="46">
        <f t="shared" si="4"/>
        <v>296</v>
      </c>
      <c r="C299" s="154" t="str">
        <f>"$"&amp;VLOOKUP(LEFT([1]!Table2[[#This Row],[Column2]],2),[1]Definitions!$B$51:$C$66,2,FALSE)&amp;MID([1]!Table2[[#This Row],[Column2]],3,3)&amp;RIGHT([1]!Table2[[#This Row],[Column2]],2)</f>
        <v>$D12300</v>
      </c>
      <c r="D299" s="153" t="s">
        <v>2392</v>
      </c>
      <c r="E299" s="151" t="s">
        <v>2393</v>
      </c>
      <c r="F299" s="41" t="s">
        <v>199</v>
      </c>
      <c r="G299" s="152" t="s">
        <v>74</v>
      </c>
      <c r="H299" s="152" t="s">
        <v>75</v>
      </c>
      <c r="I299" s="152" t="s">
        <v>76</v>
      </c>
      <c r="J299" s="152">
        <v>2</v>
      </c>
      <c r="K299" s="41" t="s">
        <v>77</v>
      </c>
      <c r="L299" s="41" t="s">
        <v>2387</v>
      </c>
      <c r="M299" s="82" t="s">
        <v>2394</v>
      </c>
      <c r="N299" s="41" t="s">
        <v>76</v>
      </c>
      <c r="O299" s="42" t="s">
        <v>218</v>
      </c>
      <c r="P299" s="42" t="s">
        <v>219</v>
      </c>
      <c r="Q299" s="41" t="s">
        <v>199</v>
      </c>
      <c r="R299" s="172" t="s">
        <v>202</v>
      </c>
      <c r="S299" s="41" t="s">
        <v>201</v>
      </c>
      <c r="T299" s="172" t="s">
        <v>202</v>
      </c>
      <c r="U299" s="43" t="s">
        <v>202</v>
      </c>
      <c r="V299" s="43" t="s">
        <v>202</v>
      </c>
      <c r="W299" s="150" t="s">
        <v>2395</v>
      </c>
      <c r="X299" s="64" t="s">
        <v>2396</v>
      </c>
      <c r="Y299" s="41">
        <v>7500</v>
      </c>
      <c r="Z299" s="43" t="s">
        <v>100</v>
      </c>
      <c r="AA299" s="41">
        <v>400</v>
      </c>
      <c r="AB299" s="41">
        <v>0</v>
      </c>
      <c r="AC299" s="65" t="s">
        <v>2397</v>
      </c>
      <c r="AD299" s="41">
        <v>7500</v>
      </c>
      <c r="AE299" s="26" t="s">
        <v>92</v>
      </c>
      <c r="AF299" s="44" t="s">
        <v>93</v>
      </c>
      <c r="AG299" s="84" t="s">
        <v>912</v>
      </c>
      <c r="AH299" s="34" t="s">
        <v>95</v>
      </c>
    </row>
    <row r="300" spans="2:34" ht="101.25" customHeight="1">
      <c r="B300" s="46">
        <f t="shared" si="4"/>
        <v>297</v>
      </c>
      <c r="C300" s="164" t="str">
        <f>"$"&amp;VLOOKUP(LEFT([1]!Table2[[#This Row],[Column2]],2),[1]Definitions!$B$51:$C$66,2,FALSE)&amp;MID([1]!Table2[[#This Row],[Column2]],3,3)&amp;RIGHT([1]!Table2[[#This Row],[Column2]],2)</f>
        <v>$D12400</v>
      </c>
      <c r="D300" s="165" t="s">
        <v>2398</v>
      </c>
      <c r="E300" s="155" t="s">
        <v>2399</v>
      </c>
      <c r="F300" s="88" t="s">
        <v>199</v>
      </c>
      <c r="G300" s="166" t="s">
        <v>74</v>
      </c>
      <c r="H300" s="166" t="s">
        <v>75</v>
      </c>
      <c r="I300" s="166" t="s">
        <v>76</v>
      </c>
      <c r="J300" s="166">
        <v>2</v>
      </c>
      <c r="K300" s="41" t="s">
        <v>77</v>
      </c>
      <c r="L300" s="41" t="s">
        <v>712</v>
      </c>
      <c r="M300" s="42" t="s">
        <v>712</v>
      </c>
      <c r="N300" s="41" t="s">
        <v>76</v>
      </c>
      <c r="O300" s="42" t="s">
        <v>218</v>
      </c>
      <c r="P300" s="42" t="s">
        <v>219</v>
      </c>
      <c r="Q300" s="41" t="s">
        <v>199</v>
      </c>
      <c r="R300" s="166" t="s">
        <v>202</v>
      </c>
      <c r="S300" s="41" t="s">
        <v>201</v>
      </c>
      <c r="T300" s="167" t="s">
        <v>202</v>
      </c>
      <c r="U300" s="43" t="s">
        <v>202</v>
      </c>
      <c r="V300" s="43" t="s">
        <v>202</v>
      </c>
      <c r="W300" s="153" t="s">
        <v>2400</v>
      </c>
      <c r="X300" s="83" t="s">
        <v>2401</v>
      </c>
      <c r="Y300" s="41">
        <v>2500</v>
      </c>
      <c r="Z300" s="43" t="s">
        <v>100</v>
      </c>
      <c r="AA300" s="41">
        <v>100</v>
      </c>
      <c r="AB300" s="41">
        <v>0</v>
      </c>
      <c r="AC300" s="41" t="s">
        <v>674</v>
      </c>
      <c r="AD300" s="41">
        <v>2500</v>
      </c>
      <c r="AE300" s="26" t="s">
        <v>92</v>
      </c>
      <c r="AF300" s="44" t="s">
        <v>93</v>
      </c>
      <c r="AG300" s="125" t="s">
        <v>152</v>
      </c>
      <c r="AH300" s="34" t="s">
        <v>95</v>
      </c>
    </row>
    <row r="301" spans="2:34" ht="135" customHeight="1">
      <c r="B301" s="46">
        <f t="shared" si="4"/>
        <v>298</v>
      </c>
      <c r="C301" s="164" t="str">
        <f>"$"&amp;VLOOKUP(LEFT([1]!Table2[[#This Row],[Column2]],2),[1]Definitions!$B$51:$C$66,2,FALSE)&amp;MID([1]!Table2[[#This Row],[Column2]],3,3)&amp;RIGHT([1]!Table2[[#This Row],[Column2]],2)</f>
        <v>$D12D00</v>
      </c>
      <c r="D301" s="165" t="s">
        <v>2402</v>
      </c>
      <c r="E301" s="155" t="s">
        <v>2403</v>
      </c>
      <c r="F301" s="88" t="s">
        <v>199</v>
      </c>
      <c r="G301" s="166" t="s">
        <v>74</v>
      </c>
      <c r="H301" s="166" t="s">
        <v>75</v>
      </c>
      <c r="I301" s="166" t="s">
        <v>76</v>
      </c>
      <c r="J301" s="166">
        <v>2</v>
      </c>
      <c r="K301" s="41" t="s">
        <v>77</v>
      </c>
      <c r="L301" s="41" t="s">
        <v>2404</v>
      </c>
      <c r="M301" s="65" t="s">
        <v>2405</v>
      </c>
      <c r="N301" s="41" t="s">
        <v>76</v>
      </c>
      <c r="O301" s="42" t="s">
        <v>218</v>
      </c>
      <c r="P301" s="42" t="s">
        <v>219</v>
      </c>
      <c r="Q301" s="41" t="s">
        <v>199</v>
      </c>
      <c r="R301" s="166" t="s">
        <v>202</v>
      </c>
      <c r="S301" s="41" t="s">
        <v>201</v>
      </c>
      <c r="T301" s="167" t="s">
        <v>202</v>
      </c>
      <c r="U301" s="43" t="s">
        <v>202</v>
      </c>
      <c r="V301" s="43" t="s">
        <v>202</v>
      </c>
      <c r="W301" s="153" t="s">
        <v>2406</v>
      </c>
      <c r="X301" s="83" t="s">
        <v>2407</v>
      </c>
      <c r="Y301" s="41">
        <v>2500</v>
      </c>
      <c r="Z301" s="43" t="s">
        <v>100</v>
      </c>
      <c r="AA301" s="41">
        <v>100</v>
      </c>
      <c r="AB301" s="41">
        <v>0</v>
      </c>
      <c r="AC301" s="41" t="s">
        <v>674</v>
      </c>
      <c r="AD301" s="41">
        <v>500</v>
      </c>
      <c r="AE301" s="33" t="s">
        <v>2408</v>
      </c>
      <c r="AF301" s="44" t="s">
        <v>93</v>
      </c>
      <c r="AG301" s="125" t="s">
        <v>152</v>
      </c>
      <c r="AH301" s="34" t="s">
        <v>208</v>
      </c>
    </row>
    <row r="302" spans="2:34" ht="67.5" customHeight="1">
      <c r="B302" s="46">
        <f t="shared" si="4"/>
        <v>299</v>
      </c>
      <c r="C302" s="154" t="str">
        <f>"$"&amp;VLOOKUP(LEFT([1]!Table2[[#This Row],[Column2]],2),[1]Definitions!$B$51:$C$66,2,FALSE)&amp;MID([1]!Table2[[#This Row],[Column2]],3,3)&amp;RIGHT([1]!Table2[[#This Row],[Column2]],2)</f>
        <v>$D13100</v>
      </c>
      <c r="D302" s="168" t="s">
        <v>2409</v>
      </c>
      <c r="E302" s="170" t="s">
        <v>2410</v>
      </c>
      <c r="F302" s="41" t="s">
        <v>199</v>
      </c>
      <c r="G302" s="152" t="s">
        <v>74</v>
      </c>
      <c r="H302" s="152" t="s">
        <v>75</v>
      </c>
      <c r="I302" s="152" t="s">
        <v>76</v>
      </c>
      <c r="J302" s="152">
        <v>2</v>
      </c>
      <c r="K302" s="41" t="s">
        <v>77</v>
      </c>
      <c r="L302" s="41" t="s">
        <v>1817</v>
      </c>
      <c r="M302" s="63" t="s">
        <v>2411</v>
      </c>
      <c r="N302" s="41" t="s">
        <v>76</v>
      </c>
      <c r="O302" s="42" t="s">
        <v>2412</v>
      </c>
      <c r="P302" s="42" t="s">
        <v>2413</v>
      </c>
      <c r="Q302" s="41" t="s">
        <v>199</v>
      </c>
      <c r="R302" s="166" t="s">
        <v>202</v>
      </c>
      <c r="S302" s="41" t="s">
        <v>201</v>
      </c>
      <c r="T302" s="166" t="s">
        <v>202</v>
      </c>
      <c r="U302" s="43" t="s">
        <v>202</v>
      </c>
      <c r="V302" s="43" t="s">
        <v>202</v>
      </c>
      <c r="W302" s="150" t="s">
        <v>1819</v>
      </c>
      <c r="X302" s="83" t="s">
        <v>2414</v>
      </c>
      <c r="Y302" s="41">
        <v>5000</v>
      </c>
      <c r="Z302" s="43" t="s">
        <v>100</v>
      </c>
      <c r="AA302" s="41">
        <v>100</v>
      </c>
      <c r="AB302" s="41">
        <v>0</v>
      </c>
      <c r="AC302" s="42" t="s">
        <v>2415</v>
      </c>
      <c r="AD302" s="41">
        <v>5000</v>
      </c>
      <c r="AE302" s="26" t="s">
        <v>92</v>
      </c>
      <c r="AF302" s="44" t="s">
        <v>93</v>
      </c>
      <c r="AG302" s="89" t="s">
        <v>1823</v>
      </c>
      <c r="AH302" s="34" t="s">
        <v>95</v>
      </c>
    </row>
    <row r="303" spans="2:34" ht="180" customHeight="1">
      <c r="B303" s="24">
        <f t="shared" si="4"/>
        <v>300</v>
      </c>
      <c r="C303" s="174" t="str">
        <f>"$"&amp;VLOOKUP(LEFT([1]!Table2[[#This Row],[Column2]],2),[1]Definitions!$B$51:$C$66,2,FALSE)&amp;MID([1]!Table2[[#This Row],[Column2]],3,3)&amp;RIGHT([1]!Table2[[#This Row],[Column2]],2)</f>
        <v>$D13B00</v>
      </c>
      <c r="D303" s="175" t="s">
        <v>2416</v>
      </c>
      <c r="E303" s="176" t="s">
        <v>2417</v>
      </c>
      <c r="F303" s="177" t="s">
        <v>199</v>
      </c>
      <c r="G303" s="178" t="s">
        <v>74</v>
      </c>
      <c r="H303" s="178" t="s">
        <v>75</v>
      </c>
      <c r="I303" s="178" t="s">
        <v>76</v>
      </c>
      <c r="J303" s="178">
        <v>2</v>
      </c>
      <c r="K303" s="179" t="s">
        <v>77</v>
      </c>
      <c r="L303" s="179" t="s">
        <v>1804</v>
      </c>
      <c r="M303" s="180" t="s">
        <v>2418</v>
      </c>
      <c r="N303" s="179" t="s">
        <v>76</v>
      </c>
      <c r="O303" s="180" t="s">
        <v>218</v>
      </c>
      <c r="P303" s="180" t="s">
        <v>219</v>
      </c>
      <c r="Q303" s="179" t="s">
        <v>199</v>
      </c>
      <c r="R303" s="178" t="s">
        <v>202</v>
      </c>
      <c r="S303" s="179" t="s">
        <v>201</v>
      </c>
      <c r="T303" s="181" t="s">
        <v>202</v>
      </c>
      <c r="U303" s="182" t="s">
        <v>202</v>
      </c>
      <c r="V303" s="182" t="s">
        <v>202</v>
      </c>
      <c r="W303" s="183" t="s">
        <v>2419</v>
      </c>
      <c r="X303" s="184" t="s">
        <v>2420</v>
      </c>
      <c r="Y303" s="179">
        <v>2500</v>
      </c>
      <c r="Z303" s="182" t="s">
        <v>100</v>
      </c>
      <c r="AA303" s="179">
        <v>100</v>
      </c>
      <c r="AB303" s="179">
        <v>0</v>
      </c>
      <c r="AC303" s="179" t="s">
        <v>674</v>
      </c>
      <c r="AD303" s="179">
        <v>2500</v>
      </c>
      <c r="AE303" s="185" t="s">
        <v>2421</v>
      </c>
      <c r="AF303" s="186" t="s">
        <v>93</v>
      </c>
      <c r="AG303" s="187" t="s">
        <v>2422</v>
      </c>
      <c r="AH303" s="188" t="s">
        <v>208</v>
      </c>
    </row>
    <row r="304" spans="2:34" ht="101.25" customHeight="1">
      <c r="B304" s="24">
        <f t="shared" si="4"/>
        <v>301</v>
      </c>
      <c r="C304" s="164" t="str">
        <f>"$"&amp;VLOOKUP(LEFT([1]!Table2[[#This Row],[Column2]],2),[1]Definitions!$B$51:$C$66,2,FALSE)&amp;MID([1]!Table2[[#This Row],[Column2]],3,3)&amp;RIGHT([1]!Table2[[#This Row],[Column2]],2)</f>
        <v>$D13E00</v>
      </c>
      <c r="D304" s="165" t="s">
        <v>2423</v>
      </c>
      <c r="E304" s="155" t="s">
        <v>2424</v>
      </c>
      <c r="F304" s="88" t="s">
        <v>199</v>
      </c>
      <c r="G304" s="166" t="s">
        <v>74</v>
      </c>
      <c r="H304" s="166" t="s">
        <v>75</v>
      </c>
      <c r="I304" s="166" t="s">
        <v>76</v>
      </c>
      <c r="J304" s="166">
        <v>2</v>
      </c>
      <c r="K304" s="41" t="s">
        <v>77</v>
      </c>
      <c r="L304" s="41" t="s">
        <v>1129</v>
      </c>
      <c r="M304" s="42" t="s">
        <v>2425</v>
      </c>
      <c r="N304" s="41" t="s">
        <v>76</v>
      </c>
      <c r="O304" s="42" t="s">
        <v>218</v>
      </c>
      <c r="P304" s="42" t="s">
        <v>219</v>
      </c>
      <c r="Q304" s="41" t="s">
        <v>199</v>
      </c>
      <c r="R304" s="166" t="s">
        <v>202</v>
      </c>
      <c r="S304" s="41" t="s">
        <v>201</v>
      </c>
      <c r="T304" s="167" t="s">
        <v>202</v>
      </c>
      <c r="U304" s="43" t="s">
        <v>202</v>
      </c>
      <c r="V304" s="43" t="s">
        <v>202</v>
      </c>
      <c r="W304" s="150" t="s">
        <v>2063</v>
      </c>
      <c r="X304" s="189" t="s">
        <v>2426</v>
      </c>
      <c r="Y304" s="190">
        <v>3500</v>
      </c>
      <c r="Z304" s="43" t="s">
        <v>100</v>
      </c>
      <c r="AA304" s="41">
        <v>100</v>
      </c>
      <c r="AB304" s="41">
        <v>0</v>
      </c>
      <c r="AC304" s="191" t="s">
        <v>674</v>
      </c>
      <c r="AD304" s="41">
        <v>2500</v>
      </c>
      <c r="AE304" s="42" t="s">
        <v>92</v>
      </c>
      <c r="AF304" s="44" t="s">
        <v>93</v>
      </c>
      <c r="AG304" s="125" t="s">
        <v>2427</v>
      </c>
      <c r="AH304" s="34" t="s">
        <v>95</v>
      </c>
    </row>
    <row r="305" spans="2:34" ht="112.5" customHeight="1">
      <c r="B305" s="46">
        <f t="shared" si="4"/>
        <v>302</v>
      </c>
      <c r="C305" s="154" t="str">
        <f>"$"&amp;VLOOKUP(LEFT([1]!Table2[[#This Row],[Column2]],2),[1]Definitions!$B$51:$C$66,2,FALSE)&amp;MID([1]!Table2[[#This Row],[Column2]],3,3)&amp;RIGHT([1]!Table2[[#This Row],[Column2]],2)</f>
        <v>$D14700</v>
      </c>
      <c r="D305" s="153" t="s">
        <v>2428</v>
      </c>
      <c r="E305" s="151" t="s">
        <v>2429</v>
      </c>
      <c r="F305" s="41" t="s">
        <v>227</v>
      </c>
      <c r="G305" s="152" t="s">
        <v>74</v>
      </c>
      <c r="H305" s="152" t="s">
        <v>75</v>
      </c>
      <c r="I305" s="152" t="s">
        <v>76</v>
      </c>
      <c r="J305" s="152">
        <v>2</v>
      </c>
      <c r="K305" s="41" t="s">
        <v>77</v>
      </c>
      <c r="L305" s="41" t="s">
        <v>1177</v>
      </c>
      <c r="M305" s="82" t="s">
        <v>2430</v>
      </c>
      <c r="N305" s="41" t="s">
        <v>76</v>
      </c>
      <c r="O305" s="42" t="s">
        <v>1048</v>
      </c>
      <c r="P305" s="42" t="s">
        <v>1180</v>
      </c>
      <c r="Q305" s="41" t="s">
        <v>199</v>
      </c>
      <c r="R305" s="172" t="s">
        <v>202</v>
      </c>
      <c r="S305" s="41" t="s">
        <v>202</v>
      </c>
      <c r="T305" s="172" t="s">
        <v>202</v>
      </c>
      <c r="U305" s="43" t="s">
        <v>202</v>
      </c>
      <c r="V305" s="43" t="s">
        <v>202</v>
      </c>
      <c r="W305" s="150" t="s">
        <v>1486</v>
      </c>
      <c r="X305" s="83" t="s">
        <v>2431</v>
      </c>
      <c r="Y305" s="111">
        <v>5000</v>
      </c>
      <c r="Z305" s="43" t="s">
        <v>100</v>
      </c>
      <c r="AA305" s="111">
        <v>400</v>
      </c>
      <c r="AB305" s="111">
        <v>0</v>
      </c>
      <c r="AC305" s="65" t="s">
        <v>1192</v>
      </c>
      <c r="AD305" s="111">
        <v>5000</v>
      </c>
      <c r="AE305" s="42" t="s">
        <v>92</v>
      </c>
      <c r="AF305" s="192" t="s">
        <v>93</v>
      </c>
      <c r="AG305" s="84" t="s">
        <v>152</v>
      </c>
      <c r="AH305" s="34" t="s">
        <v>95</v>
      </c>
    </row>
    <row r="306" spans="2:34" ht="101.25" customHeight="1">
      <c r="B306" s="46">
        <f t="shared" si="4"/>
        <v>303</v>
      </c>
      <c r="C306" s="154" t="str">
        <f>"$"&amp;VLOOKUP(LEFT([1]!Table2[[#This Row],[Column2]],2),[1]Definitions!$B$51:$C$66,2,FALSE)&amp;MID([1]!Table2[[#This Row],[Column2]],3,3)&amp;RIGHT([1]!Table2[[#This Row],[Column2]],2)</f>
        <v>$D14D87</v>
      </c>
      <c r="D306" s="150" t="s">
        <v>2432</v>
      </c>
      <c r="E306" s="151" t="s">
        <v>2433</v>
      </c>
      <c r="F306" s="41" t="s">
        <v>199</v>
      </c>
      <c r="G306" s="152" t="s">
        <v>74</v>
      </c>
      <c r="H306" s="152" t="s">
        <v>75</v>
      </c>
      <c r="I306" s="152" t="s">
        <v>76</v>
      </c>
      <c r="J306" s="152">
        <v>2</v>
      </c>
      <c r="K306" s="41" t="s">
        <v>77</v>
      </c>
      <c r="L306" s="41" t="s">
        <v>952</v>
      </c>
      <c r="M306" s="82" t="s">
        <v>2434</v>
      </c>
      <c r="N306" s="41" t="s">
        <v>76</v>
      </c>
      <c r="O306" s="42" t="s">
        <v>218</v>
      </c>
      <c r="P306" s="42" t="s">
        <v>219</v>
      </c>
      <c r="Q306" s="41" t="s">
        <v>199</v>
      </c>
      <c r="R306" s="172" t="s">
        <v>202</v>
      </c>
      <c r="S306" s="41" t="s">
        <v>201</v>
      </c>
      <c r="T306" s="172" t="s">
        <v>202</v>
      </c>
      <c r="U306" s="43" t="s">
        <v>202</v>
      </c>
      <c r="V306" s="43" t="s">
        <v>202</v>
      </c>
      <c r="W306" s="150" t="s">
        <v>2435</v>
      </c>
      <c r="X306" s="83" t="s">
        <v>2436</v>
      </c>
      <c r="Y306" s="41">
        <v>7500</v>
      </c>
      <c r="Z306" s="43" t="s">
        <v>100</v>
      </c>
      <c r="AA306" s="41">
        <v>400</v>
      </c>
      <c r="AB306" s="41">
        <v>0</v>
      </c>
      <c r="AC306" s="42" t="s">
        <v>2437</v>
      </c>
      <c r="AD306" s="41">
        <v>7500</v>
      </c>
      <c r="AE306" s="42" t="s">
        <v>92</v>
      </c>
      <c r="AF306" s="44" t="s">
        <v>93</v>
      </c>
      <c r="AG306" s="125" t="s">
        <v>921</v>
      </c>
      <c r="AH306" s="34" t="s">
        <v>95</v>
      </c>
    </row>
    <row r="307" spans="2:34" ht="180" customHeight="1">
      <c r="B307" s="46">
        <f t="shared" si="4"/>
        <v>304</v>
      </c>
      <c r="C307" s="164" t="str">
        <f>"$"&amp;VLOOKUP(LEFT([1]!Table2[[#This Row],[Column2]],2),[1]Definitions!$B$51:$C$66,2,FALSE)&amp;MID([1]!Table2[[#This Row],[Column2]],3,3)&amp;RIGHT([1]!Table2[[#This Row],[Column2]],2)</f>
        <v>$D14F00</v>
      </c>
      <c r="D307" s="165" t="s">
        <v>2438</v>
      </c>
      <c r="E307" s="155" t="s">
        <v>2439</v>
      </c>
      <c r="F307" s="41" t="s">
        <v>199</v>
      </c>
      <c r="G307" s="166" t="s">
        <v>74</v>
      </c>
      <c r="H307" s="166" t="s">
        <v>75</v>
      </c>
      <c r="I307" s="166" t="s">
        <v>76</v>
      </c>
      <c r="J307" s="166">
        <v>2</v>
      </c>
      <c r="K307" s="41" t="s">
        <v>77</v>
      </c>
      <c r="L307" s="41" t="s">
        <v>298</v>
      </c>
      <c r="M307" s="42" t="s">
        <v>2440</v>
      </c>
      <c r="N307" s="41" t="s">
        <v>2441</v>
      </c>
      <c r="O307" s="42" t="s">
        <v>218</v>
      </c>
      <c r="P307" s="42" t="s">
        <v>219</v>
      </c>
      <c r="Q307" s="41" t="s">
        <v>199</v>
      </c>
      <c r="R307" s="166" t="s">
        <v>202</v>
      </c>
      <c r="S307" s="41" t="s">
        <v>201</v>
      </c>
      <c r="T307" s="167" t="s">
        <v>202</v>
      </c>
      <c r="U307" s="43" t="s">
        <v>202</v>
      </c>
      <c r="V307" s="43" t="s">
        <v>202</v>
      </c>
      <c r="W307" s="153" t="s">
        <v>2442</v>
      </c>
      <c r="X307" s="83" t="s">
        <v>2443</v>
      </c>
      <c r="Y307" s="41">
        <v>2500</v>
      </c>
      <c r="Z307" s="43" t="s">
        <v>100</v>
      </c>
      <c r="AA307" s="41">
        <v>100</v>
      </c>
      <c r="AB307" s="41">
        <v>0</v>
      </c>
      <c r="AC307" s="41" t="s">
        <v>2444</v>
      </c>
      <c r="AD307" s="41">
        <v>500</v>
      </c>
      <c r="AE307" s="42" t="s">
        <v>2445</v>
      </c>
      <c r="AF307" s="44" t="s">
        <v>93</v>
      </c>
      <c r="AG307" s="125" t="s">
        <v>152</v>
      </c>
      <c r="AH307" s="34" t="s">
        <v>208</v>
      </c>
    </row>
    <row r="308" spans="2:34" ht="112.5" customHeight="1">
      <c r="B308" s="46">
        <f t="shared" si="4"/>
        <v>305</v>
      </c>
      <c r="C308" s="154" t="str">
        <f>"$"&amp;VLOOKUP(LEFT([1]!Table2[[#This Row],[Column2]],2),[1]Definitions!$B$51:$C$66,2,FALSE)&amp;MID([1]!Table2[[#This Row],[Column2]],3,3)&amp;RIGHT([1]!Table2[[#This Row],[Column2]],2)</f>
        <v>$D15300</v>
      </c>
      <c r="D308" s="150" t="s">
        <v>2446</v>
      </c>
      <c r="E308" s="151" t="s">
        <v>2447</v>
      </c>
      <c r="F308" s="41" t="s">
        <v>199</v>
      </c>
      <c r="G308" s="152" t="s">
        <v>74</v>
      </c>
      <c r="H308" s="152" t="s">
        <v>75</v>
      </c>
      <c r="I308" s="152" t="s">
        <v>76</v>
      </c>
      <c r="J308" s="152">
        <v>2</v>
      </c>
      <c r="K308" s="41" t="s">
        <v>77</v>
      </c>
      <c r="L308" s="41" t="s">
        <v>156</v>
      </c>
      <c r="M308" s="82" t="s">
        <v>1421</v>
      </c>
      <c r="N308" s="41" t="s">
        <v>76</v>
      </c>
      <c r="O308" s="42" t="s">
        <v>218</v>
      </c>
      <c r="P308" s="42" t="s">
        <v>219</v>
      </c>
      <c r="Q308" s="41" t="s">
        <v>199</v>
      </c>
      <c r="R308" s="172" t="s">
        <v>202</v>
      </c>
      <c r="S308" s="41" t="s">
        <v>201</v>
      </c>
      <c r="T308" s="172" t="s">
        <v>202</v>
      </c>
      <c r="U308" s="43" t="s">
        <v>202</v>
      </c>
      <c r="V308" s="43" t="s">
        <v>202</v>
      </c>
      <c r="W308" s="150" t="s">
        <v>2448</v>
      </c>
      <c r="X308" s="83" t="s">
        <v>2449</v>
      </c>
      <c r="Y308" s="41">
        <v>7500</v>
      </c>
      <c r="Z308" s="43" t="s">
        <v>100</v>
      </c>
      <c r="AA308" s="41">
        <v>400</v>
      </c>
      <c r="AB308" s="41">
        <v>0</v>
      </c>
      <c r="AC308" s="42" t="s">
        <v>2450</v>
      </c>
      <c r="AD308" s="41">
        <v>2500</v>
      </c>
      <c r="AE308" s="26" t="s">
        <v>92</v>
      </c>
      <c r="AF308" s="44" t="s">
        <v>93</v>
      </c>
      <c r="AG308" s="125" t="s">
        <v>1969</v>
      </c>
      <c r="AH308" s="34" t="s">
        <v>95</v>
      </c>
    </row>
    <row r="309" spans="2:34" ht="146.25" customHeight="1">
      <c r="B309" s="46">
        <f t="shared" si="4"/>
        <v>306</v>
      </c>
      <c r="C309" s="164" t="str">
        <f>"$"&amp;VLOOKUP(LEFT([1]!Table2[[#This Row],[Column2]],2),[1]Definitions!$B$51:$C$66,2,FALSE)&amp;MID([1]!Table2[[#This Row],[Column2]],3,3)&amp;RIGHT([1]!Table2[[#This Row],[Column2]],2)</f>
        <v>$D15C00</v>
      </c>
      <c r="D309" s="165" t="s">
        <v>2451</v>
      </c>
      <c r="E309" s="155" t="s">
        <v>2452</v>
      </c>
      <c r="F309" s="41" t="s">
        <v>199</v>
      </c>
      <c r="G309" s="166" t="s">
        <v>74</v>
      </c>
      <c r="H309" s="166" t="s">
        <v>75</v>
      </c>
      <c r="I309" s="166" t="s">
        <v>76</v>
      </c>
      <c r="J309" s="171">
        <v>2</v>
      </c>
      <c r="K309" s="41" t="s">
        <v>77</v>
      </c>
      <c r="L309" s="41" t="s">
        <v>2453</v>
      </c>
      <c r="M309" s="63" t="s">
        <v>2454</v>
      </c>
      <c r="N309" s="41" t="s">
        <v>76</v>
      </c>
      <c r="O309" s="42" t="s">
        <v>218</v>
      </c>
      <c r="P309" s="42" t="s">
        <v>219</v>
      </c>
      <c r="Q309" s="41" t="s">
        <v>199</v>
      </c>
      <c r="R309" s="166" t="s">
        <v>202</v>
      </c>
      <c r="S309" s="41" t="s">
        <v>201</v>
      </c>
      <c r="T309" s="167" t="s">
        <v>202</v>
      </c>
      <c r="U309" s="43" t="s">
        <v>202</v>
      </c>
      <c r="V309" s="43" t="s">
        <v>202</v>
      </c>
      <c r="W309" s="153" t="s">
        <v>2455</v>
      </c>
      <c r="X309" s="64" t="s">
        <v>2456</v>
      </c>
      <c r="Y309" s="41">
        <v>10000</v>
      </c>
      <c r="Z309" s="43" t="s">
        <v>100</v>
      </c>
      <c r="AA309" s="41">
        <v>100</v>
      </c>
      <c r="AB309" s="41">
        <v>0</v>
      </c>
      <c r="AC309" s="64" t="s">
        <v>2457</v>
      </c>
      <c r="AD309" s="41">
        <v>5000</v>
      </c>
      <c r="AE309" s="33" t="s">
        <v>2458</v>
      </c>
      <c r="AF309" s="44" t="s">
        <v>93</v>
      </c>
      <c r="AG309" s="84" t="s">
        <v>633</v>
      </c>
      <c r="AH309" s="34" t="s">
        <v>208</v>
      </c>
    </row>
    <row r="310" spans="2:34" ht="90" customHeight="1">
      <c r="B310" s="46">
        <f t="shared" si="4"/>
        <v>307</v>
      </c>
      <c r="C310" s="150" t="str">
        <f>"$"&amp;VLOOKUP(LEFT([1]!Table2[[#This Row],[Column2]],2),[1]Definitions!$B$51:$C$66,2,FALSE)&amp;MID([1]!Table2[[#This Row],[Column2]],3,3)&amp;RIGHT([1]!Table2[[#This Row],[Column2]],2)</f>
        <v>$D15F00</v>
      </c>
      <c r="D310" s="150" t="s">
        <v>2459</v>
      </c>
      <c r="E310" s="151" t="s">
        <v>2460</v>
      </c>
      <c r="F310" s="41" t="s">
        <v>199</v>
      </c>
      <c r="G310" s="152" t="s">
        <v>74</v>
      </c>
      <c r="H310" s="152" t="s">
        <v>75</v>
      </c>
      <c r="I310" s="152" t="s">
        <v>76</v>
      </c>
      <c r="J310" s="152">
        <v>2</v>
      </c>
      <c r="K310" s="41" t="s">
        <v>77</v>
      </c>
      <c r="L310" s="41" t="s">
        <v>255</v>
      </c>
      <c r="M310" s="82" t="s">
        <v>255</v>
      </c>
      <c r="N310" s="41" t="s">
        <v>76</v>
      </c>
      <c r="O310" s="42" t="s">
        <v>2461</v>
      </c>
      <c r="P310" s="42" t="s">
        <v>1939</v>
      </c>
      <c r="Q310" s="41" t="s">
        <v>199</v>
      </c>
      <c r="R310" s="152" t="s">
        <v>202</v>
      </c>
      <c r="S310" s="41" t="s">
        <v>201</v>
      </c>
      <c r="T310" s="152" t="s">
        <v>202</v>
      </c>
      <c r="U310" s="43" t="s">
        <v>202</v>
      </c>
      <c r="V310" s="43" t="s">
        <v>202</v>
      </c>
      <c r="W310" s="153" t="s">
        <v>2462</v>
      </c>
      <c r="X310" s="83" t="s">
        <v>2463</v>
      </c>
      <c r="Y310" s="41">
        <v>5000</v>
      </c>
      <c r="Z310" s="43" t="s">
        <v>100</v>
      </c>
      <c r="AA310" s="41">
        <v>100</v>
      </c>
      <c r="AB310" s="41">
        <v>0</v>
      </c>
      <c r="AC310" s="42" t="s">
        <v>2464</v>
      </c>
      <c r="AD310" s="41">
        <v>5000</v>
      </c>
      <c r="AE310" s="42" t="s">
        <v>92</v>
      </c>
      <c r="AF310" s="44" t="s">
        <v>93</v>
      </c>
      <c r="AG310" s="89" t="s">
        <v>894</v>
      </c>
      <c r="AH310" s="34" t="s">
        <v>95</v>
      </c>
    </row>
    <row r="311" spans="2:34" ht="101.25" customHeight="1">
      <c r="B311" s="46">
        <f t="shared" si="4"/>
        <v>308</v>
      </c>
      <c r="C311" s="164" t="str">
        <f>"$"&amp;VLOOKUP(LEFT([1]!Table2[[#This Row],[Column2]],2),[1]Definitions!$B$51:$C$66,2,FALSE)&amp;MID([1]!Table2[[#This Row],[Column2]],3,3)&amp;RIGHT([1]!Table2[[#This Row],[Column2]],2)</f>
        <v>$D16B00</v>
      </c>
      <c r="D311" s="165" t="s">
        <v>2465</v>
      </c>
      <c r="E311" s="155" t="s">
        <v>2466</v>
      </c>
      <c r="F311" s="41" t="s">
        <v>199</v>
      </c>
      <c r="G311" s="156" t="s">
        <v>74</v>
      </c>
      <c r="H311" s="171" t="s">
        <v>75</v>
      </c>
      <c r="I311" s="171" t="s">
        <v>76</v>
      </c>
      <c r="J311" s="156">
        <v>2</v>
      </c>
      <c r="K311" s="41" t="s">
        <v>77</v>
      </c>
      <c r="L311" s="41" t="s">
        <v>2467</v>
      </c>
      <c r="M311" s="82" t="s">
        <v>712</v>
      </c>
      <c r="N311" s="41" t="s">
        <v>76</v>
      </c>
      <c r="O311" s="42" t="s">
        <v>218</v>
      </c>
      <c r="P311" s="42" t="s">
        <v>219</v>
      </c>
      <c r="Q311" s="41" t="s">
        <v>199</v>
      </c>
      <c r="R311" s="171" t="s">
        <v>202</v>
      </c>
      <c r="S311" s="41" t="s">
        <v>201</v>
      </c>
      <c r="T311" s="171" t="s">
        <v>202</v>
      </c>
      <c r="U311" s="43" t="s">
        <v>202</v>
      </c>
      <c r="V311" s="43" t="s">
        <v>202</v>
      </c>
      <c r="W311" s="153" t="s">
        <v>2468</v>
      </c>
      <c r="X311" s="64" t="s">
        <v>2469</v>
      </c>
      <c r="Y311" s="41">
        <v>2500</v>
      </c>
      <c r="Z311" s="43" t="s">
        <v>100</v>
      </c>
      <c r="AA311" s="41">
        <v>100</v>
      </c>
      <c r="AB311" s="41">
        <v>0</v>
      </c>
      <c r="AC311" s="41" t="s">
        <v>2470</v>
      </c>
      <c r="AD311" s="41">
        <v>1000</v>
      </c>
      <c r="AE311" s="42" t="s">
        <v>92</v>
      </c>
      <c r="AF311" s="44" t="s">
        <v>93</v>
      </c>
      <c r="AG311" s="125" t="s">
        <v>185</v>
      </c>
      <c r="AH311" s="34" t="s">
        <v>95</v>
      </c>
    </row>
    <row r="312" spans="2:34" ht="101.25" customHeight="1">
      <c r="B312" s="46">
        <f t="shared" si="4"/>
        <v>309</v>
      </c>
      <c r="C312" s="164" t="str">
        <f>"$"&amp;VLOOKUP(LEFT([1]!Table2[[#This Row],[Column2]],2),[1]Definitions!$B$51:$C$66,2,FALSE)&amp;MID([1]!Table2[[#This Row],[Column2]],3,3)&amp;RIGHT([1]!Table2[[#This Row],[Column2]],2)</f>
        <v>$D16C00</v>
      </c>
      <c r="D312" s="154" t="s">
        <v>2471</v>
      </c>
      <c r="E312" s="155" t="s">
        <v>2472</v>
      </c>
      <c r="F312" s="41" t="s">
        <v>199</v>
      </c>
      <c r="G312" s="166" t="s">
        <v>74</v>
      </c>
      <c r="H312" s="166" t="s">
        <v>75</v>
      </c>
      <c r="I312" s="166" t="s">
        <v>76</v>
      </c>
      <c r="J312" s="166">
        <v>2</v>
      </c>
      <c r="K312" s="41" t="s">
        <v>77</v>
      </c>
      <c r="L312" s="41" t="s">
        <v>1129</v>
      </c>
      <c r="M312" s="42" t="s">
        <v>2473</v>
      </c>
      <c r="N312" s="41" t="s">
        <v>76</v>
      </c>
      <c r="O312" s="42" t="s">
        <v>218</v>
      </c>
      <c r="P312" s="42" t="s">
        <v>219</v>
      </c>
      <c r="Q312" s="41" t="s">
        <v>199</v>
      </c>
      <c r="R312" s="166" t="s">
        <v>202</v>
      </c>
      <c r="S312" s="41" t="s">
        <v>201</v>
      </c>
      <c r="T312" s="167" t="s">
        <v>202</v>
      </c>
      <c r="U312" s="43" t="s">
        <v>202</v>
      </c>
      <c r="V312" s="43" t="s">
        <v>202</v>
      </c>
      <c r="W312" s="153" t="s">
        <v>2474</v>
      </c>
      <c r="X312" s="83" t="s">
        <v>2475</v>
      </c>
      <c r="Y312" s="41" t="s">
        <v>2476</v>
      </c>
      <c r="Z312" s="43" t="s">
        <v>100</v>
      </c>
      <c r="AA312" s="41">
        <v>100</v>
      </c>
      <c r="AB312" s="41">
        <v>0</v>
      </c>
      <c r="AC312" s="41" t="s">
        <v>2477</v>
      </c>
      <c r="AD312" s="41">
        <v>2500</v>
      </c>
      <c r="AE312" s="42" t="s">
        <v>92</v>
      </c>
      <c r="AF312" s="44" t="s">
        <v>93</v>
      </c>
      <c r="AG312" s="125" t="s">
        <v>207</v>
      </c>
      <c r="AH312" s="34" t="s">
        <v>95</v>
      </c>
    </row>
    <row r="313" spans="2:34" ht="101.25" customHeight="1">
      <c r="B313" s="24">
        <f t="shared" si="4"/>
        <v>310</v>
      </c>
      <c r="C313" s="174" t="str">
        <f>"$"&amp;VLOOKUP(LEFT([1]!Table2[[#This Row],[Column2]],2),[1]Definitions!$B$51:$C$66,2,FALSE)&amp;MID([1]!Table2[[#This Row],[Column2]],3,3)&amp;RIGHT([1]!Table2[[#This Row],[Column2]],2)</f>
        <v>$D19100</v>
      </c>
      <c r="D313" s="175" t="s">
        <v>2478</v>
      </c>
      <c r="E313" s="176" t="s">
        <v>2479</v>
      </c>
      <c r="F313" s="179" t="s">
        <v>199</v>
      </c>
      <c r="G313" s="178" t="s">
        <v>74</v>
      </c>
      <c r="H313" s="178" t="s">
        <v>75</v>
      </c>
      <c r="I313" s="178" t="s">
        <v>76</v>
      </c>
      <c r="J313" s="178">
        <v>2</v>
      </c>
      <c r="K313" s="179" t="s">
        <v>77</v>
      </c>
      <c r="L313" s="179" t="s">
        <v>2480</v>
      </c>
      <c r="M313" s="193" t="s">
        <v>2481</v>
      </c>
      <c r="N313" s="179" t="s">
        <v>76</v>
      </c>
      <c r="O313" s="180" t="s">
        <v>218</v>
      </c>
      <c r="P313" s="180" t="s">
        <v>219</v>
      </c>
      <c r="Q313" s="179" t="s">
        <v>199</v>
      </c>
      <c r="R313" s="178" t="s">
        <v>202</v>
      </c>
      <c r="S313" s="179" t="s">
        <v>201</v>
      </c>
      <c r="T313" s="181" t="s">
        <v>202</v>
      </c>
      <c r="U313" s="182" t="s">
        <v>202</v>
      </c>
      <c r="V313" s="182" t="s">
        <v>202</v>
      </c>
      <c r="W313" s="183" t="s">
        <v>2482</v>
      </c>
      <c r="X313" s="194" t="s">
        <v>2483</v>
      </c>
      <c r="Y313" s="179">
        <v>2500</v>
      </c>
      <c r="Z313" s="182" t="s">
        <v>100</v>
      </c>
      <c r="AA313" s="179">
        <v>100</v>
      </c>
      <c r="AB313" s="179">
        <v>0</v>
      </c>
      <c r="AC313" s="179" t="s">
        <v>674</v>
      </c>
      <c r="AD313" s="179">
        <v>2500</v>
      </c>
      <c r="AE313" s="180" t="s">
        <v>92</v>
      </c>
      <c r="AF313" s="186" t="s">
        <v>93</v>
      </c>
      <c r="AG313" s="195" t="s">
        <v>152</v>
      </c>
      <c r="AH313" s="188" t="s">
        <v>95</v>
      </c>
    </row>
    <row r="314" spans="2:34" ht="112.5" customHeight="1">
      <c r="B314" s="46">
        <f t="shared" si="4"/>
        <v>311</v>
      </c>
      <c r="C314" s="154" t="str">
        <f>"$"&amp;VLOOKUP(LEFT([1]!Table2[[#This Row],[Column2]],2),[1]Definitions!$B$51:$C$66,2,FALSE)&amp;MID([1]!Table2[[#This Row],[Column2]],3,3)&amp;RIGHT([1]!Table2[[#This Row],[Column2]],2)</f>
        <v>$D19200</v>
      </c>
      <c r="D314" s="153" t="s">
        <v>2484</v>
      </c>
      <c r="E314" s="151" t="s">
        <v>2485</v>
      </c>
      <c r="F314" s="41" t="s">
        <v>199</v>
      </c>
      <c r="G314" s="152" t="s">
        <v>74</v>
      </c>
      <c r="H314" s="152" t="s">
        <v>75</v>
      </c>
      <c r="I314" s="152" t="s">
        <v>76</v>
      </c>
      <c r="J314" s="152">
        <v>2</v>
      </c>
      <c r="K314" s="41" t="s">
        <v>77</v>
      </c>
      <c r="L314" s="41" t="s">
        <v>2486</v>
      </c>
      <c r="M314" s="82" t="s">
        <v>2487</v>
      </c>
      <c r="N314" s="41" t="s">
        <v>76</v>
      </c>
      <c r="O314" s="42" t="s">
        <v>218</v>
      </c>
      <c r="P314" s="42" t="s">
        <v>219</v>
      </c>
      <c r="Q314" s="41" t="s">
        <v>199</v>
      </c>
      <c r="R314" s="172" t="s">
        <v>202</v>
      </c>
      <c r="S314" s="41" t="s">
        <v>201</v>
      </c>
      <c r="T314" s="172" t="s">
        <v>202</v>
      </c>
      <c r="U314" s="43" t="s">
        <v>202</v>
      </c>
      <c r="V314" s="43" t="s">
        <v>202</v>
      </c>
      <c r="W314" s="150" t="s">
        <v>2488</v>
      </c>
      <c r="X314" s="83" t="s">
        <v>2489</v>
      </c>
      <c r="Y314" s="41">
        <v>7500</v>
      </c>
      <c r="Z314" s="43" t="s">
        <v>100</v>
      </c>
      <c r="AA314" s="41">
        <v>400</v>
      </c>
      <c r="AB314" s="41">
        <v>0</v>
      </c>
      <c r="AC314" s="42" t="s">
        <v>2490</v>
      </c>
      <c r="AD314" s="41">
        <v>2500</v>
      </c>
      <c r="AE314" s="42" t="s">
        <v>92</v>
      </c>
      <c r="AF314" s="44" t="s">
        <v>93</v>
      </c>
      <c r="AG314" s="125" t="s">
        <v>1704</v>
      </c>
      <c r="AH314" s="34" t="s">
        <v>95</v>
      </c>
    </row>
    <row r="315" spans="2:34" ht="112.5" customHeight="1">
      <c r="B315" s="46">
        <f t="shared" si="4"/>
        <v>312</v>
      </c>
      <c r="C315" s="164" t="str">
        <f>"$"&amp;VLOOKUP(LEFT([1]!Table2[[#This Row],[Column2]],2),[1]Definitions!$B$51:$C$66,2,FALSE)&amp;MID([1]!Table2[[#This Row],[Column2]],3,3)&amp;RIGHT([1]!Table2[[#This Row],[Column2]],2)</f>
        <v>$D19600</v>
      </c>
      <c r="D315" s="165" t="s">
        <v>2491</v>
      </c>
      <c r="E315" s="155" t="s">
        <v>2492</v>
      </c>
      <c r="F315" s="41" t="s">
        <v>199</v>
      </c>
      <c r="G315" s="156" t="s">
        <v>74</v>
      </c>
      <c r="H315" s="166" t="s">
        <v>75</v>
      </c>
      <c r="I315" s="166" t="s">
        <v>76</v>
      </c>
      <c r="J315" s="171">
        <v>2</v>
      </c>
      <c r="K315" s="41" t="s">
        <v>77</v>
      </c>
      <c r="L315" s="41" t="s">
        <v>952</v>
      </c>
      <c r="M315" s="82" t="s">
        <v>712</v>
      </c>
      <c r="N315" s="41" t="s">
        <v>76</v>
      </c>
      <c r="O315" s="42" t="s">
        <v>218</v>
      </c>
      <c r="P315" s="42" t="s">
        <v>219</v>
      </c>
      <c r="Q315" s="41" t="s">
        <v>199</v>
      </c>
      <c r="R315" s="156" t="s">
        <v>202</v>
      </c>
      <c r="S315" s="41" t="s">
        <v>201</v>
      </c>
      <c r="T315" s="171" t="s">
        <v>202</v>
      </c>
      <c r="U315" s="43" t="s">
        <v>202</v>
      </c>
      <c r="V315" s="43" t="s">
        <v>202</v>
      </c>
      <c r="W315" s="150" t="s">
        <v>2493</v>
      </c>
      <c r="X315" s="83" t="s">
        <v>2494</v>
      </c>
      <c r="Y315" s="41">
        <v>5000</v>
      </c>
      <c r="Z315" s="43" t="s">
        <v>100</v>
      </c>
      <c r="AA315" s="41">
        <v>100</v>
      </c>
      <c r="AB315" s="41">
        <v>0</v>
      </c>
      <c r="AC315" s="41" t="s">
        <v>674</v>
      </c>
      <c r="AD315" s="41">
        <v>5000</v>
      </c>
      <c r="AE315" s="42" t="s">
        <v>92</v>
      </c>
      <c r="AF315" s="44" t="s">
        <v>93</v>
      </c>
      <c r="AG315" s="118" t="s">
        <v>921</v>
      </c>
      <c r="AH315" s="34" t="s">
        <v>95</v>
      </c>
    </row>
    <row r="316" spans="2:34" ht="101.25" customHeight="1">
      <c r="B316" s="46">
        <f t="shared" si="4"/>
        <v>313</v>
      </c>
      <c r="C316" s="164" t="str">
        <f>"$"&amp;VLOOKUP(LEFT([1]!Table2[[#This Row],[Column2]],2),[1]Definitions!$B$51:$C$66,2,FALSE)&amp;MID([1]!Table2[[#This Row],[Column2]],3,3)&amp;RIGHT([1]!Table2[[#This Row],[Column2]],2)</f>
        <v>$D1B900</v>
      </c>
      <c r="D316" s="165" t="s">
        <v>2495</v>
      </c>
      <c r="E316" s="155" t="s">
        <v>2496</v>
      </c>
      <c r="F316" s="41" t="s">
        <v>199</v>
      </c>
      <c r="G316" s="156" t="s">
        <v>74</v>
      </c>
      <c r="H316" s="171" t="s">
        <v>75</v>
      </c>
      <c r="I316" s="171" t="s">
        <v>76</v>
      </c>
      <c r="J316" s="156">
        <v>2</v>
      </c>
      <c r="K316" s="41" t="s">
        <v>77</v>
      </c>
      <c r="L316" s="41" t="s">
        <v>864</v>
      </c>
      <c r="M316" s="41" t="s">
        <v>2497</v>
      </c>
      <c r="N316" s="41" t="s">
        <v>76</v>
      </c>
      <c r="O316" s="42" t="s">
        <v>218</v>
      </c>
      <c r="P316" s="42" t="s">
        <v>219</v>
      </c>
      <c r="Q316" s="41" t="s">
        <v>199</v>
      </c>
      <c r="R316" s="171" t="s">
        <v>202</v>
      </c>
      <c r="S316" s="41" t="s">
        <v>201</v>
      </c>
      <c r="T316" s="171" t="s">
        <v>202</v>
      </c>
      <c r="U316" s="43" t="s">
        <v>202</v>
      </c>
      <c r="V316" s="43" t="s">
        <v>202</v>
      </c>
      <c r="W316" s="153" t="s">
        <v>2498</v>
      </c>
      <c r="X316" s="83" t="s">
        <v>2499</v>
      </c>
      <c r="Y316" s="41">
        <v>2500</v>
      </c>
      <c r="Z316" s="43" t="s">
        <v>100</v>
      </c>
      <c r="AA316" s="41">
        <v>100</v>
      </c>
      <c r="AB316" s="41">
        <v>0</v>
      </c>
      <c r="AC316" s="41" t="s">
        <v>2500</v>
      </c>
      <c r="AD316" s="41">
        <v>100</v>
      </c>
      <c r="AE316" s="42" t="s">
        <v>2501</v>
      </c>
      <c r="AF316" s="44" t="s">
        <v>93</v>
      </c>
      <c r="AG316" s="125" t="s">
        <v>152</v>
      </c>
      <c r="AH316" s="34" t="s">
        <v>208</v>
      </c>
    </row>
    <row r="317" spans="2:34" ht="225" customHeight="1">
      <c r="B317" s="46">
        <f t="shared" si="4"/>
        <v>314</v>
      </c>
      <c r="C317" s="154" t="str">
        <f>"$"&amp;VLOOKUP(LEFT([1]!Table2[[#This Row],[Column2]],2),[1]Definitions!$B$51:$C$66,2,FALSE)&amp;MID([1]!Table2[[#This Row],[Column2]],3,3)&amp;RIGHT([1]!Table2[[#This Row],[Column2]],2)</f>
        <v>$D20200</v>
      </c>
      <c r="D317" s="165" t="s">
        <v>2502</v>
      </c>
      <c r="E317" s="155" t="s">
        <v>2503</v>
      </c>
      <c r="F317" s="41" t="s">
        <v>199</v>
      </c>
      <c r="G317" s="156" t="s">
        <v>74</v>
      </c>
      <c r="H317" s="156" t="s">
        <v>75</v>
      </c>
      <c r="I317" s="156" t="s">
        <v>76</v>
      </c>
      <c r="J317" s="156">
        <v>2</v>
      </c>
      <c r="K317" s="41" t="s">
        <v>77</v>
      </c>
      <c r="L317" s="111" t="s">
        <v>2504</v>
      </c>
      <c r="M317" s="63" t="s">
        <v>2505</v>
      </c>
      <c r="N317" s="41" t="s">
        <v>76</v>
      </c>
      <c r="O317" s="42" t="s">
        <v>218</v>
      </c>
      <c r="P317" s="42" t="s">
        <v>219</v>
      </c>
      <c r="Q317" s="41" t="s">
        <v>199</v>
      </c>
      <c r="R317" s="156" t="s">
        <v>202</v>
      </c>
      <c r="S317" s="27" t="s">
        <v>201</v>
      </c>
      <c r="T317" s="156" t="s">
        <v>200</v>
      </c>
      <c r="U317" s="43" t="s">
        <v>200</v>
      </c>
      <c r="V317" s="43" t="s">
        <v>200</v>
      </c>
      <c r="W317" s="150" t="s">
        <v>2506</v>
      </c>
      <c r="X317" s="83" t="s">
        <v>2507</v>
      </c>
      <c r="Y317" s="41">
        <v>5000</v>
      </c>
      <c r="Z317" s="43" t="s">
        <v>100</v>
      </c>
      <c r="AA317" s="41">
        <v>100</v>
      </c>
      <c r="AB317" s="41">
        <v>0</v>
      </c>
      <c r="AC317" s="42" t="s">
        <v>2508</v>
      </c>
      <c r="AD317" s="41">
        <v>5000</v>
      </c>
      <c r="AE317" s="65" t="s">
        <v>2509</v>
      </c>
      <c r="AF317" s="44" t="s">
        <v>93</v>
      </c>
      <c r="AG317" s="125" t="s">
        <v>649</v>
      </c>
      <c r="AH317" s="34" t="s">
        <v>208</v>
      </c>
    </row>
    <row r="318" spans="2:34" ht="101.25" customHeight="1">
      <c r="B318" s="46">
        <f t="shared" si="4"/>
        <v>315</v>
      </c>
      <c r="C318" s="154" t="str">
        <f>"$"&amp;VLOOKUP(LEFT([1]!Table2[[#This Row],[Column2]],2),[1]Definitions!$B$51:$C$66,2,FALSE)&amp;MID([1]!Table2[[#This Row],[Column2]],3,3)&amp;RIGHT([1]!Table2[[#This Row],[Column2]],2)</f>
        <v>$D20700</v>
      </c>
      <c r="D318" s="154" t="s">
        <v>2510</v>
      </c>
      <c r="E318" s="155" t="s">
        <v>2511</v>
      </c>
      <c r="F318" s="41" t="s">
        <v>199</v>
      </c>
      <c r="G318" s="152" t="s">
        <v>74</v>
      </c>
      <c r="H318" s="152" t="s">
        <v>75</v>
      </c>
      <c r="I318" s="152" t="s">
        <v>76</v>
      </c>
      <c r="J318" s="152">
        <v>2</v>
      </c>
      <c r="K318" s="111" t="s">
        <v>77</v>
      </c>
      <c r="L318" s="41" t="s">
        <v>1024</v>
      </c>
      <c r="M318" s="63" t="s">
        <v>2512</v>
      </c>
      <c r="N318" s="41" t="s">
        <v>76</v>
      </c>
      <c r="O318" s="42" t="s">
        <v>218</v>
      </c>
      <c r="P318" s="42" t="s">
        <v>219</v>
      </c>
      <c r="Q318" s="41" t="s">
        <v>199</v>
      </c>
      <c r="R318" s="172" t="s">
        <v>202</v>
      </c>
      <c r="S318" s="41" t="s">
        <v>201</v>
      </c>
      <c r="T318" s="172" t="s">
        <v>202</v>
      </c>
      <c r="U318" s="43" t="s">
        <v>202</v>
      </c>
      <c r="V318" s="43" t="s">
        <v>202</v>
      </c>
      <c r="W318" s="150" t="s">
        <v>2513</v>
      </c>
      <c r="X318" s="88" t="s">
        <v>2514</v>
      </c>
      <c r="Y318" s="41">
        <v>2500</v>
      </c>
      <c r="Z318" s="43" t="s">
        <v>100</v>
      </c>
      <c r="AA318" s="41">
        <v>100</v>
      </c>
      <c r="AB318" s="41">
        <v>0</v>
      </c>
      <c r="AC318" s="88" t="s">
        <v>674</v>
      </c>
      <c r="AD318" s="41">
        <v>2500</v>
      </c>
      <c r="AE318" s="42" t="s">
        <v>92</v>
      </c>
      <c r="AF318" s="44" t="s">
        <v>93</v>
      </c>
      <c r="AG318" s="125" t="s">
        <v>207</v>
      </c>
      <c r="AH318" s="34" t="s">
        <v>95</v>
      </c>
    </row>
    <row r="319" spans="2:34" ht="112.5" customHeight="1">
      <c r="B319" s="46">
        <f t="shared" si="4"/>
        <v>316</v>
      </c>
      <c r="C319" s="164" t="str">
        <f>"$"&amp;VLOOKUP(LEFT([1]!Table2[[#This Row],[Column2]],2),[1]Definitions!$B$51:$C$66,2,FALSE)&amp;MID([1]!Table2[[#This Row],[Column2]],3,3)&amp;RIGHT([1]!Table2[[#This Row],[Column2]],2)</f>
        <v>$D21E00</v>
      </c>
      <c r="D319" s="165" t="s">
        <v>2515</v>
      </c>
      <c r="E319" s="155" t="s">
        <v>2516</v>
      </c>
      <c r="F319" s="41" t="s">
        <v>199</v>
      </c>
      <c r="G319" s="166" t="s">
        <v>74</v>
      </c>
      <c r="H319" s="166" t="s">
        <v>75</v>
      </c>
      <c r="I319" s="166" t="s">
        <v>76</v>
      </c>
      <c r="J319" s="166">
        <v>2</v>
      </c>
      <c r="K319" s="41" t="s">
        <v>77</v>
      </c>
      <c r="L319" s="41" t="s">
        <v>2337</v>
      </c>
      <c r="M319" s="42" t="s">
        <v>2517</v>
      </c>
      <c r="N319" s="41" t="s">
        <v>2518</v>
      </c>
      <c r="O319" s="42" t="s">
        <v>218</v>
      </c>
      <c r="P319" s="42" t="s">
        <v>219</v>
      </c>
      <c r="Q319" s="41" t="s">
        <v>199</v>
      </c>
      <c r="R319" s="166" t="s">
        <v>202</v>
      </c>
      <c r="S319" s="41" t="s">
        <v>201</v>
      </c>
      <c r="T319" s="167" t="s">
        <v>202</v>
      </c>
      <c r="U319" s="43" t="s">
        <v>202</v>
      </c>
      <c r="V319" s="43" t="s">
        <v>202</v>
      </c>
      <c r="W319" s="150" t="s">
        <v>2519</v>
      </c>
      <c r="X319" s="83" t="s">
        <v>2520</v>
      </c>
      <c r="Y319" s="41">
        <v>7500</v>
      </c>
      <c r="Z319" s="43" t="s">
        <v>100</v>
      </c>
      <c r="AA319" s="41">
        <v>100</v>
      </c>
      <c r="AB319" s="41">
        <v>0</v>
      </c>
      <c r="AC319" s="41" t="s">
        <v>674</v>
      </c>
      <c r="AD319" s="41">
        <v>2500</v>
      </c>
      <c r="AE319" s="65" t="s">
        <v>2521</v>
      </c>
      <c r="AF319" s="44" t="s">
        <v>93</v>
      </c>
      <c r="AG319" s="125" t="s">
        <v>152</v>
      </c>
      <c r="AH319" s="34" t="s">
        <v>208</v>
      </c>
    </row>
    <row r="320" spans="2:34" ht="101.25" customHeight="1">
      <c r="B320" s="46">
        <f t="shared" si="4"/>
        <v>317</v>
      </c>
      <c r="C320" s="164" t="str">
        <f>"$"&amp;VLOOKUP(LEFT([1]!Table2[[#This Row],[Column2]],2),[1]Definitions!$B$51:$C$66,2,FALSE)&amp;MID([1]!Table2[[#This Row],[Column2]],3,3)&amp;RIGHT([1]!Table2[[#This Row],[Column2]],2)</f>
        <v>$D22100</v>
      </c>
      <c r="D320" s="165" t="s">
        <v>2522</v>
      </c>
      <c r="E320" s="155" t="s">
        <v>2523</v>
      </c>
      <c r="F320" s="41" t="s">
        <v>199</v>
      </c>
      <c r="G320" s="156" t="s">
        <v>74</v>
      </c>
      <c r="H320" s="171" t="s">
        <v>75</v>
      </c>
      <c r="I320" s="171" t="s">
        <v>76</v>
      </c>
      <c r="J320" s="156">
        <v>2</v>
      </c>
      <c r="K320" s="41" t="s">
        <v>77</v>
      </c>
      <c r="L320" s="41" t="s">
        <v>379</v>
      </c>
      <c r="M320" s="133" t="s">
        <v>2524</v>
      </c>
      <c r="N320" s="41" t="s">
        <v>2525</v>
      </c>
      <c r="O320" s="42" t="s">
        <v>218</v>
      </c>
      <c r="P320" s="42" t="s">
        <v>219</v>
      </c>
      <c r="Q320" s="41" t="s">
        <v>199</v>
      </c>
      <c r="R320" s="171" t="s">
        <v>202</v>
      </c>
      <c r="S320" s="41" t="s">
        <v>201</v>
      </c>
      <c r="T320" s="171" t="s">
        <v>202</v>
      </c>
      <c r="U320" s="43" t="s">
        <v>202</v>
      </c>
      <c r="V320" s="43" t="s">
        <v>202</v>
      </c>
      <c r="W320" s="153" t="s">
        <v>2526</v>
      </c>
      <c r="X320" s="83" t="s">
        <v>2527</v>
      </c>
      <c r="Y320" s="41">
        <v>2500</v>
      </c>
      <c r="Z320" s="43" t="s">
        <v>100</v>
      </c>
      <c r="AA320" s="41">
        <v>100</v>
      </c>
      <c r="AB320" s="41">
        <v>0</v>
      </c>
      <c r="AC320" s="41" t="s">
        <v>2528</v>
      </c>
      <c r="AD320" s="41">
        <v>500</v>
      </c>
      <c r="AE320" s="42" t="s">
        <v>2529</v>
      </c>
      <c r="AF320" s="44" t="s">
        <v>93</v>
      </c>
      <c r="AG320" s="84" t="s">
        <v>152</v>
      </c>
      <c r="AH320" s="34" t="s">
        <v>208</v>
      </c>
    </row>
    <row r="321" spans="2:34" ht="42" customHeight="1">
      <c r="B321" s="46">
        <f t="shared" si="4"/>
        <v>318</v>
      </c>
      <c r="C321" s="164" t="str">
        <f>"$"&amp;VLOOKUP(LEFT([1]!Table2[[#This Row],[Column2]],2),[1]Definitions!$B$51:$C$66,2,FALSE)&amp;MID([1]!Table2[[#This Row],[Column2]],3,3)&amp;RIGHT([1]!Table2[[#This Row],[Column2]],2)</f>
        <v>$D22200</v>
      </c>
      <c r="D321" s="165" t="s">
        <v>2530</v>
      </c>
      <c r="E321" s="155" t="s">
        <v>2531</v>
      </c>
      <c r="F321" s="41" t="s">
        <v>199</v>
      </c>
      <c r="G321" s="156" t="s">
        <v>74</v>
      </c>
      <c r="H321" s="171" t="s">
        <v>75</v>
      </c>
      <c r="I321" s="171" t="s">
        <v>76</v>
      </c>
      <c r="J321" s="156">
        <v>2</v>
      </c>
      <c r="K321" s="41" t="s">
        <v>77</v>
      </c>
      <c r="L321" s="41" t="s">
        <v>379</v>
      </c>
      <c r="M321" s="82" t="s">
        <v>2532</v>
      </c>
      <c r="N321" s="41" t="s">
        <v>2525</v>
      </c>
      <c r="O321" s="42" t="s">
        <v>218</v>
      </c>
      <c r="P321" s="42" t="s">
        <v>219</v>
      </c>
      <c r="Q321" s="41" t="s">
        <v>199</v>
      </c>
      <c r="R321" s="171" t="s">
        <v>202</v>
      </c>
      <c r="S321" s="41" t="s">
        <v>201</v>
      </c>
      <c r="T321" s="171" t="s">
        <v>202</v>
      </c>
      <c r="U321" s="43" t="s">
        <v>202</v>
      </c>
      <c r="V321" s="43" t="s">
        <v>202</v>
      </c>
      <c r="W321" s="150" t="s">
        <v>2533</v>
      </c>
      <c r="X321" s="83" t="s">
        <v>2534</v>
      </c>
      <c r="Y321" s="41">
        <v>2500</v>
      </c>
      <c r="Z321" s="43" t="s">
        <v>100</v>
      </c>
      <c r="AA321" s="41">
        <v>100</v>
      </c>
      <c r="AB321" s="41">
        <v>0</v>
      </c>
      <c r="AC321" s="41" t="s">
        <v>2535</v>
      </c>
      <c r="AD321" s="41">
        <v>500</v>
      </c>
      <c r="AE321" s="42" t="s">
        <v>2536</v>
      </c>
      <c r="AF321" s="44" t="s">
        <v>93</v>
      </c>
      <c r="AG321" s="196" t="s">
        <v>152</v>
      </c>
      <c r="AH321" s="34" t="s">
        <v>208</v>
      </c>
    </row>
    <row r="322" spans="2:34" ht="101.25" customHeight="1">
      <c r="B322" s="46">
        <f t="shared" si="4"/>
        <v>319</v>
      </c>
      <c r="C322" s="154" t="str">
        <f>"$"&amp;VLOOKUP(LEFT([1]!Table2[[#This Row],[Column2]],2),[1]Definitions!$B$51:$C$66,2,FALSE)&amp;MID([1]!Table2[[#This Row],[Column2]],3,3)&amp;RIGHT([1]!Table2[[#This Row],[Column2]],2)</f>
        <v>$D22300</v>
      </c>
      <c r="D322" s="165" t="s">
        <v>2537</v>
      </c>
      <c r="E322" s="155" t="s">
        <v>2538</v>
      </c>
      <c r="F322" s="41" t="s">
        <v>199</v>
      </c>
      <c r="G322" s="156" t="s">
        <v>74</v>
      </c>
      <c r="H322" s="171" t="s">
        <v>75</v>
      </c>
      <c r="I322" s="171" t="s">
        <v>76</v>
      </c>
      <c r="J322" s="166">
        <v>2</v>
      </c>
      <c r="K322" s="41" t="s">
        <v>77</v>
      </c>
      <c r="L322" s="41" t="s">
        <v>1035</v>
      </c>
      <c r="M322" s="63" t="s">
        <v>2539</v>
      </c>
      <c r="N322" s="41" t="s">
        <v>1037</v>
      </c>
      <c r="O322" s="42" t="s">
        <v>218</v>
      </c>
      <c r="P322" s="42" t="s">
        <v>219</v>
      </c>
      <c r="Q322" s="41" t="s">
        <v>199</v>
      </c>
      <c r="R322" s="171" t="s">
        <v>202</v>
      </c>
      <c r="S322" s="41" t="s">
        <v>201</v>
      </c>
      <c r="T322" s="171" t="s">
        <v>202</v>
      </c>
      <c r="U322" s="43" t="s">
        <v>202</v>
      </c>
      <c r="V322" s="43" t="s">
        <v>202</v>
      </c>
      <c r="W322" s="153" t="s">
        <v>2540</v>
      </c>
      <c r="X322" s="64" t="s">
        <v>2541</v>
      </c>
      <c r="Y322" s="41">
        <v>3000</v>
      </c>
      <c r="Z322" s="43" t="s">
        <v>100</v>
      </c>
      <c r="AA322" s="41">
        <v>100</v>
      </c>
      <c r="AB322" s="41">
        <v>0</v>
      </c>
      <c r="AC322" s="65" t="s">
        <v>2542</v>
      </c>
      <c r="AD322" s="41">
        <v>500</v>
      </c>
      <c r="AE322" s="42" t="s">
        <v>92</v>
      </c>
      <c r="AF322" s="44" t="s">
        <v>93</v>
      </c>
      <c r="AG322" s="125" t="s">
        <v>152</v>
      </c>
      <c r="AH322" s="34" t="s">
        <v>95</v>
      </c>
    </row>
    <row r="323" spans="2:34" ht="101.25" customHeight="1">
      <c r="B323" s="46">
        <f t="shared" si="4"/>
        <v>320</v>
      </c>
      <c r="C323" s="164" t="str">
        <f>"$"&amp;VLOOKUP(LEFT([1]!Table2[[#This Row],[Column2]],2),[1]Definitions!$B$51:$C$66,2,FALSE)&amp;MID([1]!Table2[[#This Row],[Column2]],3,3)&amp;RIGHT([1]!Table2[[#This Row],[Column2]],2)</f>
        <v>$D2A700</v>
      </c>
      <c r="D323" s="154" t="s">
        <v>2543</v>
      </c>
      <c r="E323" s="155" t="s">
        <v>2544</v>
      </c>
      <c r="F323" s="41" t="s">
        <v>199</v>
      </c>
      <c r="G323" s="156" t="s">
        <v>74</v>
      </c>
      <c r="H323" s="171" t="s">
        <v>75</v>
      </c>
      <c r="I323" s="171" t="s">
        <v>76</v>
      </c>
      <c r="J323" s="156">
        <v>2</v>
      </c>
      <c r="K323" s="41" t="s">
        <v>77</v>
      </c>
      <c r="L323" s="41" t="s">
        <v>2545</v>
      </c>
      <c r="M323" s="82" t="s">
        <v>712</v>
      </c>
      <c r="N323" s="41" t="s">
        <v>76</v>
      </c>
      <c r="O323" s="42" t="s">
        <v>218</v>
      </c>
      <c r="P323" s="42" t="s">
        <v>219</v>
      </c>
      <c r="Q323" s="41" t="s">
        <v>199</v>
      </c>
      <c r="R323" s="156" t="s">
        <v>202</v>
      </c>
      <c r="S323" s="41" t="s">
        <v>201</v>
      </c>
      <c r="T323" s="171" t="s">
        <v>202</v>
      </c>
      <c r="U323" s="43" t="s">
        <v>202</v>
      </c>
      <c r="V323" s="43" t="s">
        <v>202</v>
      </c>
      <c r="W323" s="150" t="s">
        <v>2546</v>
      </c>
      <c r="X323" s="83" t="s">
        <v>2547</v>
      </c>
      <c r="Y323" s="41">
        <v>5000</v>
      </c>
      <c r="Z323" s="43" t="s">
        <v>100</v>
      </c>
      <c r="AA323" s="41">
        <v>100</v>
      </c>
      <c r="AB323" s="41">
        <v>0</v>
      </c>
      <c r="AC323" s="41" t="s">
        <v>674</v>
      </c>
      <c r="AD323" s="41">
        <v>5000</v>
      </c>
      <c r="AE323" s="42" t="s">
        <v>92</v>
      </c>
      <c r="AF323" s="44" t="s">
        <v>93</v>
      </c>
      <c r="AG323" s="118" t="s">
        <v>2548</v>
      </c>
      <c r="AH323" s="34" t="s">
        <v>95</v>
      </c>
    </row>
    <row r="324" spans="2:34" ht="168.75" customHeight="1">
      <c r="B324" s="46">
        <f t="shared" ref="B324:B357" si="5">ROW()-3</f>
        <v>321</v>
      </c>
      <c r="C324" s="154" t="str">
        <f>"$"&amp;VLOOKUP(LEFT([1]!Table2[[#This Row],[Column2]],2),[1]Definitions!$B$51:$C$66,2,FALSE)&amp;MID([1]!Table2[[#This Row],[Column2]],3,3)&amp;RIGHT([1]!Table2[[#This Row],[Column2]],2)</f>
        <v>$D2B400</v>
      </c>
      <c r="D324" s="168" t="s">
        <v>2549</v>
      </c>
      <c r="E324" s="170" t="s">
        <v>2550</v>
      </c>
      <c r="F324" s="41" t="s">
        <v>199</v>
      </c>
      <c r="G324" s="166" t="s">
        <v>74</v>
      </c>
      <c r="H324" s="166" t="s">
        <v>75</v>
      </c>
      <c r="I324" s="166" t="s">
        <v>76</v>
      </c>
      <c r="J324" s="171">
        <v>2</v>
      </c>
      <c r="K324" s="41" t="s">
        <v>77</v>
      </c>
      <c r="L324" s="41" t="s">
        <v>1305</v>
      </c>
      <c r="M324" s="82" t="s">
        <v>2551</v>
      </c>
      <c r="N324" s="41" t="s">
        <v>76</v>
      </c>
      <c r="O324" s="42" t="s">
        <v>218</v>
      </c>
      <c r="P324" s="42" t="s">
        <v>219</v>
      </c>
      <c r="Q324" s="41" t="s">
        <v>199</v>
      </c>
      <c r="R324" s="166" t="s">
        <v>202</v>
      </c>
      <c r="S324" s="41" t="s">
        <v>201</v>
      </c>
      <c r="T324" s="166" t="s">
        <v>202</v>
      </c>
      <c r="U324" s="43" t="s">
        <v>202</v>
      </c>
      <c r="V324" s="43" t="s">
        <v>202</v>
      </c>
      <c r="W324" s="153" t="s">
        <v>2552</v>
      </c>
      <c r="X324" s="83" t="s">
        <v>2553</v>
      </c>
      <c r="Y324" s="41">
        <v>2500</v>
      </c>
      <c r="Z324" s="43" t="s">
        <v>100</v>
      </c>
      <c r="AA324" s="41">
        <v>100</v>
      </c>
      <c r="AB324" s="41">
        <v>0</v>
      </c>
      <c r="AC324" s="65" t="s">
        <v>2554</v>
      </c>
      <c r="AD324" s="41">
        <v>2500</v>
      </c>
      <c r="AE324" s="26" t="s">
        <v>92</v>
      </c>
      <c r="AF324" s="27" t="s">
        <v>93</v>
      </c>
      <c r="AG324" s="125" t="s">
        <v>2042</v>
      </c>
      <c r="AH324" s="34" t="s">
        <v>95</v>
      </c>
    </row>
    <row r="325" spans="2:34" ht="101.25" customHeight="1">
      <c r="B325" s="46">
        <f t="shared" si="5"/>
        <v>322</v>
      </c>
      <c r="C325" s="154" t="str">
        <f>"$"&amp;VLOOKUP(LEFT([1]!Table2[[#This Row],[Column2]],2),[1]Definitions!$B$51:$C$66,2,FALSE)&amp;MID([1]!Table2[[#This Row],[Column2]],3,3)&amp;RIGHT([1]!Table2[[#This Row],[Column2]],2)</f>
        <v>$D2BC00</v>
      </c>
      <c r="D325" s="154" t="s">
        <v>2555</v>
      </c>
      <c r="E325" s="170" t="s">
        <v>2556</v>
      </c>
      <c r="F325" s="41" t="s">
        <v>199</v>
      </c>
      <c r="G325" s="152" t="s">
        <v>74</v>
      </c>
      <c r="H325" s="152" t="s">
        <v>246</v>
      </c>
      <c r="I325" s="152" t="s">
        <v>76</v>
      </c>
      <c r="J325" s="152">
        <v>2</v>
      </c>
      <c r="K325" s="41" t="s">
        <v>77</v>
      </c>
      <c r="L325" s="41" t="s">
        <v>1511</v>
      </c>
      <c r="M325" s="82" t="s">
        <v>2557</v>
      </c>
      <c r="N325" s="41" t="s">
        <v>76</v>
      </c>
      <c r="O325" s="42" t="s">
        <v>218</v>
      </c>
      <c r="P325" s="42" t="s">
        <v>219</v>
      </c>
      <c r="Q325" s="41" t="s">
        <v>199</v>
      </c>
      <c r="R325" s="172" t="s">
        <v>202</v>
      </c>
      <c r="S325" s="41" t="s">
        <v>201</v>
      </c>
      <c r="T325" s="172" t="s">
        <v>200</v>
      </c>
      <c r="U325" s="43" t="s">
        <v>200</v>
      </c>
      <c r="V325" s="43" t="s">
        <v>200</v>
      </c>
      <c r="W325" s="150" t="s">
        <v>2558</v>
      </c>
      <c r="X325" s="83" t="s">
        <v>2559</v>
      </c>
      <c r="Y325" s="41">
        <v>5000</v>
      </c>
      <c r="Z325" s="43" t="s">
        <v>100</v>
      </c>
      <c r="AA325" s="41">
        <v>100</v>
      </c>
      <c r="AB325" s="41">
        <v>0</v>
      </c>
      <c r="AC325" s="42" t="s">
        <v>2560</v>
      </c>
      <c r="AD325" s="41">
        <v>5000</v>
      </c>
      <c r="AE325" s="197" t="s">
        <v>2561</v>
      </c>
      <c r="AF325" s="27" t="s">
        <v>93</v>
      </c>
      <c r="AG325" s="89" t="s">
        <v>649</v>
      </c>
      <c r="AH325" s="34" t="s">
        <v>208</v>
      </c>
    </row>
    <row r="326" spans="2:34" ht="101.25" customHeight="1">
      <c r="B326" s="46">
        <f t="shared" si="5"/>
        <v>323</v>
      </c>
      <c r="C326" s="154" t="str">
        <f>"$"&amp;VLOOKUP(LEFT([1]!Table2[[#This Row],[Column2]],2),[1]Definitions!$B$51:$C$66,2,FALSE)&amp;MID([1]!Table2[[#This Row],[Column2]],3,3)&amp;RIGHT([1]!Table2[[#This Row],[Column2]],2)</f>
        <v>$D2BD00</v>
      </c>
      <c r="D326" s="154" t="s">
        <v>2562</v>
      </c>
      <c r="E326" s="170" t="s">
        <v>2563</v>
      </c>
      <c r="F326" s="41" t="s">
        <v>199</v>
      </c>
      <c r="G326" s="152" t="s">
        <v>74</v>
      </c>
      <c r="H326" s="152" t="s">
        <v>246</v>
      </c>
      <c r="I326" s="152" t="s">
        <v>76</v>
      </c>
      <c r="J326" s="152">
        <v>2</v>
      </c>
      <c r="K326" s="41" t="s">
        <v>77</v>
      </c>
      <c r="L326" s="41" t="s">
        <v>1511</v>
      </c>
      <c r="M326" s="82" t="s">
        <v>2557</v>
      </c>
      <c r="N326" s="41" t="s">
        <v>76</v>
      </c>
      <c r="O326" s="42" t="s">
        <v>218</v>
      </c>
      <c r="P326" s="42" t="s">
        <v>219</v>
      </c>
      <c r="Q326" s="41" t="s">
        <v>199</v>
      </c>
      <c r="R326" s="172" t="s">
        <v>202</v>
      </c>
      <c r="S326" s="41" t="s">
        <v>201</v>
      </c>
      <c r="T326" s="172" t="s">
        <v>200</v>
      </c>
      <c r="U326" s="43" t="s">
        <v>200</v>
      </c>
      <c r="V326" s="43" t="s">
        <v>200</v>
      </c>
      <c r="W326" s="150" t="s">
        <v>2564</v>
      </c>
      <c r="X326" s="198" t="s">
        <v>2565</v>
      </c>
      <c r="Y326" s="41">
        <v>5000</v>
      </c>
      <c r="Z326" s="43" t="s">
        <v>100</v>
      </c>
      <c r="AA326" s="41">
        <v>100</v>
      </c>
      <c r="AB326" s="41">
        <v>0</v>
      </c>
      <c r="AC326" s="42" t="s">
        <v>2566</v>
      </c>
      <c r="AD326" s="41">
        <v>5000</v>
      </c>
      <c r="AE326" s="197" t="s">
        <v>2567</v>
      </c>
      <c r="AF326" s="27" t="s">
        <v>93</v>
      </c>
      <c r="AG326" s="89" t="s">
        <v>649</v>
      </c>
      <c r="AH326" s="34" t="s">
        <v>208</v>
      </c>
    </row>
    <row r="327" spans="2:34" ht="112.5" customHeight="1">
      <c r="B327" s="46">
        <f t="shared" si="5"/>
        <v>324</v>
      </c>
      <c r="C327" s="154" t="str">
        <f>"$"&amp;VLOOKUP(LEFT([1]!Table2[[#This Row],[Column2]],2),[1]Definitions!$B$51:$C$66,2,FALSE)&amp;MID([1]!Table2[[#This Row],[Column2]],3,3)&amp;RIGHT([1]!Table2[[#This Row],[Column2]],2)</f>
        <v>$D2BE00</v>
      </c>
      <c r="D327" s="199" t="s">
        <v>2568</v>
      </c>
      <c r="E327" s="200" t="s">
        <v>2569</v>
      </c>
      <c r="F327" s="201" t="s">
        <v>199</v>
      </c>
      <c r="G327" s="202" t="s">
        <v>74</v>
      </c>
      <c r="H327" s="202" t="s">
        <v>246</v>
      </c>
      <c r="I327" s="202" t="s">
        <v>76</v>
      </c>
      <c r="J327" s="202">
        <v>2</v>
      </c>
      <c r="K327" s="201" t="s">
        <v>77</v>
      </c>
      <c r="L327" s="201" t="s">
        <v>1511</v>
      </c>
      <c r="M327" s="203" t="s">
        <v>2557</v>
      </c>
      <c r="N327" s="41" t="s">
        <v>76</v>
      </c>
      <c r="O327" s="204" t="s">
        <v>218</v>
      </c>
      <c r="P327" s="197" t="s">
        <v>219</v>
      </c>
      <c r="Q327" s="201" t="s">
        <v>199</v>
      </c>
      <c r="R327" s="205" t="s">
        <v>202</v>
      </c>
      <c r="S327" s="201" t="s">
        <v>201</v>
      </c>
      <c r="T327" s="205" t="s">
        <v>200</v>
      </c>
      <c r="U327" s="206" t="s">
        <v>200</v>
      </c>
      <c r="V327" s="206" t="s">
        <v>200</v>
      </c>
      <c r="W327" s="207" t="s">
        <v>2570</v>
      </c>
      <c r="X327" s="208" t="s">
        <v>2571</v>
      </c>
      <c r="Y327" s="201">
        <v>5000</v>
      </c>
      <c r="Z327" s="206" t="s">
        <v>100</v>
      </c>
      <c r="AA327" s="201">
        <v>100</v>
      </c>
      <c r="AB327" s="201">
        <v>0</v>
      </c>
      <c r="AC327" s="197" t="s">
        <v>2572</v>
      </c>
      <c r="AD327" s="201">
        <v>5000</v>
      </c>
      <c r="AE327" s="197" t="s">
        <v>2573</v>
      </c>
      <c r="AF327" s="27" t="s">
        <v>93</v>
      </c>
      <c r="AG327" s="209" t="s">
        <v>649</v>
      </c>
      <c r="AH327" s="34" t="s">
        <v>208</v>
      </c>
    </row>
    <row r="328" spans="2:34" ht="112.5" customHeight="1">
      <c r="B328" s="46">
        <f t="shared" si="5"/>
        <v>325</v>
      </c>
      <c r="C328" s="154" t="str">
        <f>"$"&amp;VLOOKUP(LEFT([1]!Table2[[#This Row],[Column2]],2),[1]Definitions!$B$51:$C$66,2,FALSE)&amp;MID([1]!Table2[[#This Row],[Column2]],3,3)&amp;RIGHT([1]!Table2[[#This Row],[Column2]],2)</f>
        <v>$D2BF00</v>
      </c>
      <c r="D328" s="154" t="s">
        <v>2574</v>
      </c>
      <c r="E328" s="170" t="s">
        <v>2575</v>
      </c>
      <c r="F328" s="41" t="s">
        <v>199</v>
      </c>
      <c r="G328" s="210" t="s">
        <v>74</v>
      </c>
      <c r="H328" s="211" t="s">
        <v>246</v>
      </c>
      <c r="I328" s="211" t="s">
        <v>76</v>
      </c>
      <c r="J328" s="211">
        <v>2</v>
      </c>
      <c r="K328" s="41" t="s">
        <v>77</v>
      </c>
      <c r="L328" s="139" t="s">
        <v>1511</v>
      </c>
      <c r="M328" s="82" t="s">
        <v>2557</v>
      </c>
      <c r="N328" s="41" t="s">
        <v>76</v>
      </c>
      <c r="O328" s="135" t="s">
        <v>218</v>
      </c>
      <c r="P328" s="212" t="s">
        <v>219</v>
      </c>
      <c r="Q328" s="139" t="s">
        <v>199</v>
      </c>
      <c r="R328" s="213" t="s">
        <v>202</v>
      </c>
      <c r="S328" s="139" t="s">
        <v>201</v>
      </c>
      <c r="T328" s="213" t="s">
        <v>200</v>
      </c>
      <c r="U328" s="214" t="s">
        <v>200</v>
      </c>
      <c r="V328" s="138" t="s">
        <v>200</v>
      </c>
      <c r="W328" s="215" t="s">
        <v>2576</v>
      </c>
      <c r="X328" s="198" t="s">
        <v>2577</v>
      </c>
      <c r="Y328" s="139">
        <v>5000</v>
      </c>
      <c r="Z328" s="138" t="s">
        <v>100</v>
      </c>
      <c r="AA328" s="41">
        <v>100</v>
      </c>
      <c r="AB328" s="139">
        <v>0</v>
      </c>
      <c r="AC328" s="42" t="s">
        <v>2578</v>
      </c>
      <c r="AD328" s="139">
        <v>5000</v>
      </c>
      <c r="AE328" s="26" t="s">
        <v>2579</v>
      </c>
      <c r="AF328" s="139" t="s">
        <v>93</v>
      </c>
      <c r="AG328" s="89" t="s">
        <v>649</v>
      </c>
      <c r="AH328" s="34" t="s">
        <v>208</v>
      </c>
    </row>
    <row r="329" spans="2:34" ht="112.5" customHeight="1">
      <c r="B329" s="46">
        <f t="shared" si="5"/>
        <v>326</v>
      </c>
      <c r="C329" s="154" t="str">
        <f>"$"&amp;VLOOKUP(LEFT([1]!Table2[[#This Row],[Column2]],2),[1]Definitions!$B$51:$C$66,2,FALSE)&amp;MID([1]!Table2[[#This Row],[Column2]],3,3)&amp;RIGHT([1]!Table2[[#This Row],[Column2]],2)</f>
        <v>$D2C000</v>
      </c>
      <c r="D329" s="150" t="s">
        <v>2580</v>
      </c>
      <c r="E329" s="151" t="s">
        <v>2581</v>
      </c>
      <c r="F329" s="41" t="s">
        <v>199</v>
      </c>
      <c r="G329" s="210" t="s">
        <v>74</v>
      </c>
      <c r="H329" s="211" t="s">
        <v>75</v>
      </c>
      <c r="I329" s="211" t="s">
        <v>76</v>
      </c>
      <c r="J329" s="211">
        <v>2</v>
      </c>
      <c r="K329" s="41" t="s">
        <v>77</v>
      </c>
      <c r="L329" s="139" t="s">
        <v>2582</v>
      </c>
      <c r="M329" s="63" t="s">
        <v>2583</v>
      </c>
      <c r="N329" s="41" t="s">
        <v>76</v>
      </c>
      <c r="O329" s="26" t="s">
        <v>218</v>
      </c>
      <c r="P329" s="216" t="s">
        <v>219</v>
      </c>
      <c r="Q329" s="139" t="s">
        <v>199</v>
      </c>
      <c r="R329" s="213" t="s">
        <v>202</v>
      </c>
      <c r="S329" s="139" t="s">
        <v>201</v>
      </c>
      <c r="T329" s="213" t="s">
        <v>202</v>
      </c>
      <c r="U329" s="217" t="s">
        <v>202</v>
      </c>
      <c r="V329" s="146" t="s">
        <v>202</v>
      </c>
      <c r="W329" s="218" t="s">
        <v>2584</v>
      </c>
      <c r="X329" s="219" t="s">
        <v>2585</v>
      </c>
      <c r="Y329" s="147">
        <v>7500</v>
      </c>
      <c r="Z329" s="146" t="s">
        <v>100</v>
      </c>
      <c r="AA329" s="41">
        <v>400</v>
      </c>
      <c r="AB329" s="147">
        <v>0</v>
      </c>
      <c r="AC329" s="148" t="s">
        <v>2586</v>
      </c>
      <c r="AD329" s="147">
        <v>2500</v>
      </c>
      <c r="AE329" s="220" t="s">
        <v>2587</v>
      </c>
      <c r="AF329" s="147" t="s">
        <v>93</v>
      </c>
      <c r="AG329" s="125" t="s">
        <v>2588</v>
      </c>
      <c r="AH329" s="34" t="s">
        <v>208</v>
      </c>
    </row>
    <row r="330" spans="2:34" ht="90" customHeight="1">
      <c r="B330" s="46">
        <f t="shared" si="5"/>
        <v>327</v>
      </c>
      <c r="C330" s="150" t="str">
        <f>"$"&amp;VLOOKUP(LEFT([1]!Table2[[#This Row],[Column2]],2),[1]Definitions!$B$51:$C$66,2,FALSE)&amp;MID([1]!Table2[[#This Row],[Column2]],3,3)&amp;RIGHT([1]!Table2[[#This Row],[Column2]],2)</f>
        <v>$D44200</v>
      </c>
      <c r="D330" s="150" t="s">
        <v>2589</v>
      </c>
      <c r="E330" s="151" t="s">
        <v>2590</v>
      </c>
      <c r="F330" s="41" t="s">
        <v>199</v>
      </c>
      <c r="G330" s="152" t="s">
        <v>74</v>
      </c>
      <c r="H330" s="152" t="s">
        <v>75</v>
      </c>
      <c r="I330" s="152" t="s">
        <v>76</v>
      </c>
      <c r="J330" s="152">
        <v>2</v>
      </c>
      <c r="K330" s="41" t="s">
        <v>77</v>
      </c>
      <c r="L330" s="41" t="s">
        <v>255</v>
      </c>
      <c r="M330" s="82" t="s">
        <v>255</v>
      </c>
      <c r="N330" s="41" t="s">
        <v>76</v>
      </c>
      <c r="O330" s="42" t="s">
        <v>2461</v>
      </c>
      <c r="P330" s="42" t="s">
        <v>1939</v>
      </c>
      <c r="Q330" s="41" t="s">
        <v>199</v>
      </c>
      <c r="R330" s="152" t="s">
        <v>202</v>
      </c>
      <c r="S330" s="41" t="s">
        <v>201</v>
      </c>
      <c r="T330" s="152" t="s">
        <v>202</v>
      </c>
      <c r="U330" s="43" t="s">
        <v>202</v>
      </c>
      <c r="V330" s="43" t="s">
        <v>202</v>
      </c>
      <c r="W330" s="153" t="s">
        <v>2462</v>
      </c>
      <c r="X330" s="83" t="s">
        <v>2591</v>
      </c>
      <c r="Y330" s="41">
        <v>5000</v>
      </c>
      <c r="Z330" s="43" t="s">
        <v>100</v>
      </c>
      <c r="AA330" s="41">
        <v>100</v>
      </c>
      <c r="AB330" s="41">
        <v>0</v>
      </c>
      <c r="AC330" s="42" t="s">
        <v>260</v>
      </c>
      <c r="AD330" s="41">
        <v>5000</v>
      </c>
      <c r="AE330" s="42" t="s">
        <v>92</v>
      </c>
      <c r="AF330" s="44" t="s">
        <v>93</v>
      </c>
      <c r="AG330" s="89" t="s">
        <v>894</v>
      </c>
      <c r="AH330" s="34" t="s">
        <v>95</v>
      </c>
    </row>
    <row r="331" spans="2:34" ht="101.25" customHeight="1">
      <c r="B331" s="46">
        <f t="shared" si="5"/>
        <v>328</v>
      </c>
      <c r="C331" s="164" t="str">
        <f>"$"&amp;VLOOKUP(LEFT([1]!Table2[[#This Row],[Column2]],2),[1]Definitions!$B$51:$C$66,2,FALSE)&amp;MID([1]!Table2[[#This Row],[Column2]],3,3)&amp;RIGHT([1]!Table2[[#This Row],[Column2]],2)</f>
        <v>$D44500</v>
      </c>
      <c r="D331" s="154" t="s">
        <v>2592</v>
      </c>
      <c r="E331" s="155" t="s">
        <v>2593</v>
      </c>
      <c r="F331" s="41" t="s">
        <v>199</v>
      </c>
      <c r="G331" s="156" t="s">
        <v>74</v>
      </c>
      <c r="H331" s="171" t="s">
        <v>75</v>
      </c>
      <c r="I331" s="171" t="s">
        <v>76</v>
      </c>
      <c r="J331" s="156">
        <v>2</v>
      </c>
      <c r="K331" s="41" t="s">
        <v>77</v>
      </c>
      <c r="L331" s="41" t="s">
        <v>2545</v>
      </c>
      <c r="M331" s="82" t="s">
        <v>712</v>
      </c>
      <c r="N331" s="41" t="s">
        <v>76</v>
      </c>
      <c r="O331" s="42" t="s">
        <v>2594</v>
      </c>
      <c r="P331" s="42" t="s">
        <v>2595</v>
      </c>
      <c r="Q331" s="41" t="s">
        <v>199</v>
      </c>
      <c r="R331" s="166" t="s">
        <v>202</v>
      </c>
      <c r="S331" s="41" t="s">
        <v>201</v>
      </c>
      <c r="T331" s="166" t="s">
        <v>202</v>
      </c>
      <c r="U331" s="43" t="s">
        <v>202</v>
      </c>
      <c r="V331" s="43" t="s">
        <v>202</v>
      </c>
      <c r="W331" s="150" t="s">
        <v>2596</v>
      </c>
      <c r="X331" s="83" t="s">
        <v>2597</v>
      </c>
      <c r="Y331" s="41">
        <v>5000</v>
      </c>
      <c r="Z331" s="43" t="s">
        <v>100</v>
      </c>
      <c r="AA331" s="41">
        <v>100</v>
      </c>
      <c r="AB331" s="41">
        <v>0</v>
      </c>
      <c r="AC331" s="42" t="s">
        <v>260</v>
      </c>
      <c r="AD331" s="41">
        <v>5000</v>
      </c>
      <c r="AE331" s="42" t="s">
        <v>92</v>
      </c>
      <c r="AF331" s="44" t="s">
        <v>93</v>
      </c>
      <c r="AG331" s="118" t="s">
        <v>2548</v>
      </c>
      <c r="AH331" s="34" t="s">
        <v>95</v>
      </c>
    </row>
    <row r="332" spans="2:34" ht="409.5" customHeight="1">
      <c r="B332" s="46">
        <f t="shared" si="5"/>
        <v>329</v>
      </c>
      <c r="C332" s="164" t="str">
        <f>"$"&amp;VLOOKUP(LEFT([1]!Table2[[#This Row],[Column2]],2),[1]Definitions!$B$51:$C$66,2,FALSE)&amp;MID([1]!Table2[[#This Row],[Column2]],3,3)&amp;RIGHT([1]!Table2[[#This Row],[Column2]],2)</f>
        <v>$D47C00</v>
      </c>
      <c r="D332" s="165" t="s">
        <v>2598</v>
      </c>
      <c r="E332" s="155" t="s">
        <v>2599</v>
      </c>
      <c r="F332" s="41" t="s">
        <v>199</v>
      </c>
      <c r="G332" s="156" t="s">
        <v>74</v>
      </c>
      <c r="H332" s="166" t="s">
        <v>75</v>
      </c>
      <c r="I332" s="156" t="s">
        <v>76</v>
      </c>
      <c r="J332" s="171">
        <v>2</v>
      </c>
      <c r="K332" s="41" t="s">
        <v>77</v>
      </c>
      <c r="L332" s="41" t="s">
        <v>2600</v>
      </c>
      <c r="M332" s="63" t="s">
        <v>2601</v>
      </c>
      <c r="N332" s="41" t="s">
        <v>76</v>
      </c>
      <c r="O332" s="42" t="s">
        <v>2602</v>
      </c>
      <c r="P332" s="42" t="s">
        <v>2603</v>
      </c>
      <c r="Q332" s="41" t="s">
        <v>199</v>
      </c>
      <c r="R332" s="156" t="s">
        <v>202</v>
      </c>
      <c r="S332" s="41" t="s">
        <v>201</v>
      </c>
      <c r="T332" s="156" t="s">
        <v>202</v>
      </c>
      <c r="U332" s="43" t="s">
        <v>202</v>
      </c>
      <c r="V332" s="43" t="s">
        <v>202</v>
      </c>
      <c r="W332" s="153" t="s">
        <v>2604</v>
      </c>
      <c r="X332" s="64" t="s">
        <v>2605</v>
      </c>
      <c r="Y332" s="41" t="s">
        <v>2606</v>
      </c>
      <c r="Z332" s="43" t="s">
        <v>100</v>
      </c>
      <c r="AA332" s="41">
        <v>100</v>
      </c>
      <c r="AB332" s="41">
        <v>0</v>
      </c>
      <c r="AC332" s="65" t="s">
        <v>2607</v>
      </c>
      <c r="AD332" s="41">
        <v>2500</v>
      </c>
      <c r="AE332" s="32" t="s">
        <v>2608</v>
      </c>
      <c r="AF332" s="44" t="s">
        <v>93</v>
      </c>
      <c r="AG332" s="118" t="s">
        <v>633</v>
      </c>
      <c r="AH332" s="34" t="s">
        <v>208</v>
      </c>
    </row>
    <row r="333" spans="2:34" ht="168.75" customHeight="1">
      <c r="B333" s="46">
        <f t="shared" si="5"/>
        <v>330</v>
      </c>
      <c r="C333" s="154" t="str">
        <f>"$"&amp;VLOOKUP(LEFT([1]!Table2[[#This Row],[Column2]],2),[1]Definitions!$B$51:$C$66,2,FALSE)&amp;MID([1]!Table2[[#This Row],[Column2]],3,3)&amp;RIGHT([1]!Table2[[#This Row],[Column2]],2)</f>
        <v>$D48800</v>
      </c>
      <c r="D333" s="165" t="s">
        <v>2609</v>
      </c>
      <c r="E333" s="155" t="s">
        <v>2610</v>
      </c>
      <c r="F333" s="41" t="s">
        <v>199</v>
      </c>
      <c r="G333" s="166" t="s">
        <v>74</v>
      </c>
      <c r="H333" s="156" t="s">
        <v>75</v>
      </c>
      <c r="I333" s="156" t="s">
        <v>76</v>
      </c>
      <c r="J333" s="156">
        <v>2</v>
      </c>
      <c r="K333" s="41" t="s">
        <v>77</v>
      </c>
      <c r="L333" s="111" t="s">
        <v>2611</v>
      </c>
      <c r="M333" s="63" t="s">
        <v>2612</v>
      </c>
      <c r="N333" s="41" t="s">
        <v>76</v>
      </c>
      <c r="O333" s="42" t="s">
        <v>2613</v>
      </c>
      <c r="P333" s="42" t="s">
        <v>2614</v>
      </c>
      <c r="Q333" s="41" t="s">
        <v>199</v>
      </c>
      <c r="R333" s="156" t="s">
        <v>200</v>
      </c>
      <c r="S333" s="41" t="s">
        <v>201</v>
      </c>
      <c r="T333" s="156" t="s">
        <v>200</v>
      </c>
      <c r="U333" s="43" t="s">
        <v>200</v>
      </c>
      <c r="V333" s="43" t="s">
        <v>200</v>
      </c>
      <c r="W333" s="153" t="s">
        <v>2615</v>
      </c>
      <c r="X333" s="64" t="s">
        <v>2616</v>
      </c>
      <c r="Y333" s="41">
        <v>2500</v>
      </c>
      <c r="Z333" s="43" t="s">
        <v>100</v>
      </c>
      <c r="AA333" s="41">
        <v>100</v>
      </c>
      <c r="AB333" s="41">
        <v>0</v>
      </c>
      <c r="AC333" s="65" t="s">
        <v>2617</v>
      </c>
      <c r="AD333" s="41">
        <v>500</v>
      </c>
      <c r="AE333" s="33" t="s">
        <v>2618</v>
      </c>
      <c r="AF333" s="44" t="s">
        <v>93</v>
      </c>
      <c r="AG333" s="125" t="s">
        <v>912</v>
      </c>
      <c r="AH333" s="34" t="s">
        <v>208</v>
      </c>
    </row>
    <row r="334" spans="2:34" ht="180" customHeight="1">
      <c r="B334" s="46">
        <f t="shared" si="5"/>
        <v>331</v>
      </c>
      <c r="C334" s="154" t="str">
        <f>"$"&amp;VLOOKUP(LEFT([1]!Table2[[#This Row],[Column2]],2),[1]Definitions!$B$51:$C$66,2,FALSE)&amp;MID([1]!Table2[[#This Row],[Column2]],3,3)&amp;RIGHT([1]!Table2[[#This Row],[Column2]],2)</f>
        <v>$D49700</v>
      </c>
      <c r="D334" s="165" t="s">
        <v>2619</v>
      </c>
      <c r="E334" s="155" t="s">
        <v>2620</v>
      </c>
      <c r="F334" s="41" t="s">
        <v>227</v>
      </c>
      <c r="G334" s="156" t="s">
        <v>74</v>
      </c>
      <c r="H334" s="171" t="s">
        <v>75</v>
      </c>
      <c r="I334" s="171" t="s">
        <v>76</v>
      </c>
      <c r="J334" s="166">
        <v>2</v>
      </c>
      <c r="K334" s="41" t="s">
        <v>77</v>
      </c>
      <c r="L334" s="41" t="s">
        <v>1035</v>
      </c>
      <c r="M334" s="63" t="s">
        <v>2621</v>
      </c>
      <c r="N334" s="41" t="s">
        <v>1037</v>
      </c>
      <c r="O334" s="42" t="s">
        <v>2622</v>
      </c>
      <c r="P334" s="42" t="s">
        <v>1039</v>
      </c>
      <c r="Q334" s="41" t="s">
        <v>199</v>
      </c>
      <c r="R334" s="171" t="s">
        <v>202</v>
      </c>
      <c r="S334" s="41" t="s">
        <v>201</v>
      </c>
      <c r="T334" s="171" t="s">
        <v>202</v>
      </c>
      <c r="U334" s="43" t="s">
        <v>202</v>
      </c>
      <c r="V334" s="43" t="s">
        <v>202</v>
      </c>
      <c r="W334" s="150" t="s">
        <v>2623</v>
      </c>
      <c r="X334" s="64" t="s">
        <v>2624</v>
      </c>
      <c r="Y334" s="41">
        <v>7500</v>
      </c>
      <c r="Z334" s="43" t="s">
        <v>100</v>
      </c>
      <c r="AA334" s="41">
        <v>100</v>
      </c>
      <c r="AB334" s="41">
        <v>0</v>
      </c>
      <c r="AC334" s="65" t="s">
        <v>2625</v>
      </c>
      <c r="AD334" s="41">
        <v>500</v>
      </c>
      <c r="AE334" s="42" t="s">
        <v>92</v>
      </c>
      <c r="AF334" s="44" t="s">
        <v>93</v>
      </c>
      <c r="AG334" s="125" t="s">
        <v>152</v>
      </c>
      <c r="AH334" s="34" t="s">
        <v>95</v>
      </c>
    </row>
    <row r="335" spans="2:34" ht="90" customHeight="1">
      <c r="B335" s="46">
        <f t="shared" si="5"/>
        <v>332</v>
      </c>
      <c r="C335" s="150" t="str">
        <f>"$"&amp;VLOOKUP(LEFT([1]!Table2[[#This Row],[Column2]],2),[1]Definitions!$B$51:$C$66,2,FALSE)&amp;MID([1]!Table2[[#This Row],[Column2]],3,3)&amp;RIGHT([1]!Table2[[#This Row],[Column2]],2)</f>
        <v>$D49C00</v>
      </c>
      <c r="D335" s="150" t="s">
        <v>2626</v>
      </c>
      <c r="E335" s="151" t="s">
        <v>2627</v>
      </c>
      <c r="F335" s="41" t="s">
        <v>199</v>
      </c>
      <c r="G335" s="152" t="s">
        <v>74</v>
      </c>
      <c r="H335" s="152" t="s">
        <v>75</v>
      </c>
      <c r="I335" s="152" t="s">
        <v>76</v>
      </c>
      <c r="J335" s="152">
        <v>2</v>
      </c>
      <c r="K335" s="41" t="s">
        <v>77</v>
      </c>
      <c r="L335" s="41" t="s">
        <v>255</v>
      </c>
      <c r="M335" s="82" t="s">
        <v>255</v>
      </c>
      <c r="N335" s="41" t="s">
        <v>76</v>
      </c>
      <c r="O335" s="42" t="s">
        <v>1222</v>
      </c>
      <c r="P335" s="42" t="s">
        <v>1223</v>
      </c>
      <c r="Q335" s="41" t="s">
        <v>199</v>
      </c>
      <c r="R335" s="152" t="s">
        <v>202</v>
      </c>
      <c r="S335" s="41" t="s">
        <v>201</v>
      </c>
      <c r="T335" s="152" t="s">
        <v>202</v>
      </c>
      <c r="U335" s="43" t="s">
        <v>202</v>
      </c>
      <c r="V335" s="43" t="s">
        <v>202</v>
      </c>
      <c r="W335" s="153" t="s">
        <v>2628</v>
      </c>
      <c r="X335" s="83" t="s">
        <v>2629</v>
      </c>
      <c r="Y335" s="41">
        <v>5000</v>
      </c>
      <c r="Z335" s="43" t="s">
        <v>100</v>
      </c>
      <c r="AA335" s="41">
        <v>100</v>
      </c>
      <c r="AB335" s="41">
        <v>0</v>
      </c>
      <c r="AC335" s="42" t="s">
        <v>2630</v>
      </c>
      <c r="AD335" s="41">
        <v>5000</v>
      </c>
      <c r="AE335" s="26" t="s">
        <v>92</v>
      </c>
      <c r="AF335" s="44" t="s">
        <v>93</v>
      </c>
      <c r="AG335" s="89" t="s">
        <v>2631</v>
      </c>
      <c r="AH335" s="34" t="s">
        <v>95</v>
      </c>
    </row>
    <row r="336" spans="2:34" ht="90" customHeight="1">
      <c r="B336" s="46">
        <f t="shared" si="5"/>
        <v>333</v>
      </c>
      <c r="C336" s="150" t="str">
        <f>"$"&amp;VLOOKUP(LEFT([1]!Table2[[#This Row],[Column2]],2),[1]Definitions!$B$51:$C$66,2,FALSE)&amp;MID([1]!Table2[[#This Row],[Column2]],3,3)&amp;RIGHT([1]!Table2[[#This Row],[Column2]],2)</f>
        <v>$D49D00</v>
      </c>
      <c r="D336" s="150" t="s">
        <v>2632</v>
      </c>
      <c r="E336" s="151" t="s">
        <v>2633</v>
      </c>
      <c r="F336" s="41" t="s">
        <v>199</v>
      </c>
      <c r="G336" s="152" t="s">
        <v>74</v>
      </c>
      <c r="H336" s="152" t="s">
        <v>75</v>
      </c>
      <c r="I336" s="152" t="s">
        <v>76</v>
      </c>
      <c r="J336" s="152">
        <v>2</v>
      </c>
      <c r="K336" s="41" t="s">
        <v>77</v>
      </c>
      <c r="L336" s="41" t="s">
        <v>255</v>
      </c>
      <c r="M336" s="82" t="s">
        <v>255</v>
      </c>
      <c r="N336" s="41" t="s">
        <v>76</v>
      </c>
      <c r="O336" s="42" t="s">
        <v>1222</v>
      </c>
      <c r="P336" s="42" t="s">
        <v>1223</v>
      </c>
      <c r="Q336" s="41" t="s">
        <v>199</v>
      </c>
      <c r="R336" s="152" t="s">
        <v>202</v>
      </c>
      <c r="S336" s="41" t="s">
        <v>201</v>
      </c>
      <c r="T336" s="152" t="s">
        <v>202</v>
      </c>
      <c r="U336" s="43" t="s">
        <v>202</v>
      </c>
      <c r="V336" s="43" t="s">
        <v>202</v>
      </c>
      <c r="W336" s="153" t="s">
        <v>2634</v>
      </c>
      <c r="X336" s="83" t="s">
        <v>2635</v>
      </c>
      <c r="Y336" s="41">
        <v>5000</v>
      </c>
      <c r="Z336" s="43" t="s">
        <v>100</v>
      </c>
      <c r="AA336" s="41">
        <v>100</v>
      </c>
      <c r="AB336" s="41">
        <v>0</v>
      </c>
      <c r="AC336" s="42" t="s">
        <v>2636</v>
      </c>
      <c r="AD336" s="41">
        <v>5000</v>
      </c>
      <c r="AE336" s="42" t="s">
        <v>92</v>
      </c>
      <c r="AF336" s="44" t="s">
        <v>93</v>
      </c>
      <c r="AG336" s="33" t="s">
        <v>2637</v>
      </c>
      <c r="AH336" s="34" t="s">
        <v>95</v>
      </c>
    </row>
    <row r="337" spans="2:34" ht="90" customHeight="1">
      <c r="B337" s="46">
        <f t="shared" si="5"/>
        <v>334</v>
      </c>
      <c r="C337" s="32" t="str">
        <f>"$"&amp;VLOOKUP(LEFT([1]!Table2[[#This Row],[Column2]],2),[1]Definitions!$B$51:$C$66,2,FALSE)&amp;MID([1]!Table2[[#This Row],[Column2]],3,3)&amp;RIGHT([1]!Table2[[#This Row],[Column2]],2)</f>
        <v>$D4A300</v>
      </c>
      <c r="D337" s="32" t="s">
        <v>2638</v>
      </c>
      <c r="E337" s="33" t="s">
        <v>2639</v>
      </c>
      <c r="F337" s="27" t="s">
        <v>199</v>
      </c>
      <c r="G337" s="54" t="s">
        <v>74</v>
      </c>
      <c r="H337" s="54" t="s">
        <v>75</v>
      </c>
      <c r="I337" s="54" t="s">
        <v>76</v>
      </c>
      <c r="J337" s="54">
        <v>2</v>
      </c>
      <c r="K337" s="27" t="s">
        <v>77</v>
      </c>
      <c r="L337" s="54" t="s">
        <v>2640</v>
      </c>
      <c r="M337" s="66" t="s">
        <v>2641</v>
      </c>
      <c r="N337" s="27" t="s">
        <v>76</v>
      </c>
      <c r="O337" s="26" t="s">
        <v>2642</v>
      </c>
      <c r="P337" s="26" t="s">
        <v>2643</v>
      </c>
      <c r="Q337" s="27" t="s">
        <v>199</v>
      </c>
      <c r="R337" s="54" t="s">
        <v>202</v>
      </c>
      <c r="S337" s="41" t="s">
        <v>201</v>
      </c>
      <c r="T337" s="54" t="s">
        <v>202</v>
      </c>
      <c r="U337" s="30" t="s">
        <v>202</v>
      </c>
      <c r="V337" s="30" t="s">
        <v>202</v>
      </c>
      <c r="W337" s="33" t="s">
        <v>2644</v>
      </c>
      <c r="X337" s="51" t="s">
        <v>2645</v>
      </c>
      <c r="Y337" s="27">
        <v>5000</v>
      </c>
      <c r="Z337" s="43" t="s">
        <v>100</v>
      </c>
      <c r="AA337" s="27">
        <v>100</v>
      </c>
      <c r="AB337" s="27">
        <v>0</v>
      </c>
      <c r="AC337" s="26" t="s">
        <v>2646</v>
      </c>
      <c r="AD337" s="27">
        <v>5000</v>
      </c>
      <c r="AE337" s="33" t="s">
        <v>2647</v>
      </c>
      <c r="AF337" s="27" t="s">
        <v>93</v>
      </c>
      <c r="AG337" s="26" t="s">
        <v>2047</v>
      </c>
      <c r="AH337" s="34" t="s">
        <v>208</v>
      </c>
    </row>
    <row r="338" spans="2:34" ht="90" customHeight="1">
      <c r="B338" s="46">
        <f t="shared" si="5"/>
        <v>335</v>
      </c>
      <c r="C338" s="150" t="str">
        <f>"$"&amp;VLOOKUP(LEFT([1]!Table2[[#This Row],[Column2]],2),[1]Definitions!$B$51:$C$66,2,FALSE)&amp;MID([1]!Table2[[#This Row],[Column2]],3,3)&amp;RIGHT([1]!Table2[[#This Row],[Column2]],2)</f>
        <v>$D4A400</v>
      </c>
      <c r="D338" s="150" t="s">
        <v>2648</v>
      </c>
      <c r="E338" s="33" t="s">
        <v>2649</v>
      </c>
      <c r="F338" s="41" t="s">
        <v>199</v>
      </c>
      <c r="G338" s="152" t="s">
        <v>74</v>
      </c>
      <c r="H338" s="152" t="s">
        <v>75</v>
      </c>
      <c r="I338" s="152" t="s">
        <v>76</v>
      </c>
      <c r="J338" s="152">
        <v>2</v>
      </c>
      <c r="K338" s="41" t="s">
        <v>77</v>
      </c>
      <c r="L338" s="41" t="s">
        <v>255</v>
      </c>
      <c r="M338" s="49" t="s">
        <v>255</v>
      </c>
      <c r="N338" s="27" t="s">
        <v>76</v>
      </c>
      <c r="O338" s="135" t="s">
        <v>2650</v>
      </c>
      <c r="P338" s="212" t="s">
        <v>2651</v>
      </c>
      <c r="Q338" s="139" t="s">
        <v>199</v>
      </c>
      <c r="R338" s="211" t="s">
        <v>202</v>
      </c>
      <c r="S338" s="139" t="s">
        <v>201</v>
      </c>
      <c r="T338" s="152" t="s">
        <v>202</v>
      </c>
      <c r="U338" s="43" t="s">
        <v>202</v>
      </c>
      <c r="V338" s="43" t="s">
        <v>202</v>
      </c>
      <c r="W338" s="65" t="s">
        <v>2652</v>
      </c>
      <c r="X338" s="83" t="s">
        <v>2653</v>
      </c>
      <c r="Y338" s="147">
        <v>5000</v>
      </c>
      <c r="Z338" s="43" t="s">
        <v>100</v>
      </c>
      <c r="AA338" s="41">
        <v>100</v>
      </c>
      <c r="AB338" s="41">
        <v>0</v>
      </c>
      <c r="AC338" s="42" t="s">
        <v>260</v>
      </c>
      <c r="AD338" s="41">
        <v>5000</v>
      </c>
      <c r="AE338" s="26" t="s">
        <v>92</v>
      </c>
      <c r="AF338" s="44" t="s">
        <v>93</v>
      </c>
      <c r="AG338" s="89" t="s">
        <v>2047</v>
      </c>
      <c r="AH338" s="34" t="s">
        <v>95</v>
      </c>
    </row>
    <row r="339" spans="2:34" ht="90" customHeight="1">
      <c r="B339" s="46">
        <f t="shared" si="5"/>
        <v>336</v>
      </c>
      <c r="C339" s="150" t="str">
        <f>"$"&amp;VLOOKUP(LEFT([1]!Table2[[#This Row],[Column2]],2),[1]Definitions!$B$51:$C$66,2,FALSE)&amp;MID([1]!Table2[[#This Row],[Column2]],3,3)&amp;RIGHT([1]!Table2[[#This Row],[Column2]],2)</f>
        <v>$D4A500</v>
      </c>
      <c r="D339" s="150" t="s">
        <v>2654</v>
      </c>
      <c r="E339" s="33" t="s">
        <v>2655</v>
      </c>
      <c r="F339" s="41" t="s">
        <v>199</v>
      </c>
      <c r="G339" s="152" t="s">
        <v>74</v>
      </c>
      <c r="H339" s="152" t="s">
        <v>75</v>
      </c>
      <c r="I339" s="152" t="s">
        <v>76</v>
      </c>
      <c r="J339" s="152">
        <v>2</v>
      </c>
      <c r="K339" s="41" t="s">
        <v>77</v>
      </c>
      <c r="L339" s="111" t="s">
        <v>2640</v>
      </c>
      <c r="M339" s="66" t="s">
        <v>2656</v>
      </c>
      <c r="N339" s="27" t="s">
        <v>76</v>
      </c>
      <c r="O339" s="119" t="s">
        <v>2657</v>
      </c>
      <c r="P339" s="219" t="s">
        <v>2658</v>
      </c>
      <c r="Q339" s="147" t="s">
        <v>199</v>
      </c>
      <c r="R339" s="221" t="s">
        <v>202</v>
      </c>
      <c r="S339" s="147" t="s">
        <v>201</v>
      </c>
      <c r="T339" s="152" t="s">
        <v>202</v>
      </c>
      <c r="U339" s="43" t="s">
        <v>202</v>
      </c>
      <c r="V339" s="43" t="s">
        <v>202</v>
      </c>
      <c r="W339" s="65" t="s">
        <v>2659</v>
      </c>
      <c r="X339" s="83" t="s">
        <v>2660</v>
      </c>
      <c r="Y339" s="147">
        <v>5000</v>
      </c>
      <c r="Z339" s="43" t="s">
        <v>100</v>
      </c>
      <c r="AA339" s="41">
        <v>100</v>
      </c>
      <c r="AB339" s="41">
        <v>0</v>
      </c>
      <c r="AC339" s="42" t="s">
        <v>260</v>
      </c>
      <c r="AD339" s="41">
        <v>5000</v>
      </c>
      <c r="AE339" s="33" t="s">
        <v>2661</v>
      </c>
      <c r="AF339" s="44" t="s">
        <v>93</v>
      </c>
      <c r="AG339" s="89" t="s">
        <v>2047</v>
      </c>
      <c r="AH339" s="34" t="s">
        <v>208</v>
      </c>
    </row>
    <row r="340" spans="2:34" ht="68.25" customHeight="1">
      <c r="B340" s="46">
        <f t="shared" si="5"/>
        <v>337</v>
      </c>
      <c r="C340" s="150" t="str">
        <f>"$"&amp;VLOOKUP(LEFT([1]!Table2[[#This Row],[Column2]],2),[1]Definitions!$B$51:$C$66,2,FALSE)&amp;MID([1]!Table2[[#This Row],[Column2]],3,3)&amp;RIGHT([1]!Table2[[#This Row],[Column2]],2)</f>
        <v>$D4A600</v>
      </c>
      <c r="D340" s="32" t="s">
        <v>2662</v>
      </c>
      <c r="E340" s="33" t="s">
        <v>2663</v>
      </c>
      <c r="F340" s="27" t="s">
        <v>199</v>
      </c>
      <c r="G340" s="54" t="s">
        <v>74</v>
      </c>
      <c r="H340" s="54" t="s">
        <v>75</v>
      </c>
      <c r="I340" s="54" t="s">
        <v>76</v>
      </c>
      <c r="J340" s="54">
        <v>2</v>
      </c>
      <c r="K340" s="27" t="s">
        <v>77</v>
      </c>
      <c r="L340" s="54" t="s">
        <v>2640</v>
      </c>
      <c r="M340" s="66" t="s">
        <v>2664</v>
      </c>
      <c r="N340" s="27" t="s">
        <v>76</v>
      </c>
      <c r="O340" s="26" t="s">
        <v>2665</v>
      </c>
      <c r="P340" s="26" t="s">
        <v>2666</v>
      </c>
      <c r="Q340" s="27" t="s">
        <v>199</v>
      </c>
      <c r="R340" s="54" t="s">
        <v>202</v>
      </c>
      <c r="S340" s="27" t="s">
        <v>201</v>
      </c>
      <c r="T340" s="54" t="s">
        <v>202</v>
      </c>
      <c r="U340" s="30" t="s">
        <v>202</v>
      </c>
      <c r="V340" s="30" t="s">
        <v>202</v>
      </c>
      <c r="W340" s="33" t="s">
        <v>2667</v>
      </c>
      <c r="X340" s="51" t="s">
        <v>2668</v>
      </c>
      <c r="Y340" s="27">
        <v>5000</v>
      </c>
      <c r="Z340" s="43" t="s">
        <v>100</v>
      </c>
      <c r="AA340" s="27">
        <v>100</v>
      </c>
      <c r="AB340" s="27">
        <v>0</v>
      </c>
      <c r="AC340" s="26" t="s">
        <v>260</v>
      </c>
      <c r="AD340" s="27">
        <v>5000</v>
      </c>
      <c r="AE340" s="33" t="s">
        <v>2669</v>
      </c>
      <c r="AF340" s="27" t="s">
        <v>93</v>
      </c>
      <c r="AG340" s="26" t="s">
        <v>2047</v>
      </c>
      <c r="AH340" s="34" t="s">
        <v>208</v>
      </c>
    </row>
    <row r="341" spans="2:34" ht="90" customHeight="1">
      <c r="B341" s="46">
        <f t="shared" si="5"/>
        <v>338</v>
      </c>
      <c r="C341" s="150" t="str">
        <f>"$"&amp;VLOOKUP(LEFT([1]!Table2[[#This Row],[Column2]],2),[1]Definitions!$B$51:$C$66,2,FALSE)&amp;MID([1]!Table2[[#This Row],[Column2]],3,3)&amp;RIGHT([1]!Table2[[#This Row],[Column2]],2)</f>
        <v>$D4A800</v>
      </c>
      <c r="D341" s="32" t="s">
        <v>2670</v>
      </c>
      <c r="E341" s="33" t="s">
        <v>2671</v>
      </c>
      <c r="F341" s="27" t="s">
        <v>199</v>
      </c>
      <c r="G341" s="54" t="s">
        <v>74</v>
      </c>
      <c r="H341" s="54" t="s">
        <v>75</v>
      </c>
      <c r="I341" s="54" t="s">
        <v>76</v>
      </c>
      <c r="J341" s="54">
        <v>2</v>
      </c>
      <c r="K341" s="27" t="s">
        <v>77</v>
      </c>
      <c r="L341" s="27" t="s">
        <v>255</v>
      </c>
      <c r="M341" s="49" t="s">
        <v>255</v>
      </c>
      <c r="N341" s="27" t="s">
        <v>76</v>
      </c>
      <c r="O341" s="26" t="s">
        <v>2672</v>
      </c>
      <c r="P341" s="26" t="s">
        <v>1223</v>
      </c>
      <c r="Q341" s="27" t="s">
        <v>199</v>
      </c>
      <c r="R341" s="54" t="s">
        <v>202</v>
      </c>
      <c r="S341" s="41" t="s">
        <v>201</v>
      </c>
      <c r="T341" s="54" t="s">
        <v>202</v>
      </c>
      <c r="U341" s="30" t="s">
        <v>202</v>
      </c>
      <c r="V341" s="30" t="s">
        <v>202</v>
      </c>
      <c r="W341" s="33" t="s">
        <v>2673</v>
      </c>
      <c r="X341" s="51" t="s">
        <v>2233</v>
      </c>
      <c r="Y341" s="27">
        <v>5000</v>
      </c>
      <c r="Z341" s="30" t="s">
        <v>100</v>
      </c>
      <c r="AA341" s="27">
        <v>100</v>
      </c>
      <c r="AB341" s="27">
        <v>0</v>
      </c>
      <c r="AC341" s="26" t="s">
        <v>2234</v>
      </c>
      <c r="AD341" s="27">
        <v>5000</v>
      </c>
      <c r="AE341" s="26" t="s">
        <v>92</v>
      </c>
      <c r="AF341" s="27" t="s">
        <v>93</v>
      </c>
      <c r="AG341" s="26" t="s">
        <v>525</v>
      </c>
      <c r="AH341" s="34" t="s">
        <v>95</v>
      </c>
    </row>
    <row r="342" spans="2:34" ht="107.25" customHeight="1">
      <c r="B342" s="46">
        <f t="shared" si="5"/>
        <v>339</v>
      </c>
      <c r="C342" s="154" t="str">
        <f>"$"&amp;VLOOKUP(LEFT([1]!Table2[[#This Row],[Column2]],2),[1]Definitions!$B$51:$C$66,2,FALSE)&amp;MID([1]!Table2[[#This Row],[Column2]],3,3)&amp;RIGHT([1]!Table2[[#This Row],[Column2]],2)</f>
        <v>$D4AB00</v>
      </c>
      <c r="D342" s="222" t="s">
        <v>2674</v>
      </c>
      <c r="E342" s="151" t="s">
        <v>2675</v>
      </c>
      <c r="F342" s="41" t="s">
        <v>227</v>
      </c>
      <c r="G342" s="166" t="s">
        <v>74</v>
      </c>
      <c r="H342" s="166" t="s">
        <v>75</v>
      </c>
      <c r="I342" s="166" t="s">
        <v>76</v>
      </c>
      <c r="J342" s="166">
        <v>2</v>
      </c>
      <c r="K342" s="41" t="s">
        <v>77</v>
      </c>
      <c r="L342" s="133" t="s">
        <v>2180</v>
      </c>
      <c r="M342" s="63" t="s">
        <v>2676</v>
      </c>
      <c r="N342" s="41" t="s">
        <v>2677</v>
      </c>
      <c r="O342" s="42" t="s">
        <v>662</v>
      </c>
      <c r="P342" s="42" t="s">
        <v>493</v>
      </c>
      <c r="Q342" s="41" t="s">
        <v>199</v>
      </c>
      <c r="R342" s="166" t="s">
        <v>202</v>
      </c>
      <c r="S342" s="41" t="s">
        <v>201</v>
      </c>
      <c r="T342" s="166" t="s">
        <v>202</v>
      </c>
      <c r="U342" s="43" t="s">
        <v>202</v>
      </c>
      <c r="V342" s="43" t="s">
        <v>202</v>
      </c>
      <c r="W342" s="153" t="s">
        <v>2183</v>
      </c>
      <c r="X342" s="64" t="s">
        <v>2678</v>
      </c>
      <c r="Y342" s="41">
        <v>7500</v>
      </c>
      <c r="Z342" s="43" t="s">
        <v>100</v>
      </c>
      <c r="AA342" s="41">
        <v>100</v>
      </c>
      <c r="AB342" s="41">
        <v>0</v>
      </c>
      <c r="AC342" s="126" t="s">
        <v>2679</v>
      </c>
      <c r="AD342" s="41">
        <v>7500</v>
      </c>
      <c r="AE342" s="65" t="s">
        <v>2680</v>
      </c>
      <c r="AF342" s="44" t="s">
        <v>93</v>
      </c>
      <c r="AG342" s="84" t="s">
        <v>633</v>
      </c>
      <c r="AH342" s="34" t="s">
        <v>208</v>
      </c>
    </row>
    <row r="343" spans="2:34" ht="137.4" customHeight="1">
      <c r="B343" s="46">
        <f t="shared" si="5"/>
        <v>340</v>
      </c>
      <c r="C343" s="150" t="str">
        <f>"$"&amp;VLOOKUP(LEFT([1]!Table2[[#This Row],[Column2]],2),[1]Definitions!$B$51:$C$66,2,FALSE)&amp;MID([1]!Table2[[#This Row],[Column2]],3,3)&amp;RIGHT([1]!Table2[[#This Row],[Column2]],2)</f>
        <v>$D50200</v>
      </c>
      <c r="D343" s="150" t="s">
        <v>2681</v>
      </c>
      <c r="E343" s="151" t="s">
        <v>2682</v>
      </c>
      <c r="F343" s="41" t="s">
        <v>199</v>
      </c>
      <c r="G343" s="152" t="s">
        <v>74</v>
      </c>
      <c r="H343" s="152" t="s">
        <v>75</v>
      </c>
      <c r="I343" s="152" t="s">
        <v>76</v>
      </c>
      <c r="J343" s="152">
        <v>2</v>
      </c>
      <c r="K343" s="41" t="s">
        <v>77</v>
      </c>
      <c r="L343" s="41" t="s">
        <v>255</v>
      </c>
      <c r="M343" s="82" t="s">
        <v>255</v>
      </c>
      <c r="N343" s="41" t="s">
        <v>76</v>
      </c>
      <c r="O343" s="42" t="s">
        <v>2683</v>
      </c>
      <c r="P343" s="42" t="s">
        <v>2684</v>
      </c>
      <c r="Q343" s="41" t="s">
        <v>199</v>
      </c>
      <c r="R343" s="152" t="s">
        <v>202</v>
      </c>
      <c r="S343" s="41" t="s">
        <v>201</v>
      </c>
      <c r="T343" s="152" t="s">
        <v>202</v>
      </c>
      <c r="U343" s="43" t="s">
        <v>202</v>
      </c>
      <c r="V343" s="43" t="s">
        <v>202</v>
      </c>
      <c r="W343" s="153" t="s">
        <v>2685</v>
      </c>
      <c r="X343" s="51" t="s">
        <v>2686</v>
      </c>
      <c r="Y343" s="41">
        <v>5000</v>
      </c>
      <c r="Z343" s="43" t="s">
        <v>100</v>
      </c>
      <c r="AA343" s="41">
        <v>100</v>
      </c>
      <c r="AB343" s="41">
        <v>0</v>
      </c>
      <c r="AC343" s="26" t="s">
        <v>260</v>
      </c>
      <c r="AD343" s="41">
        <v>5000</v>
      </c>
      <c r="AE343" s="42" t="s">
        <v>92</v>
      </c>
      <c r="AF343" s="44" t="s">
        <v>93</v>
      </c>
      <c r="AG343" s="89" t="s">
        <v>2687</v>
      </c>
      <c r="AH343" s="34" t="s">
        <v>95</v>
      </c>
    </row>
    <row r="344" spans="2:34" ht="127.35" customHeight="1">
      <c r="B344" s="46">
        <f t="shared" si="5"/>
        <v>341</v>
      </c>
      <c r="C344" s="154" t="str">
        <f>"$"&amp;VLOOKUP(LEFT([1]!Table2[[#This Row],[Column2]],2),[1]Definitions!$B$51:$C$66,2,FALSE)&amp;MID([1]!Table2[[#This Row],[Column2]],3,3)&amp;RIGHT([1]!Table2[[#This Row],[Column2]],2)</f>
        <v>$D51464</v>
      </c>
      <c r="D344" s="165" t="s">
        <v>2688</v>
      </c>
      <c r="E344" s="155" t="s">
        <v>2689</v>
      </c>
      <c r="F344" s="41" t="s">
        <v>227</v>
      </c>
      <c r="G344" s="156" t="s">
        <v>74</v>
      </c>
      <c r="H344" s="171" t="s">
        <v>75</v>
      </c>
      <c r="I344" s="171" t="s">
        <v>76</v>
      </c>
      <c r="J344" s="166">
        <v>2</v>
      </c>
      <c r="K344" s="41" t="s">
        <v>77</v>
      </c>
      <c r="L344" s="41" t="s">
        <v>992</v>
      </c>
      <c r="M344" s="82" t="s">
        <v>2690</v>
      </c>
      <c r="N344" s="41" t="s">
        <v>994</v>
      </c>
      <c r="O344" s="42" t="s">
        <v>218</v>
      </c>
      <c r="P344" s="42" t="s">
        <v>440</v>
      </c>
      <c r="Q344" s="41" t="s">
        <v>199</v>
      </c>
      <c r="R344" s="171" t="s">
        <v>202</v>
      </c>
      <c r="S344" s="41" t="s">
        <v>201</v>
      </c>
      <c r="T344" s="171" t="s">
        <v>202</v>
      </c>
      <c r="U344" s="43" t="s">
        <v>202</v>
      </c>
      <c r="V344" s="43" t="s">
        <v>202</v>
      </c>
      <c r="W344" s="153" t="s">
        <v>2691</v>
      </c>
      <c r="X344" s="32" t="s">
        <v>2692</v>
      </c>
      <c r="Y344" s="41">
        <v>1000</v>
      </c>
      <c r="Z344" s="43" t="s">
        <v>998</v>
      </c>
      <c r="AA344" s="41">
        <v>100</v>
      </c>
      <c r="AB344" s="41">
        <v>0</v>
      </c>
      <c r="AC344" s="33" t="s">
        <v>2693</v>
      </c>
      <c r="AD344" s="41">
        <v>2500</v>
      </c>
      <c r="AE344" s="42" t="s">
        <v>2694</v>
      </c>
      <c r="AF344" s="44" t="s">
        <v>93</v>
      </c>
      <c r="AG344" s="223" t="s">
        <v>376</v>
      </c>
      <c r="AH344" s="34" t="s">
        <v>208</v>
      </c>
    </row>
    <row r="345" spans="2:34" ht="146.25" customHeight="1">
      <c r="B345" s="46">
        <f t="shared" si="5"/>
        <v>342</v>
      </c>
      <c r="C345" s="154" t="str">
        <f>"$"&amp;VLOOKUP(LEFT([1]!Table2[[#This Row],[Column2]],2),[1]Definitions!$B$51:$C$66,2,FALSE)&amp;MID([1]!Table2[[#This Row],[Column2]],3,3)&amp;RIGHT([1]!Table2[[#This Row],[Column2]],2)</f>
        <v>$D51487</v>
      </c>
      <c r="D345" s="169" t="s">
        <v>2695</v>
      </c>
      <c r="E345" s="170" t="s">
        <v>2696</v>
      </c>
      <c r="F345" s="41" t="s">
        <v>199</v>
      </c>
      <c r="G345" s="166" t="s">
        <v>74</v>
      </c>
      <c r="H345" s="166" t="s">
        <v>75</v>
      </c>
      <c r="I345" s="166" t="s">
        <v>76</v>
      </c>
      <c r="J345" s="166">
        <v>2</v>
      </c>
      <c r="K345" s="41" t="s">
        <v>77</v>
      </c>
      <c r="L345" s="41" t="s">
        <v>992</v>
      </c>
      <c r="M345" s="42" t="s">
        <v>2697</v>
      </c>
      <c r="N345" s="41" t="s">
        <v>994</v>
      </c>
      <c r="O345" s="224" t="s">
        <v>2698</v>
      </c>
      <c r="P345" s="225" t="s">
        <v>219</v>
      </c>
      <c r="Q345" s="41" t="s">
        <v>199</v>
      </c>
      <c r="R345" s="166" t="s">
        <v>202</v>
      </c>
      <c r="S345" s="41" t="s">
        <v>201</v>
      </c>
      <c r="T345" s="166" t="s">
        <v>202</v>
      </c>
      <c r="U345" s="41" t="s">
        <v>202</v>
      </c>
      <c r="V345" s="41" t="s">
        <v>202</v>
      </c>
      <c r="W345" s="153" t="s">
        <v>2699</v>
      </c>
      <c r="X345" s="83" t="s">
        <v>2700</v>
      </c>
      <c r="Y345" s="41">
        <v>1000</v>
      </c>
      <c r="Z345" s="43" t="s">
        <v>998</v>
      </c>
      <c r="AA345" s="41">
        <v>100</v>
      </c>
      <c r="AB345" s="41">
        <v>0</v>
      </c>
      <c r="AC345" s="224" t="s">
        <v>2701</v>
      </c>
      <c r="AD345" s="41">
        <v>300</v>
      </c>
      <c r="AE345" s="226" t="s">
        <v>92</v>
      </c>
      <c r="AF345" s="44" t="s">
        <v>93</v>
      </c>
      <c r="AG345" s="227" t="s">
        <v>319</v>
      </c>
      <c r="AH345" s="34" t="s">
        <v>95</v>
      </c>
    </row>
    <row r="346" spans="2:34" ht="236.25" customHeight="1">
      <c r="B346" s="46">
        <f t="shared" si="5"/>
        <v>343</v>
      </c>
      <c r="C346" s="154" t="str">
        <f>"$"&amp;VLOOKUP(LEFT([1]!Table2[[#This Row],[Column2]],2),[1]Definitions!$B$51:$C$66,2,FALSE)&amp;MID([1]!Table2[[#This Row],[Column2]],3,3)&amp;RIGHT([1]!Table2[[#This Row],[Column2]],2)</f>
        <v>$D51564</v>
      </c>
      <c r="D346" s="154" t="s">
        <v>2702</v>
      </c>
      <c r="E346" s="155" t="s">
        <v>2703</v>
      </c>
      <c r="F346" s="41" t="s">
        <v>199</v>
      </c>
      <c r="G346" s="156" t="s">
        <v>74</v>
      </c>
      <c r="H346" s="156" t="s">
        <v>75</v>
      </c>
      <c r="I346" s="156" t="s">
        <v>76</v>
      </c>
      <c r="J346" s="156">
        <v>2</v>
      </c>
      <c r="K346" s="41" t="s">
        <v>77</v>
      </c>
      <c r="L346" s="41" t="s">
        <v>2011</v>
      </c>
      <c r="M346" s="82" t="s">
        <v>2704</v>
      </c>
      <c r="N346" s="41" t="s">
        <v>76</v>
      </c>
      <c r="O346" s="42" t="s">
        <v>218</v>
      </c>
      <c r="P346" s="42" t="s">
        <v>219</v>
      </c>
      <c r="Q346" s="41" t="s">
        <v>199</v>
      </c>
      <c r="R346" s="156" t="s">
        <v>76</v>
      </c>
      <c r="S346" s="41" t="s">
        <v>201</v>
      </c>
      <c r="T346" s="166" t="s">
        <v>76</v>
      </c>
      <c r="U346" s="43" t="s">
        <v>76</v>
      </c>
      <c r="V346" s="43" t="s">
        <v>76</v>
      </c>
      <c r="W346" s="150" t="s">
        <v>2705</v>
      </c>
      <c r="X346" s="64" t="s">
        <v>2706</v>
      </c>
      <c r="Y346" s="41">
        <v>1000</v>
      </c>
      <c r="Z346" s="43" t="s">
        <v>100</v>
      </c>
      <c r="AA346" s="41">
        <v>100</v>
      </c>
      <c r="AB346" s="41">
        <v>0</v>
      </c>
      <c r="AC346" s="65" t="s">
        <v>2707</v>
      </c>
      <c r="AD346" s="41">
        <v>2500</v>
      </c>
      <c r="AE346" s="42" t="s">
        <v>92</v>
      </c>
      <c r="AF346" s="44" t="s">
        <v>93</v>
      </c>
      <c r="AG346" s="125" t="s">
        <v>185</v>
      </c>
      <c r="AH346" s="34" t="s">
        <v>95</v>
      </c>
    </row>
    <row r="347" spans="2:34" ht="135" customHeight="1">
      <c r="B347" s="46">
        <f t="shared" si="5"/>
        <v>344</v>
      </c>
      <c r="C347" s="25" t="str">
        <f>"$"&amp;VLOOKUP(LEFT([1]!Table2[[#This Row],[Column2]],2),[1]Definitions!$B$51:$C$66,2,FALSE)&amp;MID([1]!Table2[[#This Row],[Column2]],3,3)&amp;RIGHT([1]!Table2[[#This Row],[Column2]],2)</f>
        <v>$D51587</v>
      </c>
      <c r="D347" s="25" t="s">
        <v>2708</v>
      </c>
      <c r="E347" s="47" t="s">
        <v>2709</v>
      </c>
      <c r="F347" s="27" t="s">
        <v>199</v>
      </c>
      <c r="G347" s="48" t="s">
        <v>74</v>
      </c>
      <c r="H347" s="48" t="s">
        <v>75</v>
      </c>
      <c r="I347" s="48" t="s">
        <v>76</v>
      </c>
      <c r="J347" s="48">
        <v>2</v>
      </c>
      <c r="K347" s="27" t="s">
        <v>77</v>
      </c>
      <c r="L347" s="27" t="s">
        <v>2011</v>
      </c>
      <c r="M347" s="49" t="s">
        <v>2710</v>
      </c>
      <c r="N347" s="134" t="s">
        <v>76</v>
      </c>
      <c r="O347" s="26" t="s">
        <v>218</v>
      </c>
      <c r="P347" s="26" t="s">
        <v>219</v>
      </c>
      <c r="Q347" s="27" t="s">
        <v>199</v>
      </c>
      <c r="R347" s="48" t="s">
        <v>76</v>
      </c>
      <c r="S347" s="27" t="s">
        <v>201</v>
      </c>
      <c r="T347" s="27" t="s">
        <v>76</v>
      </c>
      <c r="U347" s="30" t="s">
        <v>76</v>
      </c>
      <c r="V347" s="30" t="s">
        <v>76</v>
      </c>
      <c r="W347" s="33" t="s">
        <v>2705</v>
      </c>
      <c r="X347" s="32" t="s">
        <v>2711</v>
      </c>
      <c r="Y347" s="27" t="s">
        <v>2712</v>
      </c>
      <c r="Z347" s="30" t="s">
        <v>100</v>
      </c>
      <c r="AA347" s="27">
        <v>100</v>
      </c>
      <c r="AB347" s="27">
        <v>0</v>
      </c>
      <c r="AC347" s="33" t="s">
        <v>2713</v>
      </c>
      <c r="AD347" s="27" t="s">
        <v>2714</v>
      </c>
      <c r="AE347" s="26" t="s">
        <v>92</v>
      </c>
      <c r="AF347" s="27" t="s">
        <v>93</v>
      </c>
      <c r="AG347" s="51" t="s">
        <v>185</v>
      </c>
      <c r="AH347" s="34" t="s">
        <v>95</v>
      </c>
    </row>
    <row r="348" spans="2:34" ht="135" customHeight="1">
      <c r="B348" s="46">
        <f t="shared" si="5"/>
        <v>345</v>
      </c>
      <c r="C348" s="25" t="str">
        <f>"$"&amp;VLOOKUP(LEFT([1]!Table2[[#This Row],[Column2]],2),[1]Definitions!$B$51:$C$66,2,FALSE)&amp;MID([1]!Table2[[#This Row],[Column2]],3,3)&amp;RIGHT([1]!Table2[[#This Row],[Column2]],2)</f>
        <v>$D51664</v>
      </c>
      <c r="D348" s="26" t="s">
        <v>2715</v>
      </c>
      <c r="E348" s="26" t="s">
        <v>2716</v>
      </c>
      <c r="F348" s="27" t="s">
        <v>227</v>
      </c>
      <c r="G348" s="228" t="s">
        <v>74</v>
      </c>
      <c r="H348" s="27" t="s">
        <v>75</v>
      </c>
      <c r="I348" s="27" t="s">
        <v>76</v>
      </c>
      <c r="J348" s="228">
        <v>2</v>
      </c>
      <c r="K348" s="228" t="s">
        <v>77</v>
      </c>
      <c r="L348" s="27" t="s">
        <v>2717</v>
      </c>
      <c r="M348" s="33" t="s">
        <v>2718</v>
      </c>
      <c r="N348" s="134" t="s">
        <v>2719</v>
      </c>
      <c r="O348" s="26" t="s">
        <v>218</v>
      </c>
      <c r="P348" s="51" t="s">
        <v>440</v>
      </c>
      <c r="Q348" s="27" t="s">
        <v>199</v>
      </c>
      <c r="R348" s="27" t="s">
        <v>202</v>
      </c>
      <c r="S348" s="27" t="s">
        <v>201</v>
      </c>
      <c r="T348" s="27" t="s">
        <v>202</v>
      </c>
      <c r="U348" s="27" t="s">
        <v>202</v>
      </c>
      <c r="V348" s="27" t="s">
        <v>202</v>
      </c>
      <c r="W348" s="32" t="s">
        <v>2720</v>
      </c>
      <c r="X348" s="26" t="s">
        <v>2721</v>
      </c>
      <c r="Y348" s="54" t="s">
        <v>2722</v>
      </c>
      <c r="Z348" s="43" t="s">
        <v>998</v>
      </c>
      <c r="AA348" s="41">
        <v>100</v>
      </c>
      <c r="AB348" s="27">
        <v>0</v>
      </c>
      <c r="AC348" s="26" t="s">
        <v>2723</v>
      </c>
      <c r="AD348" s="111" t="s">
        <v>2722</v>
      </c>
      <c r="AE348" s="226" t="s">
        <v>92</v>
      </c>
      <c r="AF348" s="27" t="s">
        <v>93</v>
      </c>
      <c r="AG348" s="51" t="s">
        <v>649</v>
      </c>
      <c r="AH348" s="34" t="s">
        <v>95</v>
      </c>
    </row>
    <row r="349" spans="2:34" ht="203.25" customHeight="1">
      <c r="B349" s="46">
        <f t="shared" si="5"/>
        <v>346</v>
      </c>
      <c r="C349" s="25" t="str">
        <f>"$"&amp;VLOOKUP(LEFT([1]!Table2[[#This Row],[Column2]],2),[1]Definitions!$B$51:$C$66,2,FALSE)&amp;MID([1]!Table2[[#This Row],[Column2]],3,3)&amp;RIGHT([1]!Table2[[#This Row],[Column2]],2)</f>
        <v>$D51687</v>
      </c>
      <c r="D349" s="26" t="s">
        <v>2724</v>
      </c>
      <c r="E349" s="26" t="s">
        <v>2725</v>
      </c>
      <c r="F349" s="27" t="s">
        <v>199</v>
      </c>
      <c r="G349" s="27" t="s">
        <v>74</v>
      </c>
      <c r="H349" s="27" t="s">
        <v>75</v>
      </c>
      <c r="I349" s="27" t="s">
        <v>76</v>
      </c>
      <c r="J349" s="27">
        <v>2</v>
      </c>
      <c r="K349" s="27" t="s">
        <v>77</v>
      </c>
      <c r="L349" s="27" t="s">
        <v>2717</v>
      </c>
      <c r="M349" s="33" t="s">
        <v>2726</v>
      </c>
      <c r="N349" s="27" t="s">
        <v>994</v>
      </c>
      <c r="O349" s="26" t="s">
        <v>218</v>
      </c>
      <c r="P349" s="51" t="s">
        <v>440</v>
      </c>
      <c r="Q349" s="27" t="s">
        <v>199</v>
      </c>
      <c r="R349" s="27" t="s">
        <v>202</v>
      </c>
      <c r="S349" s="27" t="s">
        <v>201</v>
      </c>
      <c r="T349" s="27" t="s">
        <v>202</v>
      </c>
      <c r="U349" s="27" t="s">
        <v>202</v>
      </c>
      <c r="V349" s="27" t="s">
        <v>202</v>
      </c>
      <c r="W349" s="32" t="s">
        <v>2727</v>
      </c>
      <c r="X349" s="33" t="s">
        <v>2728</v>
      </c>
      <c r="Y349" s="54" t="s">
        <v>2722</v>
      </c>
      <c r="Z349" s="30" t="s">
        <v>998</v>
      </c>
      <c r="AA349" s="27">
        <v>100</v>
      </c>
      <c r="AB349" s="27">
        <v>0</v>
      </c>
      <c r="AC349" s="26" t="s">
        <v>2729</v>
      </c>
      <c r="AD349" s="27">
        <v>270</v>
      </c>
      <c r="AE349" s="26" t="s">
        <v>92</v>
      </c>
      <c r="AF349" s="27" t="s">
        <v>93</v>
      </c>
      <c r="AG349" s="51" t="s">
        <v>649</v>
      </c>
      <c r="AH349" s="34" t="s">
        <v>95</v>
      </c>
    </row>
    <row r="350" spans="2:34" ht="189.75" customHeight="1">
      <c r="B350" s="46">
        <f t="shared" si="5"/>
        <v>347</v>
      </c>
      <c r="C350" s="32" t="str">
        <f>"$"&amp;VLOOKUP(LEFT([1]!Table2[[#This Row],[Column2]],2),[1]Definitions!$B$51:$C$66,2,FALSE)&amp;MID([1]!Table2[[#This Row],[Column2]],3,3)&amp;RIGHT([1]!Table2[[#This Row],[Column2]],2)</f>
        <v>$D51C00</v>
      </c>
      <c r="D350" s="32" t="s">
        <v>2730</v>
      </c>
      <c r="E350" s="33" t="s">
        <v>2731</v>
      </c>
      <c r="F350" s="27" t="s">
        <v>199</v>
      </c>
      <c r="G350" s="54" t="s">
        <v>74</v>
      </c>
      <c r="H350" s="54" t="s">
        <v>75</v>
      </c>
      <c r="I350" s="54" t="s">
        <v>76</v>
      </c>
      <c r="J350" s="54">
        <v>2</v>
      </c>
      <c r="K350" s="27" t="s">
        <v>77</v>
      </c>
      <c r="L350" s="27" t="s">
        <v>2467</v>
      </c>
      <c r="M350" s="49" t="s">
        <v>712</v>
      </c>
      <c r="N350" s="27" t="s">
        <v>76</v>
      </c>
      <c r="O350" s="26" t="s">
        <v>218</v>
      </c>
      <c r="P350" s="26" t="s">
        <v>219</v>
      </c>
      <c r="Q350" s="27" t="s">
        <v>199</v>
      </c>
      <c r="R350" s="54" t="s">
        <v>202</v>
      </c>
      <c r="S350" s="27" t="s">
        <v>201</v>
      </c>
      <c r="T350" s="54" t="s">
        <v>202</v>
      </c>
      <c r="U350" s="30" t="s">
        <v>202</v>
      </c>
      <c r="V350" s="30" t="s">
        <v>202</v>
      </c>
      <c r="W350" s="33" t="s">
        <v>2468</v>
      </c>
      <c r="X350" s="51" t="s">
        <v>2732</v>
      </c>
      <c r="Y350" s="27">
        <v>2500</v>
      </c>
      <c r="Z350" s="30" t="s">
        <v>100</v>
      </c>
      <c r="AA350" s="27">
        <v>100</v>
      </c>
      <c r="AB350" s="27">
        <v>0</v>
      </c>
      <c r="AC350" s="26" t="s">
        <v>2733</v>
      </c>
      <c r="AD350" s="27">
        <v>1000</v>
      </c>
      <c r="AE350" s="26" t="s">
        <v>92</v>
      </c>
      <c r="AF350" s="27" t="s">
        <v>93</v>
      </c>
      <c r="AG350" s="26" t="s">
        <v>2734</v>
      </c>
      <c r="AH350" s="34" t="s">
        <v>95</v>
      </c>
    </row>
    <row r="351" spans="2:34" ht="101.25" customHeight="1">
      <c r="B351" s="46">
        <f t="shared" si="5"/>
        <v>348</v>
      </c>
      <c r="C351" s="25" t="str">
        <f>"$"&amp;VLOOKUP(LEFT([1]!Table2[[#This Row],[Column2]],2),[1]Definitions!$B$51:$C$66,2,FALSE)&amp;MID([1]!Table2[[#This Row],[Column2]],3,3)&amp;RIGHT([1]!Table2[[#This Row],[Column2]],2)</f>
        <v>$D51E00</v>
      </c>
      <c r="D351" s="25" t="s">
        <v>2735</v>
      </c>
      <c r="E351" s="47" t="s">
        <v>2736</v>
      </c>
      <c r="F351" s="27" t="s">
        <v>227</v>
      </c>
      <c r="G351" s="48" t="s">
        <v>74</v>
      </c>
      <c r="H351" s="48" t="s">
        <v>75</v>
      </c>
      <c r="I351" s="48" t="s">
        <v>76</v>
      </c>
      <c r="J351" s="48">
        <v>2</v>
      </c>
      <c r="K351" s="27" t="s">
        <v>77</v>
      </c>
      <c r="L351" s="27" t="s">
        <v>195</v>
      </c>
      <c r="M351" s="49" t="s">
        <v>2737</v>
      </c>
      <c r="N351" s="27" t="s">
        <v>76</v>
      </c>
      <c r="O351" s="26" t="s">
        <v>218</v>
      </c>
      <c r="P351" s="26" t="s">
        <v>2133</v>
      </c>
      <c r="Q351" s="27" t="s">
        <v>199</v>
      </c>
      <c r="R351" s="48" t="s">
        <v>76</v>
      </c>
      <c r="S351" s="27" t="s">
        <v>1854</v>
      </c>
      <c r="T351" s="27" t="s">
        <v>76</v>
      </c>
      <c r="U351" s="30" t="s">
        <v>76</v>
      </c>
      <c r="V351" s="30" t="s">
        <v>76</v>
      </c>
      <c r="W351" s="32" t="s">
        <v>2738</v>
      </c>
      <c r="X351" s="32" t="s">
        <v>2739</v>
      </c>
      <c r="Y351" s="27">
        <v>2500</v>
      </c>
      <c r="Z351" s="30" t="s">
        <v>100</v>
      </c>
      <c r="AA351" s="27">
        <v>100</v>
      </c>
      <c r="AB351" s="27">
        <v>0</v>
      </c>
      <c r="AC351" s="26" t="s">
        <v>2740</v>
      </c>
      <c r="AD351" s="27">
        <v>1000</v>
      </c>
      <c r="AE351" s="26" t="s">
        <v>2741</v>
      </c>
      <c r="AF351" s="27" t="s">
        <v>93</v>
      </c>
      <c r="AG351" s="51" t="s">
        <v>207</v>
      </c>
      <c r="AH351" s="34" t="s">
        <v>208</v>
      </c>
    </row>
    <row r="352" spans="2:34" ht="90" customHeight="1">
      <c r="B352" s="46">
        <f t="shared" si="5"/>
        <v>349</v>
      </c>
      <c r="C352" s="25" t="str">
        <f>"$"&amp;VLOOKUP(LEFT([1]!Table2[[#This Row],[Column2]],2),[1]Definitions!$B$51:$C$66,2,FALSE)&amp;MID([1]!Table2[[#This Row],[Column2]],3,3)&amp;RIGHT([1]!Table2[[#This Row],[Column2]],2)</f>
        <v>$D52064</v>
      </c>
      <c r="D352" s="26" t="s">
        <v>2742</v>
      </c>
      <c r="E352" s="26" t="s">
        <v>2743</v>
      </c>
      <c r="F352" s="27" t="s">
        <v>199</v>
      </c>
      <c r="G352" s="27" t="s">
        <v>74</v>
      </c>
      <c r="H352" s="27" t="s">
        <v>75</v>
      </c>
      <c r="I352" s="27" t="s">
        <v>76</v>
      </c>
      <c r="J352" s="27">
        <v>2</v>
      </c>
      <c r="K352" s="27" t="s">
        <v>77</v>
      </c>
      <c r="L352" s="27" t="s">
        <v>992</v>
      </c>
      <c r="M352" s="49" t="s">
        <v>2744</v>
      </c>
      <c r="N352" s="27" t="s">
        <v>994</v>
      </c>
      <c r="O352" s="26" t="s">
        <v>2745</v>
      </c>
      <c r="P352" s="26" t="s">
        <v>2746</v>
      </c>
      <c r="Q352" s="27" t="s">
        <v>199</v>
      </c>
      <c r="R352" s="27" t="s">
        <v>200</v>
      </c>
      <c r="S352" s="27" t="s">
        <v>201</v>
      </c>
      <c r="T352" s="27" t="s">
        <v>200</v>
      </c>
      <c r="U352" s="30" t="s">
        <v>200</v>
      </c>
      <c r="V352" s="30" t="s">
        <v>200</v>
      </c>
      <c r="W352" s="32" t="s">
        <v>2747</v>
      </c>
      <c r="X352" s="51" t="s">
        <v>2748</v>
      </c>
      <c r="Y352" s="27">
        <v>1000</v>
      </c>
      <c r="Z352" s="30" t="s">
        <v>998</v>
      </c>
      <c r="AA352" s="27">
        <v>100</v>
      </c>
      <c r="AB352" s="27">
        <v>0</v>
      </c>
      <c r="AC352" s="26" t="s">
        <v>2749</v>
      </c>
      <c r="AD352" s="27">
        <v>2500</v>
      </c>
      <c r="AE352" s="33" t="s">
        <v>2750</v>
      </c>
      <c r="AF352" s="27" t="s">
        <v>93</v>
      </c>
      <c r="AG352" s="51" t="s">
        <v>152</v>
      </c>
      <c r="AH352" s="34" t="s">
        <v>208</v>
      </c>
    </row>
    <row r="353" spans="2:34" ht="101.25" customHeight="1">
      <c r="B353" s="46">
        <f t="shared" si="5"/>
        <v>350</v>
      </c>
      <c r="C353" s="25" t="str">
        <f>"$"&amp;VLOOKUP(LEFT([1]!Table2[[#This Row],[Column2]],2),[1]Definitions!$B$51:$C$66,2,FALSE)&amp;MID([1]!Table2[[#This Row],[Column2]],3,3)&amp;RIGHT([1]!Table2[[#This Row],[Column2]],2)</f>
        <v>$D52087</v>
      </c>
      <c r="D353" s="26" t="s">
        <v>2751</v>
      </c>
      <c r="E353" s="26" t="s">
        <v>2752</v>
      </c>
      <c r="F353" s="27" t="s">
        <v>199</v>
      </c>
      <c r="G353" s="27" t="s">
        <v>74</v>
      </c>
      <c r="H353" s="27" t="s">
        <v>75</v>
      </c>
      <c r="I353" s="27" t="s">
        <v>76</v>
      </c>
      <c r="J353" s="27">
        <v>2</v>
      </c>
      <c r="K353" s="27" t="s">
        <v>77</v>
      </c>
      <c r="L353" s="27" t="s">
        <v>992</v>
      </c>
      <c r="M353" s="49" t="s">
        <v>2753</v>
      </c>
      <c r="N353" s="27" t="s">
        <v>994</v>
      </c>
      <c r="O353" s="26" t="s">
        <v>218</v>
      </c>
      <c r="P353" s="26" t="s">
        <v>2746</v>
      </c>
      <c r="Q353" s="27" t="s">
        <v>199</v>
      </c>
      <c r="R353" s="27" t="s">
        <v>202</v>
      </c>
      <c r="S353" s="27" t="s">
        <v>201</v>
      </c>
      <c r="T353" s="27" t="s">
        <v>200</v>
      </c>
      <c r="U353" s="30" t="s">
        <v>200</v>
      </c>
      <c r="V353" s="30" t="s">
        <v>200</v>
      </c>
      <c r="W353" s="32" t="s">
        <v>2754</v>
      </c>
      <c r="X353" s="32" t="s">
        <v>2755</v>
      </c>
      <c r="Y353" s="27">
        <v>1000</v>
      </c>
      <c r="Z353" s="30" t="s">
        <v>998</v>
      </c>
      <c r="AA353" s="27">
        <v>100</v>
      </c>
      <c r="AB353" s="27">
        <v>0</v>
      </c>
      <c r="AC353" s="33" t="s">
        <v>2756</v>
      </c>
      <c r="AD353" s="27">
        <v>300</v>
      </c>
      <c r="AE353" s="33" t="s">
        <v>2757</v>
      </c>
      <c r="AF353" s="27" t="s">
        <v>93</v>
      </c>
      <c r="AG353" s="62" t="s">
        <v>152</v>
      </c>
      <c r="AH353" s="34" t="s">
        <v>208</v>
      </c>
    </row>
    <row r="354" spans="2:34" ht="101.25" customHeight="1">
      <c r="B354" s="46">
        <f t="shared" si="5"/>
        <v>351</v>
      </c>
      <c r="C354" s="108" t="str">
        <f>"$"&amp;VLOOKUP(LEFT([1]!Table2[[#This Row],[Column2]],2),[1]Definitions!$B$51:$C$66,2,FALSE)&amp;MID([1]!Table2[[#This Row],[Column2]],3,3)&amp;RIGHT([1]!Table2[[#This Row],[Column2]],2)</f>
        <v>$D96B00</v>
      </c>
      <c r="D354" s="26" t="s">
        <v>2758</v>
      </c>
      <c r="E354" s="26" t="s">
        <v>2759</v>
      </c>
      <c r="F354" s="27" t="s">
        <v>199</v>
      </c>
      <c r="G354" s="30" t="s">
        <v>74</v>
      </c>
      <c r="H354" s="30" t="s">
        <v>75</v>
      </c>
      <c r="I354" s="30" t="s">
        <v>76</v>
      </c>
      <c r="J354" s="30">
        <v>2</v>
      </c>
      <c r="K354" s="27" t="s">
        <v>77</v>
      </c>
      <c r="L354" s="27" t="s">
        <v>864</v>
      </c>
      <c r="M354" s="49" t="s">
        <v>2497</v>
      </c>
      <c r="N354" s="27" t="s">
        <v>76</v>
      </c>
      <c r="O354" s="26" t="s">
        <v>218</v>
      </c>
      <c r="P354" s="26" t="s">
        <v>219</v>
      </c>
      <c r="Q354" s="27" t="s">
        <v>199</v>
      </c>
      <c r="R354" s="30" t="s">
        <v>202</v>
      </c>
      <c r="S354" s="27" t="s">
        <v>201</v>
      </c>
      <c r="T354" s="30" t="s">
        <v>202</v>
      </c>
      <c r="U354" s="30" t="s">
        <v>202</v>
      </c>
      <c r="V354" s="30" t="s">
        <v>202</v>
      </c>
      <c r="W354" s="33" t="s">
        <v>2760</v>
      </c>
      <c r="X354" s="51" t="s">
        <v>2761</v>
      </c>
      <c r="Y354" s="27">
        <v>2500</v>
      </c>
      <c r="Z354" s="30" t="s">
        <v>100</v>
      </c>
      <c r="AA354" s="27">
        <v>100</v>
      </c>
      <c r="AB354" s="27">
        <v>0</v>
      </c>
      <c r="AC354" s="26" t="s">
        <v>2762</v>
      </c>
      <c r="AD354" s="27">
        <v>100</v>
      </c>
      <c r="AE354" s="33" t="s">
        <v>2763</v>
      </c>
      <c r="AF354" s="27" t="s">
        <v>93</v>
      </c>
      <c r="AG354" s="62" t="s">
        <v>152</v>
      </c>
      <c r="AH354" s="34" t="s">
        <v>208</v>
      </c>
    </row>
    <row r="355" spans="2:34" ht="90" customHeight="1">
      <c r="B355" s="46">
        <f t="shared" si="5"/>
        <v>352</v>
      </c>
      <c r="C355" s="25" t="str">
        <f>"$"&amp;VLOOKUP(LEFT([1]!Table2[[#This Row],[Column2]],2),[1]Definitions!$B$51:$C$66,2,FALSE)&amp;MID([1]!Table2[[#This Row],[Column2]],3,3)&amp;RIGHT([1]!Table2[[#This Row],[Column2]],2)</f>
        <v>$F03400</v>
      </c>
      <c r="D355" s="51" t="s">
        <v>2764</v>
      </c>
      <c r="E355" s="26" t="s">
        <v>2765</v>
      </c>
      <c r="F355" s="27" t="s">
        <v>962</v>
      </c>
      <c r="G355" s="54" t="s">
        <v>74</v>
      </c>
      <c r="H355" s="54" t="s">
        <v>75</v>
      </c>
      <c r="I355" s="54" t="s">
        <v>76</v>
      </c>
      <c r="J355" s="54">
        <v>2</v>
      </c>
      <c r="K355" s="27" t="s">
        <v>77</v>
      </c>
      <c r="L355" s="27" t="s">
        <v>963</v>
      </c>
      <c r="M355" s="27" t="s">
        <v>963</v>
      </c>
      <c r="N355" s="27" t="s">
        <v>76</v>
      </c>
      <c r="O355" s="26"/>
      <c r="P355" s="62" t="s">
        <v>2766</v>
      </c>
      <c r="Q355" s="62" t="s">
        <v>965</v>
      </c>
      <c r="R355" s="27" t="s">
        <v>202</v>
      </c>
      <c r="S355" s="27" t="s">
        <v>201</v>
      </c>
      <c r="T355" s="27" t="s">
        <v>202</v>
      </c>
      <c r="U355" s="30" t="s">
        <v>202</v>
      </c>
      <c r="V355" s="30" t="s">
        <v>202</v>
      </c>
      <c r="W355" s="25" t="s">
        <v>966</v>
      </c>
      <c r="X355" s="62" t="s">
        <v>2767</v>
      </c>
      <c r="Y355" s="27">
        <v>0</v>
      </c>
      <c r="Z355" s="30" t="s">
        <v>100</v>
      </c>
      <c r="AA355" s="27">
        <v>100</v>
      </c>
      <c r="AB355" s="27">
        <v>1</v>
      </c>
      <c r="AC355" s="27" t="s">
        <v>2768</v>
      </c>
      <c r="AD355" s="27">
        <v>0</v>
      </c>
      <c r="AE355" s="26" t="s">
        <v>92</v>
      </c>
      <c r="AF355" s="80" t="s">
        <v>969</v>
      </c>
      <c r="AG355" s="26" t="s">
        <v>252</v>
      </c>
      <c r="AH355" s="34" t="s">
        <v>95</v>
      </c>
    </row>
    <row r="356" spans="2:34" ht="16.5" customHeight="1">
      <c r="B356" s="46">
        <f t="shared" si="5"/>
        <v>353</v>
      </c>
      <c r="C356" s="154"/>
      <c r="D356" s="154"/>
      <c r="E356" s="155"/>
      <c r="F356" s="41"/>
      <c r="G356" s="156"/>
      <c r="H356" s="156"/>
      <c r="I356" s="156"/>
      <c r="J356" s="156"/>
      <c r="K356" s="41"/>
      <c r="L356" s="41"/>
      <c r="M356" s="82"/>
      <c r="N356" s="41"/>
      <c r="O356" s="42"/>
      <c r="P356" s="42"/>
      <c r="Q356" s="41"/>
      <c r="R356" s="172"/>
      <c r="S356" s="41"/>
      <c r="T356" s="156"/>
      <c r="U356" s="43"/>
      <c r="V356" s="43"/>
      <c r="W356" s="153"/>
      <c r="X356" s="83"/>
      <c r="Y356" s="41"/>
      <c r="Z356" s="43"/>
      <c r="AA356" s="41"/>
      <c r="AB356" s="41"/>
      <c r="AC356" s="42"/>
      <c r="AD356" s="41"/>
      <c r="AE356" s="42"/>
      <c r="AF356" s="44"/>
      <c r="AG356" s="89"/>
      <c r="AH356" s="34"/>
    </row>
    <row r="357" spans="2:34" ht="12.75" customHeight="1">
      <c r="B357" s="46">
        <f t="shared" si="5"/>
        <v>354</v>
      </c>
      <c r="C357" s="34"/>
      <c r="D357" s="229"/>
      <c r="E357" s="143"/>
      <c r="F357" s="41"/>
      <c r="G357" s="230"/>
      <c r="H357" s="230"/>
      <c r="I357" s="230"/>
      <c r="J357" s="230"/>
      <c r="K357" s="41"/>
      <c r="L357" s="41"/>
      <c r="M357" s="82"/>
      <c r="N357" s="39"/>
      <c r="O357" s="42"/>
      <c r="P357" s="42"/>
      <c r="Q357" s="41"/>
      <c r="R357" s="230"/>
      <c r="S357" s="41"/>
      <c r="T357" s="230"/>
      <c r="U357" s="43"/>
      <c r="V357" s="43"/>
      <c r="W357" s="34"/>
      <c r="X357" s="83"/>
      <c r="Y357" s="41"/>
      <c r="Z357" s="43"/>
      <c r="AA357" s="41"/>
      <c r="AB357" s="41"/>
      <c r="AC357" s="42"/>
      <c r="AD357" s="41"/>
      <c r="AE357" s="42"/>
      <c r="AF357" s="44"/>
      <c r="AG357" s="89"/>
      <c r="AH357" s="34"/>
    </row>
    <row r="358" spans="2:34" ht="12.75" customHeight="1">
      <c r="B358" s="46">
        <f t="shared" ref="B358" si="6">ROW()-3</f>
        <v>355</v>
      </c>
      <c r="C358" s="154"/>
      <c r="D358" s="168"/>
      <c r="E358" s="231"/>
      <c r="F358" s="41"/>
      <c r="G358" s="171"/>
      <c r="H358" s="171"/>
      <c r="I358" s="171"/>
      <c r="J358" s="171"/>
      <c r="K358" s="41"/>
      <c r="L358" s="41"/>
      <c r="M358" s="41"/>
      <c r="N358" s="41"/>
      <c r="O358" s="232"/>
      <c r="P358" s="42"/>
      <c r="Q358" s="41"/>
      <c r="R358" s="166"/>
      <c r="S358" s="41"/>
      <c r="T358" s="171"/>
      <c r="U358" s="43"/>
      <c r="V358" s="43"/>
      <c r="W358" s="153"/>
      <c r="X358" s="64"/>
      <c r="Y358" s="41"/>
      <c r="Z358" s="43"/>
      <c r="AA358" s="41"/>
      <c r="AB358" s="41"/>
      <c r="AC358" s="65"/>
      <c r="AD358" s="41"/>
      <c r="AE358" s="42"/>
      <c r="AF358" s="233" t="s">
        <v>93</v>
      </c>
      <c r="AG358" s="89"/>
      <c r="AH358" s="234"/>
    </row>
  </sheetData>
  <mergeCells count="20">
    <mergeCell ref="O1:O2"/>
    <mergeCell ref="B1:B2"/>
    <mergeCell ref="C1:D1"/>
    <mergeCell ref="E1:E2"/>
    <mergeCell ref="F1:F2"/>
    <mergeCell ref="G1:G2"/>
    <mergeCell ref="H1:I1"/>
    <mergeCell ref="J1:J2"/>
    <mergeCell ref="K1:K2"/>
    <mergeCell ref="L1:L2"/>
    <mergeCell ref="M1:M2"/>
    <mergeCell ref="N1:N2"/>
    <mergeCell ref="AF1:AF2"/>
    <mergeCell ref="AG1:AG2"/>
    <mergeCell ref="P1:P2"/>
    <mergeCell ref="Q1:Q2"/>
    <mergeCell ref="R1:V1"/>
    <mergeCell ref="W1:AB1"/>
    <mergeCell ref="AC1:AD1"/>
    <mergeCell ref="AE1:AE2"/>
  </mergeCells>
  <conditionalFormatting sqref="C4:C350 C353:C357">
    <cfRule type="duplicateValues" dxfId="61" priority="8"/>
  </conditionalFormatting>
  <conditionalFormatting sqref="C232 C225 C229">
    <cfRule type="duplicateValues" dxfId="60" priority="30"/>
  </conditionalFormatting>
  <conditionalFormatting sqref="C347:C348">
    <cfRule type="duplicateValues" dxfId="59" priority="9"/>
  </conditionalFormatting>
  <conditionalFormatting sqref="C350">
    <cfRule type="duplicateValues" dxfId="58" priority="5"/>
  </conditionalFormatting>
  <conditionalFormatting sqref="D165">
    <cfRule type="duplicateValues" dxfId="57" priority="35"/>
  </conditionalFormatting>
  <conditionalFormatting sqref="D166:D169 D4:D164">
    <cfRule type="duplicateValues" dxfId="56" priority="34"/>
  </conditionalFormatting>
  <conditionalFormatting sqref="D181">
    <cfRule type="duplicateValues" dxfId="55" priority="27"/>
  </conditionalFormatting>
  <conditionalFormatting sqref="D223">
    <cfRule type="duplicateValues" dxfId="54" priority="22"/>
  </conditionalFormatting>
  <conditionalFormatting sqref="D233">
    <cfRule type="duplicateValues" dxfId="53" priority="21"/>
  </conditionalFormatting>
  <conditionalFormatting sqref="D234:D244 D182:D222 D224:D232 D166:D180 D4:D164">
    <cfRule type="duplicateValues" dxfId="52" priority="32"/>
  </conditionalFormatting>
  <conditionalFormatting sqref="D245:D246">
    <cfRule type="duplicateValues" dxfId="51" priority="31"/>
  </conditionalFormatting>
  <conditionalFormatting sqref="D247:D249">
    <cfRule type="duplicateValues" dxfId="50" priority="29"/>
    <cfRule type="duplicateValues" dxfId="49" priority="28"/>
  </conditionalFormatting>
  <conditionalFormatting sqref="D250">
    <cfRule type="duplicateValues" dxfId="48" priority="26"/>
    <cfRule type="duplicateValues" dxfId="47" priority="25"/>
  </conditionalFormatting>
  <conditionalFormatting sqref="D251">
    <cfRule type="duplicateValues" dxfId="46" priority="24"/>
    <cfRule type="duplicateValues" dxfId="45" priority="23"/>
  </conditionalFormatting>
  <conditionalFormatting sqref="D252:D255">
    <cfRule type="duplicateValues" dxfId="44" priority="39"/>
  </conditionalFormatting>
  <conditionalFormatting sqref="D256:D268">
    <cfRule type="duplicateValues" dxfId="43" priority="33"/>
  </conditionalFormatting>
  <conditionalFormatting sqref="D269">
    <cfRule type="duplicateValues" dxfId="42" priority="19"/>
    <cfRule type="duplicateValues" dxfId="41" priority="20"/>
  </conditionalFormatting>
  <conditionalFormatting sqref="D270:D271">
    <cfRule type="duplicateValues" dxfId="40" priority="17"/>
    <cfRule type="duplicateValues" dxfId="39" priority="18"/>
  </conditionalFormatting>
  <conditionalFormatting sqref="D273:D276 D278:D321">
    <cfRule type="duplicateValues" dxfId="38" priority="40"/>
  </conditionalFormatting>
  <conditionalFormatting sqref="D322">
    <cfRule type="duplicateValues" dxfId="37" priority="16"/>
    <cfRule type="duplicateValues" dxfId="36" priority="15"/>
  </conditionalFormatting>
  <conditionalFormatting sqref="D337">
    <cfRule type="duplicateValues" dxfId="35" priority="13"/>
    <cfRule type="duplicateValues" dxfId="34" priority="14"/>
  </conditionalFormatting>
  <conditionalFormatting sqref="D340">
    <cfRule type="duplicateValues" dxfId="33" priority="38"/>
  </conditionalFormatting>
  <conditionalFormatting sqref="D341">
    <cfRule type="duplicateValues" dxfId="32" priority="12"/>
  </conditionalFormatting>
  <conditionalFormatting sqref="D342">
    <cfRule type="duplicateValues" dxfId="31" priority="11"/>
  </conditionalFormatting>
  <conditionalFormatting sqref="D347:D348">
    <cfRule type="duplicateValues" dxfId="30" priority="10"/>
  </conditionalFormatting>
  <conditionalFormatting sqref="D349">
    <cfRule type="duplicateValues" dxfId="29" priority="7"/>
  </conditionalFormatting>
  <conditionalFormatting sqref="D350">
    <cfRule type="duplicateValues" dxfId="28" priority="6"/>
  </conditionalFormatting>
  <conditionalFormatting sqref="D353">
    <cfRule type="duplicateValues" dxfId="27" priority="4"/>
    <cfRule type="duplicateValues" dxfId="26" priority="3"/>
  </conditionalFormatting>
  <conditionalFormatting sqref="D354:D355">
    <cfRule type="duplicateValues" dxfId="25" priority="2"/>
    <cfRule type="duplicateValues" dxfId="24" priority="1"/>
  </conditionalFormatting>
  <conditionalFormatting sqref="D358 D5:D350 D353:D356">
    <cfRule type="duplicateValues" dxfId="23" priority="36"/>
  </conditionalFormatting>
  <conditionalFormatting sqref="D358 D323:D336 D338:D339 D343:D346 D356">
    <cfRule type="duplicateValues" dxfId="22" priority="37"/>
  </conditionalFormatting>
  <dataValidations count="10">
    <dataValidation type="list" allowBlank="1" showInputMessage="1" showErrorMessage="1" promptTitle="Severity" prompt="Please select from Drop-down list" sqref="AF256:AF276 AF337 AF341:AF342 AF4:AF199 AF278:AF323 AF221:AF252 AF347:AF355" xr:uid="{65F993F4-F18C-4648-9577-7E790AA12C57}">
      <formula1>"NO_SEVERITY_AVAILABLE($00), MAINTENANCE_ONLY($20),CHECK_AT_NEXT_HALT($40),CHECK_IMMEDIATELY($80)"</formula1>
    </dataValidation>
    <dataValidation type="list" errorStyle="warning" allowBlank="1" showInputMessage="1" showErrorMessage="1" sqref="F182:F194 F247:F249 F256:F276 F166:F180 F358 F322:F350 F278:F320 F224:F244 F197:F222 F4:F164 F353:F356" xr:uid="{BA198280-91D0-4707-A6ED-7B560569618E}">
      <formula1>DTC_Sub_Systems</formula1>
    </dataValidation>
    <dataValidation type="list" allowBlank="1" showInputMessage="1" showErrorMessage="1" promptTitle="Type" prompt="Please select Type from Drop-down list" sqref="I53:I57 I78 I115:I118 I4:I5 I120 I250 I270:I271 I10:I50 I66:I76" xr:uid="{67609000-7729-42A6-887B-A56AF922D999}">
      <formula1>"Tell-tale Lamp,Message on Cluster,Other,N/A"</formula1>
    </dataValidation>
    <dataValidation type="list" allowBlank="1" showInputMessage="1" showErrorMessage="1" sqref="Q154:Q163 Q4:Q5 Q134:Q135 Q149 Q189 Q174:Q183 Q192:Q200 Q256:Q271 Q273:Q276 Q10:Q42 Q322:Q327 Q358 Q245:Q252 Q342:Q346 Q330:Q337 Q278:Q320 Q203:Q212 Q119:Q125 Q44:Q115 Q353 Q356" xr:uid="{CA3A522A-D38A-4FE6-91FB-AC1614818168}">
      <formula1>"ECU Level, Network Communication, Power Distribution"</formula1>
    </dataValidation>
    <dataValidation type="list" allowBlank="1" showInputMessage="1" showErrorMessage="1" promptTitle="Type" prompt="Please select type from Drop-down list" sqref="G53:G57 G78 G4:G5 G120 G250 G270:G271 G10:G50 G66:G76" xr:uid="{E85D6337-7A2B-4260-A808-B31EBEC1CD59}">
      <formula1>"Fault, Occurrence"</formula1>
    </dataValidation>
    <dataValidation type="list" allowBlank="1" showInputMessage="1" showErrorMessage="1" promptTitle="Y/N" prompt="Please select from 2 Options - Y/N" sqref="H53:H57 H78 H4:H5 H250 H270:H271 H10:H50 H66:H76 H115:H121" xr:uid="{D6133C9C-B004-46F5-842E-A19609AC941A}">
      <formula1>"Yes, No"</formula1>
    </dataValidation>
    <dataValidation type="list" allowBlank="1" showInputMessage="1" showErrorMessage="1" promptTitle="Number of Trips" prompt="Select from drop dwon list" sqref="AB53:AB57 AB4:AB5 AB102 AB10:AB17 AB78:AB100 AB250:AB251 AB44:AB50 AB269:AB271 AB19:AB42 AB322:AB327 AB358 AB343:AB346 AB330:AB336 AB66:AB76 AB119:AB120 AB356" xr:uid="{82139423-5101-4D38-9558-0E43C56CA4BB}">
      <formula1>"0, 1 Trip, 2 Trip"</formula1>
    </dataValidation>
    <dataValidation type="list" allowBlank="1" showInputMessage="1" showErrorMessage="1" sqref="Z4:Z5 Z169:Z170 Z172 Z184:Z187 Z162 Z152 Z44:Z50 Z217 Z219:Z220 Z174:Z175 Z53:Z57 Z164 Z7 Z268:Z276 Z9:Z42 Z322:Z327 Z358 Z330:Z337 Z341:Z350 Z247:Z265 Z66:Z76 Z278:Z320 Z353:Z356 Z189:Z215 Z78:Z147 Z225:Z244" xr:uid="{F27AEBFA-9A70-49C0-BF2C-1770CB5BF7A4}">
      <formula1>"Continuous, Latching, On Demand"</formula1>
    </dataValidation>
    <dataValidation type="list" allowBlank="1" showInputMessage="1" showErrorMessage="1" promptTitle="Priority" prompt="Please select Priority from Drop-down list" sqref="J78 J4:J5 J101 J250 J270:J271 J10:J50 J66:J76 J103:J121 J53:J62" xr:uid="{616A1913-0E3A-4E5B-A005-98DB9F801918}">
      <formula1>"1,2, N/A (FOR CUSW)"</formula1>
    </dataValidation>
    <dataValidation type="list" showInputMessage="1" showErrorMessage="1" promptTitle="Number of Trips" prompt="Select from drop dwon list" sqref="AB18" xr:uid="{314D09B3-1DC1-4DCB-9036-983F3CA1CC25}">
      <formula1>"0, 1 Trip, 2 Trip"</formula1>
    </dataValidation>
  </dataValidations>
  <hyperlinks>
    <hyperlink ref="D2" location="Definitions!B5" display="J2012 Format" xr:uid="{A06B9210-0984-4620-A6DE-6C43E1ABBFFF}"/>
    <hyperlink ref="AE1:AE2" location="Definitions!B28" tooltip="Link to Definition Worksheet with explanation" display="LIMP IN ACTION  (Recovery)" xr:uid="{EABF21BA-CDA3-4BA2-9DA5-70EFC990FDB3}"/>
    <hyperlink ref="AD2" location="Definitions!B26" tooltip="Link to Definition Worksheet with explanation" display="DE-MATURE TIME" xr:uid="{C1E0FB98-F383-4FCA-9BCF-805F55D1998F}"/>
    <hyperlink ref="AC2" location="Definitions!B25" tooltip="Link to Definition Worksheet with explanation" display="DE-MATURE CRITERIA" xr:uid="{8DD7AE10-EDC7-4C84-9339-6C58DEA14654}"/>
    <hyperlink ref="Y2" location="Definitions!B20" tooltip="Link to Definition Worksheet with explanation" display="MATURE TIME VALUE UNIT" xr:uid="{77112AF6-0BD0-4FB2-8C5D-AD5368B525C2}"/>
    <hyperlink ref="AA2" location="Definitions!B22" tooltip="Link to Definition Worksheet with explanation" display="MONITOR RATE (VALUE,UNIT)" xr:uid="{30CD582D-F76F-4FC5-9CC6-F9E3D9EC0B8F}"/>
    <hyperlink ref="Z2" location="Definitions!B21" tooltip="Link to Definition Worksheet with explanation" display="MONITOR TYPE" xr:uid="{C3128278-28E9-441B-87D2-2101A00462F3}"/>
    <hyperlink ref="AB2" location="Definitions!B23" tooltip="Link to Definition Worksheet with explanation" display="NUMBER OF TRIPS - ACTIVE" xr:uid="{7D18B31A-DDD6-4CCE-A0A7-E9CE061090E0}"/>
    <hyperlink ref="Y1:Y2" location="Definitions!B20" tooltip="Link to Definition Worksheet with explanation" display="MATURE TIME VALUE UNIT" xr:uid="{39655696-F6D4-4EAB-A55A-7230121103D0}"/>
    <hyperlink ref="AA1:AA2" location="Definitions!B22" tooltip="Link to Definition Worksheet with explanation" display="MONITOR RATE (VALUE,UNIT)" xr:uid="{FDB027CF-64A6-4EB8-B1CC-FB52C0247BF8}"/>
    <hyperlink ref="H1:I1" location="Definitions!B9" display="Definitions!B9" xr:uid="{BE480A6A-FEE0-429E-9DF0-E41D44DAB084}"/>
    <hyperlink ref="P1:P2" location="Definitions!B16" display="REPAIR ACTION" xr:uid="{92374C83-13A0-4923-83FB-79E2AD9E631F}"/>
    <hyperlink ref="Z1:Z2" location="Definitions!B21" tooltip="Link to Definition Worksheet with explanation" display="MONITOR TYPE" xr:uid="{22F379A3-B3F7-4031-AC4E-4AE97FBD79D6}"/>
    <hyperlink ref="AF1:AF2" location="Definitions!B28" tooltip="Link to Definition Worksheet with explanation" display="LIMP IN ACTION  (Recovery)" xr:uid="{896CDC04-B934-4296-A789-0A5CC3A1AB84}"/>
    <hyperlink ref="G1:G2" location="Definitions!B8" tooltip="Link to Definition Worksheet with explanation" display="OCCURRENCE/FAULT" xr:uid="{79D2094B-DC82-46A6-9739-D23858DE4654}"/>
    <hyperlink ref="C2" location="Definitions!B4" display="HEX Value" xr:uid="{995C1D28-DAC3-4464-990B-6F5F047004C9}"/>
    <hyperlink ref="AB1:AB2" location="Definitions!B23" tooltip="Link to Definition Worksheet with explanation" display="NUMBER OF TRIPS - ACTIVE" xr:uid="{549F1A9D-F31E-45A6-8012-82400187CE4D}"/>
    <hyperlink ref="O1:O2" location="Definitions!B15" tooltip="Link to Definition Worksheet with explanation" display="POSSIBLE CAUSES" xr:uid="{745457BE-CAB9-47FF-8DBF-871F92A1257B}"/>
    <hyperlink ref="N1:N2" location="Definitions!B14" tooltip="Link to Definition Worksheet with explanation" display="CUSTOMER PERCEPTION SYMPTOM" xr:uid="{0BCA3581-6450-4D1B-BE14-B4320FC3F56C}"/>
    <hyperlink ref="M1:M2" location="Definitions!B12" tooltip="Link to Definition Worksheet with explanation" display="ENGINEERING NOTES" xr:uid="{44342717-941B-4FBF-BB92-D4EA71FA45B0}"/>
    <hyperlink ref="J1:J2" location="Definitions!B11" tooltip="Link to Definition Worksheet with explanation" display="PRIORITY" xr:uid="{631B1EF5-0ED3-4E20-83A9-85DDF927E4C3}"/>
  </hyperlinks>
  <pageMargins left="0.7" right="0.7" top="0.75" bottom="0.75" header="0.3" footer="0.3"/>
  <headerFooter>
    <oddFooter>&amp;C_x000D_&amp;1#&amp;"Calibri"&amp;11&amp;KFF0000 Internal</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57D7D-077A-46F7-9879-2F98935E5BE8}">
  <sheetPr>
    <pageSetUpPr fitToPage="1"/>
  </sheetPr>
  <dimension ref="A1:AW112"/>
  <sheetViews>
    <sheetView showGridLines="0" zoomScale="70" zoomScaleNormal="70" zoomScaleSheetLayoutView="75" workbookViewId="0">
      <selection activeCell="C6" sqref="C6"/>
    </sheetView>
  </sheetViews>
  <sheetFormatPr defaultColWidth="11.44140625" defaultRowHeight="15"/>
  <cols>
    <col min="1" max="1" width="31.109375" style="394" customWidth="1"/>
    <col min="2" max="2" width="19" style="394" customWidth="1"/>
    <col min="3" max="3" width="77.44140625" style="394" customWidth="1"/>
    <col min="4" max="4" width="13.44140625" style="307" customWidth="1"/>
    <col min="5" max="5" width="2.44140625" style="395" customWidth="1"/>
    <col min="6" max="6" width="5.44140625" style="395" customWidth="1"/>
    <col min="7" max="7" width="2.5546875" style="307" customWidth="1"/>
    <col min="8" max="8" width="26.88671875" style="307" customWidth="1"/>
    <col min="9" max="13" width="5.44140625" style="307" customWidth="1"/>
    <col min="14" max="14" width="5.6640625" style="307" customWidth="1"/>
    <col min="15" max="15" width="44.6640625" style="307" customWidth="1"/>
    <col min="16" max="16" width="5.6640625" style="307" customWidth="1"/>
    <col min="17" max="17" width="77.109375" style="307" customWidth="1"/>
    <col min="18" max="18" width="62.33203125" style="307" customWidth="1"/>
    <col min="19" max="19" width="20.44140625" style="307" customWidth="1"/>
    <col min="20" max="20" width="59" style="396" customWidth="1"/>
    <col min="21" max="21" width="129.33203125" style="396" customWidth="1"/>
    <col min="22" max="22" width="19" style="396" customWidth="1"/>
    <col min="23" max="23" width="4.44140625" style="397" customWidth="1"/>
    <col min="24" max="24" width="14.109375" style="397" bestFit="1" customWidth="1"/>
    <col min="25" max="25" width="13.88671875" style="396" bestFit="1" customWidth="1"/>
    <col min="26" max="26" width="4.6640625" style="397" customWidth="1"/>
    <col min="27" max="27" width="3.33203125" style="396" bestFit="1" customWidth="1"/>
    <col min="28" max="28" width="66.5546875" style="396" bestFit="1" customWidth="1"/>
    <col min="29" max="29" width="17.5546875" style="396" customWidth="1"/>
    <col min="30" max="30" width="5.88671875" style="396" customWidth="1"/>
    <col min="31" max="31" width="40.44140625" style="396" customWidth="1"/>
    <col min="32" max="32" width="3.5546875" style="396" bestFit="1" customWidth="1"/>
    <col min="33" max="41" width="5.6640625" style="396" bestFit="1" customWidth="1"/>
    <col min="42" max="42" width="8.109375" style="396" bestFit="1" customWidth="1"/>
    <col min="43" max="45" width="3.33203125" style="396" bestFit="1" customWidth="1"/>
    <col min="46" max="46" width="3.5546875" style="396" bestFit="1" customWidth="1"/>
    <col min="47" max="47" width="25" style="396" customWidth="1"/>
    <col min="48" max="16384" width="11.44140625" style="307"/>
  </cols>
  <sheetData>
    <row r="1" spans="1:49" s="272" customFormat="1" ht="13.2">
      <c r="A1" s="412" t="s">
        <v>6323</v>
      </c>
      <c r="B1" s="412"/>
      <c r="C1" s="412"/>
      <c r="D1" s="412"/>
      <c r="E1" s="412"/>
      <c r="F1" s="412"/>
      <c r="G1" s="412"/>
      <c r="H1" s="412"/>
      <c r="I1" s="412"/>
      <c r="J1" s="412"/>
      <c r="K1" s="412"/>
      <c r="L1" s="412"/>
      <c r="M1" s="412"/>
      <c r="N1" s="412"/>
      <c r="O1" s="412"/>
      <c r="P1" s="412"/>
      <c r="Q1" s="412"/>
      <c r="R1" s="412"/>
      <c r="S1" s="412"/>
      <c r="T1" s="412"/>
      <c r="U1" s="412"/>
      <c r="V1" s="412"/>
      <c r="W1" s="412"/>
      <c r="X1" s="412"/>
      <c r="Y1" s="412"/>
      <c r="Z1" s="412"/>
      <c r="AA1" s="412"/>
      <c r="AB1" s="412"/>
      <c r="AC1" s="412"/>
      <c r="AD1" s="412"/>
      <c r="AE1" s="412"/>
      <c r="AF1" s="412"/>
      <c r="AG1" s="412"/>
      <c r="AH1" s="412"/>
      <c r="AI1" s="412"/>
      <c r="AJ1" s="412"/>
      <c r="AK1" s="412"/>
      <c r="AL1" s="412"/>
      <c r="AM1" s="412"/>
      <c r="AN1" s="412"/>
      <c r="AO1" s="271"/>
      <c r="AP1" s="271"/>
      <c r="AQ1" s="271"/>
      <c r="AR1" s="271"/>
      <c r="AS1" s="271"/>
      <c r="AT1" s="271"/>
      <c r="AU1" s="271"/>
    </row>
    <row r="2" spans="1:49" s="272" customFormat="1" ht="36" customHeight="1">
      <c r="A2" s="273" t="s">
        <v>6324</v>
      </c>
      <c r="B2" s="273"/>
      <c r="C2" s="271"/>
      <c r="D2" s="271"/>
      <c r="E2" s="271"/>
      <c r="F2" s="271"/>
      <c r="G2" s="271"/>
      <c r="H2" s="271"/>
      <c r="I2" s="271"/>
      <c r="J2" s="271"/>
      <c r="K2" s="271"/>
      <c r="L2" s="271"/>
      <c r="M2" s="271"/>
      <c r="N2" s="271"/>
      <c r="O2" s="271"/>
      <c r="P2" s="271"/>
      <c r="Q2" s="271"/>
      <c r="R2" s="271"/>
      <c r="S2" s="271"/>
      <c r="T2" s="271"/>
      <c r="U2" s="271"/>
      <c r="V2" s="271"/>
      <c r="W2" s="271"/>
      <c r="X2" s="271"/>
      <c r="Y2" s="271"/>
      <c r="Z2" s="271"/>
      <c r="AA2" s="271"/>
      <c r="AB2" s="271"/>
      <c r="AC2" s="271"/>
      <c r="AD2" s="271"/>
      <c r="AE2" s="271"/>
      <c r="AF2" s="271"/>
      <c r="AG2" s="271"/>
      <c r="AH2" s="271"/>
      <c r="AI2" s="271"/>
      <c r="AJ2" s="271"/>
      <c r="AK2" s="274"/>
      <c r="AL2" s="271"/>
      <c r="AM2" s="271"/>
      <c r="AN2" s="271"/>
      <c r="AO2" s="271"/>
      <c r="AP2" s="271"/>
      <c r="AQ2" s="271"/>
      <c r="AR2" s="271"/>
      <c r="AS2" s="271"/>
      <c r="AT2" s="271"/>
      <c r="AU2" s="271"/>
    </row>
    <row r="3" spans="1:49" s="272" customFormat="1" ht="13.2">
      <c r="A3" s="413" t="s">
        <v>6325</v>
      </c>
      <c r="B3" s="413"/>
      <c r="C3" s="413"/>
      <c r="D3" s="413"/>
      <c r="E3" s="413"/>
      <c r="F3" s="413"/>
      <c r="G3" s="413"/>
      <c r="H3" s="413"/>
      <c r="I3" s="413"/>
      <c r="J3" s="413"/>
      <c r="K3" s="413"/>
      <c r="L3" s="413"/>
      <c r="M3" s="413"/>
      <c r="N3" s="413"/>
      <c r="O3" s="413"/>
      <c r="P3" s="413"/>
      <c r="Q3" s="413"/>
      <c r="R3" s="413"/>
      <c r="S3" s="413"/>
      <c r="T3" s="274"/>
      <c r="U3" s="274"/>
      <c r="V3" s="274"/>
      <c r="W3" s="274"/>
      <c r="X3" s="274"/>
      <c r="Y3" s="274"/>
      <c r="Z3" s="274"/>
      <c r="AA3" s="274"/>
      <c r="AB3" s="274"/>
      <c r="AC3" s="274"/>
      <c r="AD3" s="274"/>
      <c r="AE3" s="274"/>
      <c r="AF3" s="274"/>
      <c r="AG3" s="274"/>
      <c r="AH3" s="274"/>
      <c r="AI3" s="274"/>
      <c r="AJ3" s="274"/>
      <c r="AK3" s="274"/>
      <c r="AL3" s="274"/>
      <c r="AM3" s="274"/>
      <c r="AN3" s="274"/>
      <c r="AO3" s="274"/>
      <c r="AP3" s="274"/>
      <c r="AQ3" s="274"/>
      <c r="AR3" s="274"/>
      <c r="AS3" s="274"/>
      <c r="AT3" s="274"/>
      <c r="AU3" s="274"/>
    </row>
    <row r="4" spans="1:49" s="272" customFormat="1" ht="110.4">
      <c r="A4" s="414" t="s">
        <v>6326</v>
      </c>
      <c r="B4" s="414"/>
      <c r="C4" s="411" t="s">
        <v>6327</v>
      </c>
      <c r="D4" s="411" t="s">
        <v>2771</v>
      </c>
      <c r="E4" s="411" t="s">
        <v>6328</v>
      </c>
      <c r="F4" s="411"/>
      <c r="G4" s="409" t="s">
        <v>2773</v>
      </c>
      <c r="H4" s="411" t="s">
        <v>6329</v>
      </c>
      <c r="I4" s="276" t="s">
        <v>6330</v>
      </c>
      <c r="J4" s="276" t="s">
        <v>6331</v>
      </c>
      <c r="K4" s="276" t="s">
        <v>6332</v>
      </c>
      <c r="L4" s="276" t="s">
        <v>6333</v>
      </c>
      <c r="M4" s="276" t="s">
        <v>6334</v>
      </c>
      <c r="N4" s="409" t="s">
        <v>6335</v>
      </c>
      <c r="O4" s="409" t="s">
        <v>6336</v>
      </c>
      <c r="P4" s="409" t="s">
        <v>6337</v>
      </c>
      <c r="Q4" s="409" t="s">
        <v>2777</v>
      </c>
      <c r="R4" s="409" t="s">
        <v>2778</v>
      </c>
      <c r="S4" s="409" t="s">
        <v>13</v>
      </c>
      <c r="T4" s="275" t="s">
        <v>6338</v>
      </c>
      <c r="U4" s="411" t="s">
        <v>2780</v>
      </c>
      <c r="V4" s="409" t="s">
        <v>2781</v>
      </c>
      <c r="W4" s="409"/>
      <c r="X4" s="411" t="s">
        <v>2782</v>
      </c>
      <c r="Y4" s="411" t="s">
        <v>2783</v>
      </c>
      <c r="Z4" s="411"/>
      <c r="AA4" s="411" t="s">
        <v>2784</v>
      </c>
      <c r="AB4" s="411" t="s">
        <v>2785</v>
      </c>
      <c r="AC4" s="411" t="s">
        <v>2786</v>
      </c>
      <c r="AD4" s="411"/>
      <c r="AE4" s="411" t="s">
        <v>2787</v>
      </c>
      <c r="AF4" s="409" t="s">
        <v>6339</v>
      </c>
      <c r="AG4" s="409" t="s">
        <v>6340</v>
      </c>
      <c r="AH4" s="409" t="s">
        <v>6341</v>
      </c>
      <c r="AI4" s="409" t="s">
        <v>6342</v>
      </c>
      <c r="AJ4" s="409" t="s">
        <v>6343</v>
      </c>
      <c r="AK4" s="409" t="s">
        <v>6344</v>
      </c>
      <c r="AL4" s="409" t="s">
        <v>6345</v>
      </c>
      <c r="AM4" s="409" t="s">
        <v>6346</v>
      </c>
      <c r="AN4" s="409" t="s">
        <v>6347</v>
      </c>
      <c r="AO4" s="409" t="s">
        <v>6348</v>
      </c>
      <c r="AP4" s="409" t="s">
        <v>6349</v>
      </c>
      <c r="AQ4" s="409" t="s">
        <v>6350</v>
      </c>
      <c r="AR4" s="409" t="s">
        <v>6351</v>
      </c>
      <c r="AS4" s="409" t="s">
        <v>6352</v>
      </c>
      <c r="AT4" s="409" t="s">
        <v>6353</v>
      </c>
      <c r="AU4" s="410" t="s">
        <v>6354</v>
      </c>
    </row>
    <row r="5" spans="1:49" s="272" customFormat="1" ht="24">
      <c r="A5" s="277" t="s">
        <v>2789</v>
      </c>
      <c r="B5" s="277" t="s">
        <v>2790</v>
      </c>
      <c r="C5" s="411"/>
      <c r="D5" s="411"/>
      <c r="E5" s="278" t="s">
        <v>22</v>
      </c>
      <c r="F5" s="278" t="s">
        <v>2791</v>
      </c>
      <c r="G5" s="409"/>
      <c r="H5" s="411"/>
      <c r="I5" s="276"/>
      <c r="J5" s="276"/>
      <c r="K5" s="276"/>
      <c r="L5" s="276"/>
      <c r="M5" s="276"/>
      <c r="N5" s="409"/>
      <c r="O5" s="409"/>
      <c r="P5" s="409"/>
      <c r="Q5" s="409"/>
      <c r="R5" s="409"/>
      <c r="S5" s="409"/>
      <c r="T5" s="279" t="s">
        <v>6355</v>
      </c>
      <c r="U5" s="411"/>
      <c r="V5" s="409"/>
      <c r="W5" s="409"/>
      <c r="X5" s="411"/>
      <c r="Y5" s="411"/>
      <c r="Z5" s="411"/>
      <c r="AA5" s="411"/>
      <c r="AB5" s="411"/>
      <c r="AC5" s="411"/>
      <c r="AD5" s="411"/>
      <c r="AE5" s="411"/>
      <c r="AF5" s="409"/>
      <c r="AG5" s="409"/>
      <c r="AH5" s="409"/>
      <c r="AI5" s="409"/>
      <c r="AJ5" s="409"/>
      <c r="AK5" s="409"/>
      <c r="AL5" s="409"/>
      <c r="AM5" s="409"/>
      <c r="AN5" s="409"/>
      <c r="AO5" s="409"/>
      <c r="AP5" s="409"/>
      <c r="AQ5" s="409"/>
      <c r="AR5" s="409"/>
      <c r="AS5" s="409"/>
      <c r="AT5" s="409"/>
      <c r="AU5" s="410"/>
    </row>
    <row r="6" spans="1:49" s="292" customFormat="1" ht="243.6" customHeight="1">
      <c r="A6" s="280" t="s">
        <v>6356</v>
      </c>
      <c r="B6" s="281" t="s">
        <v>6357</v>
      </c>
      <c r="C6" s="281" t="s">
        <v>6358</v>
      </c>
      <c r="D6" s="282" t="s">
        <v>74</v>
      </c>
      <c r="E6" s="283" t="s">
        <v>246</v>
      </c>
      <c r="F6" s="282"/>
      <c r="G6" s="283">
        <v>2</v>
      </c>
      <c r="H6" s="283" t="s">
        <v>6359</v>
      </c>
      <c r="I6" s="284"/>
      <c r="J6" s="284"/>
      <c r="K6" s="284"/>
      <c r="L6" s="284"/>
      <c r="M6" s="284"/>
      <c r="N6" s="284"/>
      <c r="O6" s="281" t="s">
        <v>6358</v>
      </c>
      <c r="P6" s="282"/>
      <c r="Q6" s="281" t="s">
        <v>6360</v>
      </c>
      <c r="R6" s="281" t="s">
        <v>6361</v>
      </c>
      <c r="S6" s="283" t="s">
        <v>82</v>
      </c>
      <c r="T6" s="281" t="s">
        <v>6362</v>
      </c>
      <c r="U6" s="281" t="s">
        <v>6363</v>
      </c>
      <c r="V6" s="285">
        <v>500</v>
      </c>
      <c r="W6" s="285" t="s">
        <v>6364</v>
      </c>
      <c r="X6" s="285" t="s">
        <v>100</v>
      </c>
      <c r="Y6" s="285">
        <v>50</v>
      </c>
      <c r="Z6" s="285" t="s">
        <v>6364</v>
      </c>
      <c r="AA6" s="285">
        <v>0</v>
      </c>
      <c r="AB6" s="286" t="s">
        <v>6365</v>
      </c>
      <c r="AC6" s="285" t="s">
        <v>6366</v>
      </c>
      <c r="AD6" s="285"/>
      <c r="AE6" s="287" t="s">
        <v>6367</v>
      </c>
      <c r="AF6" s="288"/>
      <c r="AG6" s="288"/>
      <c r="AH6" s="288"/>
      <c r="AI6" s="288"/>
      <c r="AJ6" s="288"/>
      <c r="AK6" s="288"/>
      <c r="AL6" s="288"/>
      <c r="AM6" s="288"/>
      <c r="AN6" s="288"/>
      <c r="AO6" s="288"/>
      <c r="AP6" s="288"/>
      <c r="AQ6" s="288"/>
      <c r="AR6" s="288"/>
      <c r="AS6" s="288"/>
      <c r="AT6" s="288"/>
      <c r="AU6" s="289" t="s">
        <v>6368</v>
      </c>
      <c r="AV6" s="290"/>
      <c r="AW6" s="291"/>
    </row>
    <row r="7" spans="1:49" ht="135">
      <c r="A7" s="293" t="s">
        <v>6369</v>
      </c>
      <c r="B7" s="294" t="s">
        <v>6370</v>
      </c>
      <c r="C7" s="294" t="s">
        <v>6371</v>
      </c>
      <c r="D7" s="295" t="s">
        <v>74</v>
      </c>
      <c r="E7" s="296" t="s">
        <v>246</v>
      </c>
      <c r="F7" s="295"/>
      <c r="G7" s="296">
        <v>2</v>
      </c>
      <c r="H7" s="296" t="s">
        <v>6359</v>
      </c>
      <c r="I7" s="295"/>
      <c r="J7" s="295"/>
      <c r="K7" s="295"/>
      <c r="L7" s="295"/>
      <c r="M7" s="295"/>
      <c r="N7" s="297"/>
      <c r="O7" s="294" t="s">
        <v>6372</v>
      </c>
      <c r="P7" s="295"/>
      <c r="Q7" s="294" t="s">
        <v>6373</v>
      </c>
      <c r="R7" s="294" t="s">
        <v>6374</v>
      </c>
      <c r="S7" s="296" t="s">
        <v>82</v>
      </c>
      <c r="T7" s="286" t="s">
        <v>6375</v>
      </c>
      <c r="U7" s="286" t="s">
        <v>6376</v>
      </c>
      <c r="V7" s="298" t="s">
        <v>6377</v>
      </c>
      <c r="W7" s="298" t="s">
        <v>6364</v>
      </c>
      <c r="X7" s="299" t="s">
        <v>100</v>
      </c>
      <c r="Y7" s="299">
        <v>100</v>
      </c>
      <c r="Z7" s="299" t="s">
        <v>6364</v>
      </c>
      <c r="AA7" s="298">
        <v>0</v>
      </c>
      <c r="AB7" s="300" t="s">
        <v>6378</v>
      </c>
      <c r="AC7" s="298" t="s">
        <v>6379</v>
      </c>
      <c r="AD7" s="299"/>
      <c r="AE7" s="301" t="s">
        <v>6367</v>
      </c>
      <c r="AF7" s="302"/>
      <c r="AG7" s="302"/>
      <c r="AH7" s="302"/>
      <c r="AI7" s="303"/>
      <c r="AJ7" s="303"/>
      <c r="AK7" s="303"/>
      <c r="AL7" s="303"/>
      <c r="AM7" s="303"/>
      <c r="AN7" s="304"/>
      <c r="AO7" s="304"/>
      <c r="AP7" s="302"/>
      <c r="AQ7" s="302"/>
      <c r="AR7" s="304"/>
      <c r="AS7" s="304"/>
      <c r="AT7" s="304"/>
      <c r="AU7" s="305" t="s">
        <v>6368</v>
      </c>
      <c r="AV7" s="306"/>
      <c r="AW7" s="306"/>
    </row>
    <row r="8" spans="1:49" ht="135">
      <c r="A8" s="293" t="s">
        <v>6380</v>
      </c>
      <c r="B8" s="294" t="s">
        <v>6381</v>
      </c>
      <c r="C8" s="294" t="s">
        <v>6382</v>
      </c>
      <c r="D8" s="295" t="s">
        <v>74</v>
      </c>
      <c r="E8" s="296" t="s">
        <v>246</v>
      </c>
      <c r="F8" s="295"/>
      <c r="G8" s="296">
        <v>2</v>
      </c>
      <c r="H8" s="296" t="s">
        <v>6359</v>
      </c>
      <c r="I8" s="295"/>
      <c r="J8" s="295"/>
      <c r="K8" s="295"/>
      <c r="L8" s="295"/>
      <c r="M8" s="295"/>
      <c r="N8" s="297"/>
      <c r="O8" s="294" t="s">
        <v>6383</v>
      </c>
      <c r="P8" s="295"/>
      <c r="Q8" s="294" t="s">
        <v>6384</v>
      </c>
      <c r="R8" s="294" t="s">
        <v>6374</v>
      </c>
      <c r="S8" s="296" t="s">
        <v>82</v>
      </c>
      <c r="T8" s="286" t="s">
        <v>6385</v>
      </c>
      <c r="U8" s="286" t="s">
        <v>6386</v>
      </c>
      <c r="V8" s="298" t="s">
        <v>6377</v>
      </c>
      <c r="W8" s="298" t="s">
        <v>6364</v>
      </c>
      <c r="X8" s="299" t="s">
        <v>100</v>
      </c>
      <c r="Y8" s="299">
        <v>100</v>
      </c>
      <c r="Z8" s="299" t="s">
        <v>6364</v>
      </c>
      <c r="AA8" s="298">
        <v>0</v>
      </c>
      <c r="AB8" s="300" t="s">
        <v>6387</v>
      </c>
      <c r="AC8" s="298" t="s">
        <v>6379</v>
      </c>
      <c r="AD8" s="299"/>
      <c r="AE8" s="301" t="s">
        <v>6367</v>
      </c>
      <c r="AF8" s="302"/>
      <c r="AG8" s="302"/>
      <c r="AH8" s="302"/>
      <c r="AI8" s="303"/>
      <c r="AJ8" s="303"/>
      <c r="AK8" s="303"/>
      <c r="AL8" s="303"/>
      <c r="AM8" s="303"/>
      <c r="AN8" s="304"/>
      <c r="AO8" s="304"/>
      <c r="AP8" s="302"/>
      <c r="AQ8" s="302"/>
      <c r="AR8" s="304"/>
      <c r="AS8" s="304"/>
      <c r="AT8" s="304"/>
      <c r="AU8" s="305" t="s">
        <v>6368</v>
      </c>
      <c r="AV8" s="306"/>
      <c r="AW8" s="306"/>
    </row>
    <row r="9" spans="1:49" ht="135">
      <c r="A9" s="293" t="s">
        <v>6388</v>
      </c>
      <c r="B9" s="294" t="s">
        <v>6389</v>
      </c>
      <c r="C9" s="294" t="s">
        <v>6390</v>
      </c>
      <c r="D9" s="295" t="s">
        <v>74</v>
      </c>
      <c r="E9" s="296" t="s">
        <v>246</v>
      </c>
      <c r="F9" s="295"/>
      <c r="G9" s="296">
        <v>2</v>
      </c>
      <c r="H9" s="296" t="s">
        <v>6359</v>
      </c>
      <c r="I9" s="295"/>
      <c r="J9" s="295"/>
      <c r="K9" s="295"/>
      <c r="L9" s="295"/>
      <c r="M9" s="295"/>
      <c r="N9" s="297"/>
      <c r="O9" s="294" t="s">
        <v>6391</v>
      </c>
      <c r="P9" s="295"/>
      <c r="Q9" s="294" t="s">
        <v>6392</v>
      </c>
      <c r="R9" s="294" t="s">
        <v>6374</v>
      </c>
      <c r="S9" s="296" t="s">
        <v>82</v>
      </c>
      <c r="T9" s="299" t="s">
        <v>6393</v>
      </c>
      <c r="U9" s="286" t="s">
        <v>6394</v>
      </c>
      <c r="V9" s="298" t="s">
        <v>6377</v>
      </c>
      <c r="W9" s="298" t="s">
        <v>6364</v>
      </c>
      <c r="X9" s="299" t="s">
        <v>100</v>
      </c>
      <c r="Y9" s="299">
        <v>100</v>
      </c>
      <c r="Z9" s="299" t="s">
        <v>6364</v>
      </c>
      <c r="AA9" s="298">
        <v>0</v>
      </c>
      <c r="AB9" s="300" t="s">
        <v>6395</v>
      </c>
      <c r="AC9" s="298" t="s">
        <v>6379</v>
      </c>
      <c r="AD9" s="299"/>
      <c r="AE9" s="301" t="s">
        <v>6367</v>
      </c>
      <c r="AF9" s="302"/>
      <c r="AG9" s="302"/>
      <c r="AH9" s="302"/>
      <c r="AI9" s="303"/>
      <c r="AJ9" s="303"/>
      <c r="AK9" s="303"/>
      <c r="AL9" s="303"/>
      <c r="AM9" s="303"/>
      <c r="AN9" s="304"/>
      <c r="AO9" s="304"/>
      <c r="AP9" s="302"/>
      <c r="AQ9" s="302"/>
      <c r="AR9" s="304"/>
      <c r="AS9" s="304"/>
      <c r="AT9" s="304"/>
      <c r="AU9" s="305" t="s">
        <v>6368</v>
      </c>
      <c r="AV9" s="306"/>
      <c r="AW9" s="306"/>
    </row>
    <row r="10" spans="1:49" ht="135">
      <c r="A10" s="293" t="s">
        <v>6396</v>
      </c>
      <c r="B10" s="294" t="s">
        <v>6397</v>
      </c>
      <c r="C10" s="294" t="s">
        <v>6398</v>
      </c>
      <c r="D10" s="295" t="s">
        <v>74</v>
      </c>
      <c r="E10" s="296" t="s">
        <v>246</v>
      </c>
      <c r="F10" s="295"/>
      <c r="G10" s="296">
        <v>2</v>
      </c>
      <c r="H10" s="296" t="s">
        <v>6359</v>
      </c>
      <c r="I10" s="295"/>
      <c r="J10" s="295"/>
      <c r="K10" s="295"/>
      <c r="L10" s="295"/>
      <c r="M10" s="295"/>
      <c r="N10" s="297"/>
      <c r="O10" s="294" t="s">
        <v>6399</v>
      </c>
      <c r="P10" s="295"/>
      <c r="Q10" s="294" t="s">
        <v>6400</v>
      </c>
      <c r="R10" s="294" t="s">
        <v>6374</v>
      </c>
      <c r="S10" s="296" t="s">
        <v>82</v>
      </c>
      <c r="T10" s="299" t="s">
        <v>6401</v>
      </c>
      <c r="U10" s="286" t="s">
        <v>6402</v>
      </c>
      <c r="V10" s="298" t="s">
        <v>6377</v>
      </c>
      <c r="W10" s="299" t="s">
        <v>6364</v>
      </c>
      <c r="X10" s="299" t="s">
        <v>100</v>
      </c>
      <c r="Y10" s="299">
        <v>100</v>
      </c>
      <c r="Z10" s="299" t="s">
        <v>6364</v>
      </c>
      <c r="AA10" s="298">
        <v>0</v>
      </c>
      <c r="AB10" s="300" t="s">
        <v>6403</v>
      </c>
      <c r="AC10" s="298" t="s">
        <v>6379</v>
      </c>
      <c r="AD10" s="299"/>
      <c r="AE10" s="301" t="s">
        <v>6367</v>
      </c>
      <c r="AF10" s="302"/>
      <c r="AG10" s="302"/>
      <c r="AH10" s="302"/>
      <c r="AI10" s="303"/>
      <c r="AJ10" s="303"/>
      <c r="AK10" s="303"/>
      <c r="AL10" s="303"/>
      <c r="AM10" s="303"/>
      <c r="AN10" s="304"/>
      <c r="AO10" s="304"/>
      <c r="AP10" s="302"/>
      <c r="AQ10" s="302"/>
      <c r="AR10" s="304"/>
      <c r="AS10" s="304"/>
      <c r="AT10" s="304"/>
      <c r="AU10" s="305" t="s">
        <v>6368</v>
      </c>
      <c r="AV10" s="306"/>
      <c r="AW10" s="306"/>
    </row>
    <row r="11" spans="1:49" ht="90">
      <c r="A11" s="293" t="s">
        <v>6404</v>
      </c>
      <c r="B11" s="294" t="s">
        <v>6405</v>
      </c>
      <c r="C11" s="294" t="s">
        <v>6406</v>
      </c>
      <c r="D11" s="295" t="s">
        <v>74</v>
      </c>
      <c r="E11" s="296" t="s">
        <v>246</v>
      </c>
      <c r="F11" s="295"/>
      <c r="G11" s="296">
        <v>2</v>
      </c>
      <c r="H11" s="296" t="s">
        <v>6359</v>
      </c>
      <c r="I11" s="295"/>
      <c r="J11" s="295"/>
      <c r="K11" s="295"/>
      <c r="L11" s="295"/>
      <c r="M11" s="295"/>
      <c r="N11" s="297"/>
      <c r="O11" s="294" t="s">
        <v>6407</v>
      </c>
      <c r="P11" s="295"/>
      <c r="Q11" s="308" t="s">
        <v>6408</v>
      </c>
      <c r="R11" s="309" t="s">
        <v>6409</v>
      </c>
      <c r="S11" s="296" t="s">
        <v>82</v>
      </c>
      <c r="T11" s="310" t="s">
        <v>6410</v>
      </c>
      <c r="U11" s="311" t="s">
        <v>6411</v>
      </c>
      <c r="V11" s="298">
        <v>100</v>
      </c>
      <c r="W11" s="299" t="s">
        <v>6364</v>
      </c>
      <c r="X11" s="299" t="s">
        <v>100</v>
      </c>
      <c r="Y11" s="298">
        <v>25</v>
      </c>
      <c r="Z11" s="298" t="s">
        <v>6364</v>
      </c>
      <c r="AA11" s="298">
        <v>0</v>
      </c>
      <c r="AB11" s="312" t="s">
        <v>6412</v>
      </c>
      <c r="AC11" s="298" t="s">
        <v>6366</v>
      </c>
      <c r="AD11" s="299"/>
      <c r="AE11" s="301" t="s">
        <v>6367</v>
      </c>
      <c r="AF11" s="302"/>
      <c r="AG11" s="302"/>
      <c r="AH11" s="302"/>
      <c r="AI11" s="303"/>
      <c r="AJ11" s="303"/>
      <c r="AK11" s="303"/>
      <c r="AL11" s="303"/>
      <c r="AM11" s="303"/>
      <c r="AN11" s="304"/>
      <c r="AO11" s="304"/>
      <c r="AP11" s="302"/>
      <c r="AQ11" s="302"/>
      <c r="AR11" s="304"/>
      <c r="AS11" s="304"/>
      <c r="AT11" s="304"/>
      <c r="AU11" s="305" t="s">
        <v>6368</v>
      </c>
      <c r="AV11" s="306"/>
      <c r="AW11" s="306"/>
    </row>
    <row r="12" spans="1:49" ht="75">
      <c r="A12" s="293" t="s">
        <v>6413</v>
      </c>
      <c r="B12" s="294" t="s">
        <v>6414</v>
      </c>
      <c r="C12" s="294" t="s">
        <v>6415</v>
      </c>
      <c r="D12" s="295" t="s">
        <v>6416</v>
      </c>
      <c r="E12" s="296" t="s">
        <v>246</v>
      </c>
      <c r="F12" s="295"/>
      <c r="G12" s="296">
        <v>2</v>
      </c>
      <c r="H12" s="296" t="s">
        <v>6359</v>
      </c>
      <c r="I12" s="295"/>
      <c r="J12" s="295"/>
      <c r="K12" s="295"/>
      <c r="L12" s="295"/>
      <c r="M12" s="295"/>
      <c r="N12" s="297"/>
      <c r="O12" s="294" t="s">
        <v>6417</v>
      </c>
      <c r="P12" s="295"/>
      <c r="Q12" s="294" t="s">
        <v>6418</v>
      </c>
      <c r="R12" s="294" t="s">
        <v>6419</v>
      </c>
      <c r="S12" s="296" t="s">
        <v>82</v>
      </c>
      <c r="T12" s="286" t="s">
        <v>6420</v>
      </c>
      <c r="U12" s="286" t="s">
        <v>6421</v>
      </c>
      <c r="V12" s="299">
        <v>120000</v>
      </c>
      <c r="W12" s="299" t="s">
        <v>6364</v>
      </c>
      <c r="X12" s="299" t="s">
        <v>100</v>
      </c>
      <c r="Y12" s="299">
        <v>50</v>
      </c>
      <c r="Z12" s="299" t="s">
        <v>6364</v>
      </c>
      <c r="AA12" s="298">
        <v>0</v>
      </c>
      <c r="AB12" s="300" t="s">
        <v>6422</v>
      </c>
      <c r="AC12" s="298">
        <v>60</v>
      </c>
      <c r="AD12" s="299" t="s">
        <v>6364</v>
      </c>
      <c r="AE12" s="301" t="s">
        <v>6367</v>
      </c>
      <c r="AF12" s="302"/>
      <c r="AG12" s="302"/>
      <c r="AH12" s="302"/>
      <c r="AI12" s="303"/>
      <c r="AJ12" s="303"/>
      <c r="AK12" s="303"/>
      <c r="AL12" s="303"/>
      <c r="AM12" s="303"/>
      <c r="AN12" s="304"/>
      <c r="AO12" s="304"/>
      <c r="AP12" s="302"/>
      <c r="AQ12" s="302"/>
      <c r="AR12" s="304"/>
      <c r="AS12" s="304"/>
      <c r="AT12" s="304"/>
      <c r="AU12" s="305" t="s">
        <v>6368</v>
      </c>
      <c r="AV12" s="306"/>
      <c r="AW12" s="306"/>
    </row>
    <row r="13" spans="1:49" ht="135">
      <c r="A13" s="293" t="s">
        <v>6423</v>
      </c>
      <c r="B13" s="294" t="s">
        <v>6424</v>
      </c>
      <c r="C13" s="294" t="s">
        <v>6425</v>
      </c>
      <c r="D13" s="295" t="s">
        <v>6416</v>
      </c>
      <c r="E13" s="296" t="s">
        <v>246</v>
      </c>
      <c r="F13" s="295"/>
      <c r="G13" s="296">
        <v>2</v>
      </c>
      <c r="H13" s="296" t="s">
        <v>6359</v>
      </c>
      <c r="I13" s="295"/>
      <c r="J13" s="295"/>
      <c r="K13" s="295"/>
      <c r="L13" s="295"/>
      <c r="M13" s="295"/>
      <c r="N13" s="297"/>
      <c r="O13" s="294" t="s">
        <v>6426</v>
      </c>
      <c r="P13" s="295"/>
      <c r="Q13" s="294" t="s">
        <v>6427</v>
      </c>
      <c r="R13" s="294" t="s">
        <v>6428</v>
      </c>
      <c r="S13" s="296" t="s">
        <v>82</v>
      </c>
      <c r="T13" s="286" t="s">
        <v>6429</v>
      </c>
      <c r="U13" s="286" t="s">
        <v>6430</v>
      </c>
      <c r="V13" s="298" t="s">
        <v>6377</v>
      </c>
      <c r="W13" s="299" t="s">
        <v>6364</v>
      </c>
      <c r="X13" s="299" t="s">
        <v>100</v>
      </c>
      <c r="Y13" s="299">
        <v>100</v>
      </c>
      <c r="Z13" s="299" t="s">
        <v>6364</v>
      </c>
      <c r="AA13" s="298">
        <v>0</v>
      </c>
      <c r="AB13" s="300" t="s">
        <v>6431</v>
      </c>
      <c r="AC13" s="298" t="s">
        <v>6379</v>
      </c>
      <c r="AD13" s="299" t="s">
        <v>6364</v>
      </c>
      <c r="AE13" s="301" t="s">
        <v>6367</v>
      </c>
      <c r="AF13" s="302"/>
      <c r="AG13" s="302"/>
      <c r="AH13" s="302"/>
      <c r="AI13" s="303"/>
      <c r="AJ13" s="303"/>
      <c r="AK13" s="303"/>
      <c r="AL13" s="303"/>
      <c r="AM13" s="303"/>
      <c r="AN13" s="304"/>
      <c r="AO13" s="304"/>
      <c r="AP13" s="302"/>
      <c r="AQ13" s="302"/>
      <c r="AR13" s="304"/>
      <c r="AS13" s="304"/>
      <c r="AT13" s="304"/>
      <c r="AU13" s="305" t="s">
        <v>6368</v>
      </c>
      <c r="AV13" s="306"/>
      <c r="AW13" s="306"/>
    </row>
    <row r="14" spans="1:49" ht="135">
      <c r="A14" s="293" t="s">
        <v>6432</v>
      </c>
      <c r="B14" s="294" t="s">
        <v>6433</v>
      </c>
      <c r="C14" s="294" t="s">
        <v>6434</v>
      </c>
      <c r="D14" s="295" t="s">
        <v>6416</v>
      </c>
      <c r="E14" s="296" t="s">
        <v>246</v>
      </c>
      <c r="F14" s="295"/>
      <c r="G14" s="296">
        <v>2</v>
      </c>
      <c r="H14" s="296" t="s">
        <v>6359</v>
      </c>
      <c r="I14" s="295"/>
      <c r="J14" s="295"/>
      <c r="K14" s="295"/>
      <c r="L14" s="295"/>
      <c r="M14" s="295"/>
      <c r="N14" s="297"/>
      <c r="O14" s="294" t="s">
        <v>6435</v>
      </c>
      <c r="P14" s="295"/>
      <c r="Q14" s="294" t="s">
        <v>6427</v>
      </c>
      <c r="R14" s="294" t="s">
        <v>6428</v>
      </c>
      <c r="S14" s="296" t="s">
        <v>82</v>
      </c>
      <c r="T14" s="286" t="s">
        <v>6436</v>
      </c>
      <c r="U14" s="286" t="s">
        <v>6430</v>
      </c>
      <c r="V14" s="298" t="s">
        <v>6377</v>
      </c>
      <c r="W14" s="299" t="s">
        <v>6364</v>
      </c>
      <c r="X14" s="299" t="s">
        <v>100</v>
      </c>
      <c r="Y14" s="299">
        <v>100</v>
      </c>
      <c r="Z14" s="299" t="s">
        <v>6364</v>
      </c>
      <c r="AA14" s="298">
        <v>0</v>
      </c>
      <c r="AB14" s="300" t="s">
        <v>6431</v>
      </c>
      <c r="AC14" s="298" t="s">
        <v>6379</v>
      </c>
      <c r="AD14" s="299" t="s">
        <v>6364</v>
      </c>
      <c r="AE14" s="301" t="s">
        <v>6367</v>
      </c>
      <c r="AF14" s="302"/>
      <c r="AG14" s="302"/>
      <c r="AH14" s="302"/>
      <c r="AI14" s="303"/>
      <c r="AJ14" s="303"/>
      <c r="AK14" s="303"/>
      <c r="AL14" s="303"/>
      <c r="AM14" s="303"/>
      <c r="AN14" s="304"/>
      <c r="AO14" s="304"/>
      <c r="AP14" s="302"/>
      <c r="AQ14" s="302"/>
      <c r="AR14" s="304"/>
      <c r="AS14" s="304"/>
      <c r="AT14" s="304"/>
      <c r="AU14" s="305" t="s">
        <v>6368</v>
      </c>
      <c r="AV14" s="306"/>
      <c r="AW14" s="306"/>
    </row>
    <row r="15" spans="1:49" ht="135">
      <c r="A15" s="293" t="s">
        <v>6437</v>
      </c>
      <c r="B15" s="294" t="s">
        <v>6438</v>
      </c>
      <c r="C15" s="294" t="s">
        <v>6439</v>
      </c>
      <c r="D15" s="295" t="s">
        <v>6416</v>
      </c>
      <c r="E15" s="296" t="s">
        <v>246</v>
      </c>
      <c r="F15" s="295"/>
      <c r="G15" s="296">
        <v>2</v>
      </c>
      <c r="H15" s="296" t="s">
        <v>6359</v>
      </c>
      <c r="I15" s="295"/>
      <c r="J15" s="295"/>
      <c r="K15" s="295"/>
      <c r="L15" s="295"/>
      <c r="M15" s="295"/>
      <c r="N15" s="297"/>
      <c r="O15" s="294" t="s">
        <v>6440</v>
      </c>
      <c r="P15" s="295"/>
      <c r="Q15" s="294" t="s">
        <v>6441</v>
      </c>
      <c r="R15" s="294" t="s">
        <v>6428</v>
      </c>
      <c r="S15" s="296" t="s">
        <v>82</v>
      </c>
      <c r="T15" s="286" t="s">
        <v>6442</v>
      </c>
      <c r="U15" s="286" t="s">
        <v>6430</v>
      </c>
      <c r="V15" s="298" t="s">
        <v>6377</v>
      </c>
      <c r="W15" s="299" t="s">
        <v>6364</v>
      </c>
      <c r="X15" s="299" t="s">
        <v>100</v>
      </c>
      <c r="Y15" s="299">
        <v>100</v>
      </c>
      <c r="Z15" s="299" t="s">
        <v>6364</v>
      </c>
      <c r="AA15" s="298">
        <v>0</v>
      </c>
      <c r="AB15" s="300" t="s">
        <v>6431</v>
      </c>
      <c r="AC15" s="298" t="s">
        <v>6379</v>
      </c>
      <c r="AD15" s="299" t="s">
        <v>6364</v>
      </c>
      <c r="AE15" s="301" t="s">
        <v>6367</v>
      </c>
      <c r="AF15" s="302"/>
      <c r="AG15" s="302"/>
      <c r="AH15" s="302"/>
      <c r="AI15" s="303"/>
      <c r="AJ15" s="303"/>
      <c r="AK15" s="303"/>
      <c r="AL15" s="303"/>
      <c r="AM15" s="303"/>
      <c r="AN15" s="304"/>
      <c r="AO15" s="304"/>
      <c r="AP15" s="302"/>
      <c r="AQ15" s="302"/>
      <c r="AR15" s="304"/>
      <c r="AS15" s="304"/>
      <c r="AT15" s="304"/>
      <c r="AU15" s="305" t="s">
        <v>6368</v>
      </c>
      <c r="AV15" s="306"/>
      <c r="AW15" s="306"/>
    </row>
    <row r="16" spans="1:49" ht="135">
      <c r="A16" s="293" t="s">
        <v>6443</v>
      </c>
      <c r="B16" s="294" t="s">
        <v>6444</v>
      </c>
      <c r="C16" s="294" t="s">
        <v>6445</v>
      </c>
      <c r="D16" s="295" t="s">
        <v>6416</v>
      </c>
      <c r="E16" s="296" t="s">
        <v>246</v>
      </c>
      <c r="F16" s="295"/>
      <c r="G16" s="296">
        <v>2</v>
      </c>
      <c r="H16" s="296" t="s">
        <v>6359</v>
      </c>
      <c r="I16" s="295"/>
      <c r="J16" s="295"/>
      <c r="K16" s="295"/>
      <c r="L16" s="295"/>
      <c r="M16" s="295"/>
      <c r="N16" s="297"/>
      <c r="O16" s="294" t="s">
        <v>6446</v>
      </c>
      <c r="P16" s="295"/>
      <c r="Q16" s="294" t="s">
        <v>6427</v>
      </c>
      <c r="R16" s="294" t="s">
        <v>6428</v>
      </c>
      <c r="S16" s="296" t="s">
        <v>82</v>
      </c>
      <c r="T16" s="286" t="s">
        <v>6447</v>
      </c>
      <c r="U16" s="286" t="s">
        <v>6430</v>
      </c>
      <c r="V16" s="298" t="s">
        <v>6377</v>
      </c>
      <c r="W16" s="299" t="s">
        <v>6364</v>
      </c>
      <c r="X16" s="299" t="s">
        <v>100</v>
      </c>
      <c r="Y16" s="299">
        <v>100</v>
      </c>
      <c r="Z16" s="299" t="s">
        <v>6364</v>
      </c>
      <c r="AA16" s="298">
        <v>0</v>
      </c>
      <c r="AB16" s="300" t="s">
        <v>6431</v>
      </c>
      <c r="AC16" s="298" t="s">
        <v>6379</v>
      </c>
      <c r="AD16" s="299" t="s">
        <v>6364</v>
      </c>
      <c r="AE16" s="301" t="s">
        <v>6367</v>
      </c>
      <c r="AF16" s="302"/>
      <c r="AG16" s="302"/>
      <c r="AH16" s="302"/>
      <c r="AI16" s="303"/>
      <c r="AJ16" s="303"/>
      <c r="AK16" s="303"/>
      <c r="AL16" s="303"/>
      <c r="AM16" s="303"/>
      <c r="AN16" s="304"/>
      <c r="AO16" s="304"/>
      <c r="AP16" s="302"/>
      <c r="AQ16" s="302"/>
      <c r="AR16" s="304"/>
      <c r="AS16" s="304"/>
      <c r="AT16" s="304"/>
      <c r="AU16" s="305" t="s">
        <v>6368</v>
      </c>
      <c r="AV16" s="306"/>
      <c r="AW16" s="306"/>
    </row>
    <row r="17" spans="1:49" ht="75">
      <c r="A17" s="293" t="s">
        <v>6448</v>
      </c>
      <c r="B17" s="294" t="s">
        <v>6449</v>
      </c>
      <c r="C17" s="294" t="s">
        <v>6450</v>
      </c>
      <c r="D17" s="295" t="s">
        <v>74</v>
      </c>
      <c r="E17" s="296" t="s">
        <v>246</v>
      </c>
      <c r="F17" s="295"/>
      <c r="G17" s="296">
        <v>2</v>
      </c>
      <c r="H17" s="296" t="s">
        <v>6359</v>
      </c>
      <c r="I17" s="295"/>
      <c r="J17" s="295"/>
      <c r="K17" s="295"/>
      <c r="L17" s="295"/>
      <c r="M17" s="295"/>
      <c r="N17" s="297"/>
      <c r="O17" s="294" t="s">
        <v>6451</v>
      </c>
      <c r="P17" s="295"/>
      <c r="Q17" s="294" t="s">
        <v>6452</v>
      </c>
      <c r="R17" s="294" t="s">
        <v>6453</v>
      </c>
      <c r="S17" s="296" t="s">
        <v>82</v>
      </c>
      <c r="T17" s="286" t="s">
        <v>6454</v>
      </c>
      <c r="U17" s="313" t="s">
        <v>6455</v>
      </c>
      <c r="V17" s="299">
        <v>1</v>
      </c>
      <c r="W17" s="299" t="s">
        <v>6456</v>
      </c>
      <c r="X17" s="299" t="s">
        <v>100</v>
      </c>
      <c r="Y17" s="299">
        <v>50</v>
      </c>
      <c r="Z17" s="299" t="s">
        <v>6364</v>
      </c>
      <c r="AA17" s="298">
        <v>0</v>
      </c>
      <c r="AB17" s="314" t="s">
        <v>6457</v>
      </c>
      <c r="AC17" s="298">
        <v>60</v>
      </c>
      <c r="AD17" s="299" t="s">
        <v>6364</v>
      </c>
      <c r="AE17" s="301" t="s">
        <v>6367</v>
      </c>
      <c r="AF17" s="302"/>
      <c r="AG17" s="302"/>
      <c r="AH17" s="302"/>
      <c r="AI17" s="303"/>
      <c r="AJ17" s="303"/>
      <c r="AK17" s="303"/>
      <c r="AL17" s="303"/>
      <c r="AM17" s="303"/>
      <c r="AN17" s="304"/>
      <c r="AO17" s="304"/>
      <c r="AP17" s="302"/>
      <c r="AQ17" s="302"/>
      <c r="AR17" s="304"/>
      <c r="AS17" s="304"/>
      <c r="AT17" s="304"/>
      <c r="AU17" s="305" t="s">
        <v>6368</v>
      </c>
      <c r="AV17" s="306"/>
      <c r="AW17" s="306"/>
    </row>
    <row r="18" spans="1:49" ht="135">
      <c r="A18" s="293" t="s">
        <v>6458</v>
      </c>
      <c r="B18" s="294" t="s">
        <v>6459</v>
      </c>
      <c r="C18" s="294" t="s">
        <v>6460</v>
      </c>
      <c r="D18" s="295" t="s">
        <v>74</v>
      </c>
      <c r="E18" s="296" t="s">
        <v>246</v>
      </c>
      <c r="F18" s="295"/>
      <c r="G18" s="296">
        <v>2</v>
      </c>
      <c r="H18" s="296" t="s">
        <v>6359</v>
      </c>
      <c r="I18" s="295"/>
      <c r="J18" s="295"/>
      <c r="K18" s="295"/>
      <c r="L18" s="295"/>
      <c r="M18" s="295"/>
      <c r="N18" s="297"/>
      <c r="O18" s="294" t="s">
        <v>6461</v>
      </c>
      <c r="P18" s="295"/>
      <c r="Q18" s="294" t="s">
        <v>6462</v>
      </c>
      <c r="R18" s="294" t="s">
        <v>6463</v>
      </c>
      <c r="S18" s="296" t="s">
        <v>82</v>
      </c>
      <c r="T18" s="286" t="s">
        <v>6464</v>
      </c>
      <c r="U18" s="286" t="s">
        <v>6465</v>
      </c>
      <c r="V18" s="298" t="s">
        <v>6377</v>
      </c>
      <c r="W18" s="299" t="s">
        <v>6364</v>
      </c>
      <c r="X18" s="299" t="s">
        <v>100</v>
      </c>
      <c r="Y18" s="299">
        <v>100</v>
      </c>
      <c r="Z18" s="299" t="s">
        <v>6364</v>
      </c>
      <c r="AA18" s="298">
        <v>0</v>
      </c>
      <c r="AB18" s="300" t="s">
        <v>6466</v>
      </c>
      <c r="AC18" s="298" t="s">
        <v>6379</v>
      </c>
      <c r="AD18" s="299"/>
      <c r="AE18" s="301" t="s">
        <v>6367</v>
      </c>
      <c r="AF18" s="302"/>
      <c r="AG18" s="302"/>
      <c r="AH18" s="302"/>
      <c r="AI18" s="303"/>
      <c r="AJ18" s="303"/>
      <c r="AK18" s="303"/>
      <c r="AL18" s="303"/>
      <c r="AM18" s="303"/>
      <c r="AN18" s="304"/>
      <c r="AO18" s="304"/>
      <c r="AP18" s="302"/>
      <c r="AQ18" s="302"/>
      <c r="AR18" s="304"/>
      <c r="AS18" s="304"/>
      <c r="AT18" s="304"/>
      <c r="AU18" s="305" t="s">
        <v>6368</v>
      </c>
      <c r="AV18" s="306"/>
      <c r="AW18" s="306"/>
    </row>
    <row r="19" spans="1:49" ht="135">
      <c r="A19" s="293" t="s">
        <v>6467</v>
      </c>
      <c r="B19" s="294" t="s">
        <v>6468</v>
      </c>
      <c r="C19" s="294" t="s">
        <v>6469</v>
      </c>
      <c r="D19" s="295" t="s">
        <v>74</v>
      </c>
      <c r="E19" s="296" t="s">
        <v>246</v>
      </c>
      <c r="F19" s="295"/>
      <c r="G19" s="296">
        <v>2</v>
      </c>
      <c r="H19" s="296" t="s">
        <v>6359</v>
      </c>
      <c r="I19" s="295"/>
      <c r="J19" s="295"/>
      <c r="K19" s="295"/>
      <c r="L19" s="295"/>
      <c r="M19" s="295"/>
      <c r="N19" s="297"/>
      <c r="O19" s="294" t="s">
        <v>6470</v>
      </c>
      <c r="P19" s="295"/>
      <c r="Q19" s="294" t="s">
        <v>6462</v>
      </c>
      <c r="R19" s="294" t="s">
        <v>6471</v>
      </c>
      <c r="S19" s="296" t="s">
        <v>82</v>
      </c>
      <c r="T19" s="286" t="s">
        <v>6472</v>
      </c>
      <c r="U19" s="286" t="s">
        <v>6465</v>
      </c>
      <c r="V19" s="298" t="s">
        <v>6377</v>
      </c>
      <c r="W19" s="299" t="s">
        <v>6364</v>
      </c>
      <c r="X19" s="299" t="s">
        <v>100</v>
      </c>
      <c r="Y19" s="299">
        <v>100</v>
      </c>
      <c r="Z19" s="299" t="s">
        <v>6364</v>
      </c>
      <c r="AA19" s="298">
        <v>0</v>
      </c>
      <c r="AB19" s="300" t="s">
        <v>6466</v>
      </c>
      <c r="AC19" s="298" t="s">
        <v>6379</v>
      </c>
      <c r="AD19" s="299"/>
      <c r="AE19" s="301" t="s">
        <v>6367</v>
      </c>
      <c r="AF19" s="302"/>
      <c r="AG19" s="302"/>
      <c r="AH19" s="302"/>
      <c r="AI19" s="303"/>
      <c r="AJ19" s="303"/>
      <c r="AK19" s="303"/>
      <c r="AL19" s="303"/>
      <c r="AM19" s="303"/>
      <c r="AN19" s="304"/>
      <c r="AO19" s="304"/>
      <c r="AP19" s="302"/>
      <c r="AQ19" s="302"/>
      <c r="AR19" s="304"/>
      <c r="AS19" s="304"/>
      <c r="AT19" s="304"/>
      <c r="AU19" s="305" t="s">
        <v>6368</v>
      </c>
      <c r="AV19" s="306"/>
      <c r="AW19" s="306"/>
    </row>
    <row r="20" spans="1:49" ht="135">
      <c r="A20" s="293" t="s">
        <v>6473</v>
      </c>
      <c r="B20" s="294" t="s">
        <v>6474</v>
      </c>
      <c r="C20" s="294" t="s">
        <v>6475</v>
      </c>
      <c r="D20" s="295" t="s">
        <v>74</v>
      </c>
      <c r="E20" s="296" t="s">
        <v>246</v>
      </c>
      <c r="F20" s="295"/>
      <c r="G20" s="296">
        <v>2</v>
      </c>
      <c r="H20" s="296" t="s">
        <v>6359</v>
      </c>
      <c r="I20" s="295"/>
      <c r="J20" s="295"/>
      <c r="K20" s="295"/>
      <c r="L20" s="295"/>
      <c r="M20" s="295"/>
      <c r="N20" s="297"/>
      <c r="O20" s="294" t="s">
        <v>6476</v>
      </c>
      <c r="P20" s="295"/>
      <c r="Q20" s="294" t="s">
        <v>6462</v>
      </c>
      <c r="R20" s="294" t="s">
        <v>6477</v>
      </c>
      <c r="S20" s="296" t="s">
        <v>82</v>
      </c>
      <c r="T20" s="286" t="s">
        <v>6442</v>
      </c>
      <c r="U20" s="286" t="s">
        <v>6465</v>
      </c>
      <c r="V20" s="298" t="s">
        <v>6377</v>
      </c>
      <c r="W20" s="299" t="s">
        <v>6364</v>
      </c>
      <c r="X20" s="299" t="s">
        <v>100</v>
      </c>
      <c r="Y20" s="299">
        <v>100</v>
      </c>
      <c r="Z20" s="299" t="s">
        <v>6364</v>
      </c>
      <c r="AA20" s="298">
        <v>0</v>
      </c>
      <c r="AB20" s="300" t="s">
        <v>6466</v>
      </c>
      <c r="AC20" s="298" t="s">
        <v>6379</v>
      </c>
      <c r="AD20" s="299"/>
      <c r="AE20" s="301" t="s">
        <v>6367</v>
      </c>
      <c r="AF20" s="302"/>
      <c r="AG20" s="302"/>
      <c r="AH20" s="302"/>
      <c r="AI20" s="303"/>
      <c r="AJ20" s="303"/>
      <c r="AK20" s="303"/>
      <c r="AL20" s="303"/>
      <c r="AM20" s="303"/>
      <c r="AN20" s="304"/>
      <c r="AO20" s="304"/>
      <c r="AP20" s="302"/>
      <c r="AQ20" s="302"/>
      <c r="AR20" s="304"/>
      <c r="AS20" s="304"/>
      <c r="AT20" s="304"/>
      <c r="AU20" s="305" t="s">
        <v>6368</v>
      </c>
      <c r="AV20" s="306"/>
      <c r="AW20" s="306"/>
    </row>
    <row r="21" spans="1:49" ht="135">
      <c r="A21" s="293" t="s">
        <v>6478</v>
      </c>
      <c r="B21" s="294" t="s">
        <v>6479</v>
      </c>
      <c r="C21" s="294" t="s">
        <v>6480</v>
      </c>
      <c r="D21" s="295" t="s">
        <v>74</v>
      </c>
      <c r="E21" s="296" t="s">
        <v>246</v>
      </c>
      <c r="F21" s="295"/>
      <c r="G21" s="296">
        <v>2</v>
      </c>
      <c r="H21" s="296" t="s">
        <v>6359</v>
      </c>
      <c r="I21" s="295"/>
      <c r="J21" s="295"/>
      <c r="K21" s="295"/>
      <c r="L21" s="295"/>
      <c r="M21" s="295"/>
      <c r="N21" s="297"/>
      <c r="O21" s="294" t="s">
        <v>6481</v>
      </c>
      <c r="P21" s="295"/>
      <c r="Q21" s="294" t="s">
        <v>6462</v>
      </c>
      <c r="R21" s="294" t="s">
        <v>6482</v>
      </c>
      <c r="S21" s="296" t="s">
        <v>82</v>
      </c>
      <c r="T21" s="286" t="s">
        <v>6483</v>
      </c>
      <c r="U21" s="286" t="s">
        <v>6465</v>
      </c>
      <c r="V21" s="298" t="s">
        <v>6377</v>
      </c>
      <c r="W21" s="299" t="s">
        <v>6364</v>
      </c>
      <c r="X21" s="299" t="s">
        <v>100</v>
      </c>
      <c r="Y21" s="299">
        <v>100</v>
      </c>
      <c r="Z21" s="299" t="s">
        <v>6364</v>
      </c>
      <c r="AA21" s="298">
        <v>0</v>
      </c>
      <c r="AB21" s="300" t="s">
        <v>6466</v>
      </c>
      <c r="AC21" s="298" t="s">
        <v>6379</v>
      </c>
      <c r="AD21" s="299"/>
      <c r="AE21" s="301" t="s">
        <v>6367</v>
      </c>
      <c r="AF21" s="302"/>
      <c r="AG21" s="302"/>
      <c r="AH21" s="302"/>
      <c r="AI21" s="303"/>
      <c r="AJ21" s="303"/>
      <c r="AK21" s="303"/>
      <c r="AL21" s="303"/>
      <c r="AM21" s="303"/>
      <c r="AN21" s="304"/>
      <c r="AO21" s="304"/>
      <c r="AP21" s="302"/>
      <c r="AQ21" s="302"/>
      <c r="AR21" s="304"/>
      <c r="AS21" s="304"/>
      <c r="AT21" s="304"/>
      <c r="AU21" s="305" t="s">
        <v>6368</v>
      </c>
      <c r="AV21" s="306"/>
      <c r="AW21" s="306"/>
    </row>
    <row r="22" spans="1:49" ht="141" customHeight="1">
      <c r="A22" s="293" t="s">
        <v>6484</v>
      </c>
      <c r="B22" s="315" t="s">
        <v>6485</v>
      </c>
      <c r="C22" s="294" t="s">
        <v>6486</v>
      </c>
      <c r="D22" s="295" t="s">
        <v>74</v>
      </c>
      <c r="E22" s="296" t="s">
        <v>246</v>
      </c>
      <c r="F22" s="295"/>
      <c r="G22" s="296">
        <v>2</v>
      </c>
      <c r="H22" s="296" t="s">
        <v>6359</v>
      </c>
      <c r="I22" s="295"/>
      <c r="J22" s="295"/>
      <c r="K22" s="295"/>
      <c r="L22" s="295"/>
      <c r="M22" s="295"/>
      <c r="N22" s="297"/>
      <c r="O22" s="294"/>
      <c r="P22" s="295"/>
      <c r="Q22" s="316" t="s">
        <v>6487</v>
      </c>
      <c r="R22" s="310" t="s">
        <v>6488</v>
      </c>
      <c r="S22" s="296" t="s">
        <v>82</v>
      </c>
      <c r="T22" s="310" t="s">
        <v>6489</v>
      </c>
      <c r="U22" s="317" t="s">
        <v>6490</v>
      </c>
      <c r="V22" s="299">
        <v>5000</v>
      </c>
      <c r="W22" s="299" t="s">
        <v>6364</v>
      </c>
      <c r="X22" s="318" t="s">
        <v>100</v>
      </c>
      <c r="Y22" s="318">
        <v>50</v>
      </c>
      <c r="Z22" s="299" t="s">
        <v>6364</v>
      </c>
      <c r="AA22" s="298">
        <v>0</v>
      </c>
      <c r="AB22" s="319" t="s">
        <v>6491</v>
      </c>
      <c r="AC22" s="299">
        <v>5000</v>
      </c>
      <c r="AD22" s="299" t="s">
        <v>6364</v>
      </c>
      <c r="AE22" s="301" t="s">
        <v>6367</v>
      </c>
      <c r="AF22" s="302"/>
      <c r="AG22" s="302"/>
      <c r="AH22" s="302"/>
      <c r="AI22" s="303"/>
      <c r="AJ22" s="303"/>
      <c r="AK22" s="303"/>
      <c r="AL22" s="303"/>
      <c r="AM22" s="303"/>
      <c r="AN22" s="304"/>
      <c r="AO22" s="304"/>
      <c r="AP22" s="302"/>
      <c r="AQ22" s="302"/>
      <c r="AR22" s="304"/>
      <c r="AS22" s="304"/>
      <c r="AT22" s="304"/>
      <c r="AU22" s="305" t="s">
        <v>6368</v>
      </c>
      <c r="AV22" s="306"/>
      <c r="AW22" s="306"/>
    </row>
    <row r="23" spans="1:49" ht="135">
      <c r="A23" s="293" t="s">
        <v>6492</v>
      </c>
      <c r="B23" s="294" t="s">
        <v>6493</v>
      </c>
      <c r="C23" s="294" t="s">
        <v>6494</v>
      </c>
      <c r="D23" s="295" t="s">
        <v>74</v>
      </c>
      <c r="E23" s="296" t="s">
        <v>246</v>
      </c>
      <c r="F23" s="295"/>
      <c r="G23" s="296">
        <v>2</v>
      </c>
      <c r="H23" s="296" t="s">
        <v>6359</v>
      </c>
      <c r="I23" s="295"/>
      <c r="J23" s="295"/>
      <c r="K23" s="295"/>
      <c r="L23" s="295"/>
      <c r="M23" s="295"/>
      <c r="N23" s="297"/>
      <c r="O23" s="294" t="s">
        <v>6495</v>
      </c>
      <c r="P23" s="295"/>
      <c r="Q23" s="294" t="s">
        <v>6496</v>
      </c>
      <c r="R23" s="294" t="s">
        <v>6497</v>
      </c>
      <c r="S23" s="296" t="s">
        <v>82</v>
      </c>
      <c r="T23" s="286" t="s">
        <v>6429</v>
      </c>
      <c r="U23" s="286" t="s">
        <v>6498</v>
      </c>
      <c r="V23" s="298" t="s">
        <v>6377</v>
      </c>
      <c r="W23" s="299" t="s">
        <v>6364</v>
      </c>
      <c r="X23" s="299" t="s">
        <v>100</v>
      </c>
      <c r="Y23" s="299">
        <v>100</v>
      </c>
      <c r="Z23" s="299" t="s">
        <v>6364</v>
      </c>
      <c r="AA23" s="298">
        <v>0</v>
      </c>
      <c r="AB23" s="300" t="s">
        <v>6499</v>
      </c>
      <c r="AC23" s="298" t="s">
        <v>6379</v>
      </c>
      <c r="AD23" s="299" t="s">
        <v>6364</v>
      </c>
      <c r="AE23" s="301" t="s">
        <v>6367</v>
      </c>
      <c r="AF23" s="302"/>
      <c r="AG23" s="302"/>
      <c r="AH23" s="302"/>
      <c r="AI23" s="303"/>
      <c r="AJ23" s="303"/>
      <c r="AK23" s="303"/>
      <c r="AL23" s="303"/>
      <c r="AM23" s="303"/>
      <c r="AN23" s="304"/>
      <c r="AO23" s="304"/>
      <c r="AP23" s="302"/>
      <c r="AQ23" s="302"/>
      <c r="AR23" s="304"/>
      <c r="AS23" s="304"/>
      <c r="AT23" s="304"/>
      <c r="AU23" s="305" t="s">
        <v>6368</v>
      </c>
      <c r="AV23" s="306"/>
      <c r="AW23" s="306"/>
    </row>
    <row r="24" spans="1:49" ht="135">
      <c r="A24" s="293" t="s">
        <v>6500</v>
      </c>
      <c r="B24" s="294" t="s">
        <v>6501</v>
      </c>
      <c r="C24" s="294" t="s">
        <v>6502</v>
      </c>
      <c r="D24" s="295" t="s">
        <v>74</v>
      </c>
      <c r="E24" s="296" t="s">
        <v>246</v>
      </c>
      <c r="F24" s="295"/>
      <c r="G24" s="296">
        <v>2</v>
      </c>
      <c r="H24" s="296" t="s">
        <v>6359</v>
      </c>
      <c r="I24" s="295"/>
      <c r="J24" s="295"/>
      <c r="K24" s="295"/>
      <c r="L24" s="295"/>
      <c r="M24" s="295"/>
      <c r="N24" s="297"/>
      <c r="O24" s="294" t="s">
        <v>6503</v>
      </c>
      <c r="P24" s="295"/>
      <c r="Q24" s="294" t="s">
        <v>6496</v>
      </c>
      <c r="R24" s="294" t="s">
        <v>6504</v>
      </c>
      <c r="S24" s="296" t="s">
        <v>82</v>
      </c>
      <c r="T24" s="286" t="s">
        <v>6505</v>
      </c>
      <c r="U24" s="286" t="s">
        <v>6498</v>
      </c>
      <c r="V24" s="298" t="s">
        <v>6377</v>
      </c>
      <c r="W24" s="299" t="s">
        <v>6364</v>
      </c>
      <c r="X24" s="299" t="s">
        <v>100</v>
      </c>
      <c r="Y24" s="299">
        <v>100</v>
      </c>
      <c r="Z24" s="299" t="s">
        <v>6364</v>
      </c>
      <c r="AA24" s="298">
        <v>0</v>
      </c>
      <c r="AB24" s="300" t="s">
        <v>6506</v>
      </c>
      <c r="AC24" s="298" t="s">
        <v>6379</v>
      </c>
      <c r="AD24" s="299" t="s">
        <v>6364</v>
      </c>
      <c r="AE24" s="301" t="s">
        <v>6367</v>
      </c>
      <c r="AF24" s="302"/>
      <c r="AG24" s="302"/>
      <c r="AH24" s="302"/>
      <c r="AI24" s="303"/>
      <c r="AJ24" s="303"/>
      <c r="AK24" s="303"/>
      <c r="AL24" s="303"/>
      <c r="AM24" s="303"/>
      <c r="AN24" s="304"/>
      <c r="AO24" s="304"/>
      <c r="AP24" s="302"/>
      <c r="AQ24" s="302"/>
      <c r="AR24" s="304"/>
      <c r="AS24" s="304"/>
      <c r="AT24" s="304"/>
      <c r="AU24" s="305" t="s">
        <v>6368</v>
      </c>
      <c r="AV24" s="306"/>
      <c r="AW24" s="306"/>
    </row>
    <row r="25" spans="1:49" ht="135">
      <c r="A25" s="293" t="s">
        <v>6507</v>
      </c>
      <c r="B25" s="294" t="s">
        <v>6508</v>
      </c>
      <c r="C25" s="294" t="s">
        <v>6509</v>
      </c>
      <c r="D25" s="295" t="s">
        <v>74</v>
      </c>
      <c r="E25" s="296" t="s">
        <v>246</v>
      </c>
      <c r="F25" s="295"/>
      <c r="G25" s="296">
        <v>2</v>
      </c>
      <c r="H25" s="296" t="s">
        <v>6359</v>
      </c>
      <c r="I25" s="295"/>
      <c r="J25" s="295"/>
      <c r="K25" s="295"/>
      <c r="L25" s="295"/>
      <c r="M25" s="295"/>
      <c r="N25" s="297"/>
      <c r="O25" s="294" t="s">
        <v>6510</v>
      </c>
      <c r="P25" s="295"/>
      <c r="Q25" s="294" t="s">
        <v>6496</v>
      </c>
      <c r="R25" s="294" t="s">
        <v>6511</v>
      </c>
      <c r="S25" s="296" t="s">
        <v>82</v>
      </c>
      <c r="T25" s="286" t="s">
        <v>6512</v>
      </c>
      <c r="U25" s="286" t="s">
        <v>6498</v>
      </c>
      <c r="V25" s="298" t="s">
        <v>6377</v>
      </c>
      <c r="W25" s="299" t="s">
        <v>6364</v>
      </c>
      <c r="X25" s="299" t="s">
        <v>100</v>
      </c>
      <c r="Y25" s="299">
        <v>100</v>
      </c>
      <c r="Z25" s="299" t="s">
        <v>6364</v>
      </c>
      <c r="AA25" s="298">
        <v>0</v>
      </c>
      <c r="AB25" s="300" t="s">
        <v>6513</v>
      </c>
      <c r="AC25" s="298" t="s">
        <v>6379</v>
      </c>
      <c r="AD25" s="299" t="s">
        <v>6364</v>
      </c>
      <c r="AE25" s="301" t="s">
        <v>6367</v>
      </c>
      <c r="AF25" s="302"/>
      <c r="AG25" s="302"/>
      <c r="AH25" s="302"/>
      <c r="AI25" s="303"/>
      <c r="AJ25" s="303"/>
      <c r="AK25" s="303"/>
      <c r="AL25" s="303"/>
      <c r="AM25" s="303"/>
      <c r="AN25" s="304"/>
      <c r="AO25" s="304"/>
      <c r="AP25" s="302"/>
      <c r="AQ25" s="302"/>
      <c r="AR25" s="304"/>
      <c r="AS25" s="304"/>
      <c r="AT25" s="304"/>
      <c r="AU25" s="305" t="s">
        <v>6368</v>
      </c>
      <c r="AV25" s="306"/>
      <c r="AW25" s="306"/>
    </row>
    <row r="26" spans="1:49" ht="135">
      <c r="A26" s="293" t="s">
        <v>6514</v>
      </c>
      <c r="B26" s="294" t="s">
        <v>6515</v>
      </c>
      <c r="C26" s="294" t="s">
        <v>6516</v>
      </c>
      <c r="D26" s="295" t="s">
        <v>74</v>
      </c>
      <c r="E26" s="296" t="s">
        <v>246</v>
      </c>
      <c r="F26" s="295"/>
      <c r="G26" s="296">
        <v>2</v>
      </c>
      <c r="H26" s="296" t="s">
        <v>6359</v>
      </c>
      <c r="I26" s="295"/>
      <c r="J26" s="295"/>
      <c r="K26" s="295"/>
      <c r="L26" s="295"/>
      <c r="M26" s="295"/>
      <c r="N26" s="297"/>
      <c r="O26" s="294" t="s">
        <v>6517</v>
      </c>
      <c r="P26" s="295"/>
      <c r="Q26" s="294" t="s">
        <v>6496</v>
      </c>
      <c r="R26" s="294" t="s">
        <v>6518</v>
      </c>
      <c r="S26" s="296" t="s">
        <v>82</v>
      </c>
      <c r="T26" s="286" t="s">
        <v>6519</v>
      </c>
      <c r="U26" s="286" t="s">
        <v>6498</v>
      </c>
      <c r="V26" s="298" t="s">
        <v>6377</v>
      </c>
      <c r="W26" s="299" t="s">
        <v>6364</v>
      </c>
      <c r="X26" s="299" t="s">
        <v>100</v>
      </c>
      <c r="Y26" s="299">
        <v>100</v>
      </c>
      <c r="Z26" s="299" t="s">
        <v>6364</v>
      </c>
      <c r="AA26" s="298">
        <v>0</v>
      </c>
      <c r="AB26" s="300" t="s">
        <v>6520</v>
      </c>
      <c r="AC26" s="298" t="s">
        <v>6379</v>
      </c>
      <c r="AD26" s="299" t="s">
        <v>6364</v>
      </c>
      <c r="AE26" s="301" t="s">
        <v>6367</v>
      </c>
      <c r="AF26" s="302"/>
      <c r="AG26" s="302"/>
      <c r="AH26" s="302"/>
      <c r="AI26" s="303"/>
      <c r="AJ26" s="303"/>
      <c r="AK26" s="303"/>
      <c r="AL26" s="303"/>
      <c r="AM26" s="303"/>
      <c r="AN26" s="304"/>
      <c r="AO26" s="304"/>
      <c r="AP26" s="302"/>
      <c r="AQ26" s="302"/>
      <c r="AR26" s="304"/>
      <c r="AS26" s="304"/>
      <c r="AT26" s="304"/>
      <c r="AU26" s="305" t="s">
        <v>6368</v>
      </c>
      <c r="AV26" s="306"/>
      <c r="AW26" s="306"/>
    </row>
    <row r="27" spans="1:49" ht="105">
      <c r="A27" s="293" t="s">
        <v>6521</v>
      </c>
      <c r="B27" s="294" t="s">
        <v>6522</v>
      </c>
      <c r="C27" s="294" t="s">
        <v>6523</v>
      </c>
      <c r="D27" s="295" t="s">
        <v>6416</v>
      </c>
      <c r="E27" s="296" t="s">
        <v>246</v>
      </c>
      <c r="F27" s="295"/>
      <c r="G27" s="296">
        <v>2</v>
      </c>
      <c r="H27" s="296" t="s">
        <v>6359</v>
      </c>
      <c r="I27" s="295"/>
      <c r="J27" s="295"/>
      <c r="K27" s="295"/>
      <c r="L27" s="295"/>
      <c r="M27" s="295"/>
      <c r="N27" s="297"/>
      <c r="O27" s="294"/>
      <c r="P27" s="295"/>
      <c r="Q27" s="316" t="s">
        <v>6524</v>
      </c>
      <c r="R27" s="320" t="s">
        <v>6525</v>
      </c>
      <c r="S27" s="296" t="s">
        <v>82</v>
      </c>
      <c r="T27" s="310" t="s">
        <v>6526</v>
      </c>
      <c r="U27" s="321" t="s">
        <v>6527</v>
      </c>
      <c r="V27" s="322">
        <v>250</v>
      </c>
      <c r="W27" s="299" t="s">
        <v>6364</v>
      </c>
      <c r="X27" s="318" t="s">
        <v>100</v>
      </c>
      <c r="Y27" s="318">
        <v>50</v>
      </c>
      <c r="Z27" s="318" t="s">
        <v>6364</v>
      </c>
      <c r="AA27" s="298">
        <v>0</v>
      </c>
      <c r="AB27" s="323" t="s">
        <v>6528</v>
      </c>
      <c r="AC27" s="318" t="s">
        <v>6366</v>
      </c>
      <c r="AD27" s="299"/>
      <c r="AE27" s="301" t="s">
        <v>6367</v>
      </c>
      <c r="AF27" s="302"/>
      <c r="AG27" s="302"/>
      <c r="AH27" s="302"/>
      <c r="AI27" s="303"/>
      <c r="AJ27" s="303"/>
      <c r="AK27" s="303"/>
      <c r="AL27" s="303"/>
      <c r="AM27" s="303"/>
      <c r="AN27" s="304"/>
      <c r="AO27" s="304"/>
      <c r="AP27" s="302"/>
      <c r="AQ27" s="302"/>
      <c r="AR27" s="304"/>
      <c r="AS27" s="304"/>
      <c r="AT27" s="304"/>
      <c r="AU27" s="305" t="s">
        <v>6368</v>
      </c>
      <c r="AV27" s="306"/>
      <c r="AW27" s="306"/>
    </row>
    <row r="28" spans="1:49" ht="105">
      <c r="A28" s="293" t="s">
        <v>6529</v>
      </c>
      <c r="B28" s="294" t="s">
        <v>6530</v>
      </c>
      <c r="C28" s="294" t="s">
        <v>6531</v>
      </c>
      <c r="D28" s="295" t="s">
        <v>6416</v>
      </c>
      <c r="E28" s="296" t="s">
        <v>246</v>
      </c>
      <c r="F28" s="295"/>
      <c r="G28" s="296">
        <v>2</v>
      </c>
      <c r="H28" s="296" t="s">
        <v>6359</v>
      </c>
      <c r="I28" s="295"/>
      <c r="J28" s="295"/>
      <c r="K28" s="295"/>
      <c r="L28" s="295"/>
      <c r="M28" s="295"/>
      <c r="N28" s="297"/>
      <c r="O28" s="294"/>
      <c r="P28" s="295"/>
      <c r="Q28" s="316" t="s">
        <v>6532</v>
      </c>
      <c r="R28" s="320" t="s">
        <v>6525</v>
      </c>
      <c r="S28" s="296" t="s">
        <v>82</v>
      </c>
      <c r="T28" s="310" t="s">
        <v>6526</v>
      </c>
      <c r="U28" s="321" t="s">
        <v>6533</v>
      </c>
      <c r="V28" s="322">
        <v>250</v>
      </c>
      <c r="W28" s="299" t="s">
        <v>6364</v>
      </c>
      <c r="X28" s="318" t="s">
        <v>100</v>
      </c>
      <c r="Y28" s="318">
        <v>50</v>
      </c>
      <c r="Z28" s="318" t="s">
        <v>6364</v>
      </c>
      <c r="AA28" s="298">
        <v>0</v>
      </c>
      <c r="AB28" s="323" t="s">
        <v>6534</v>
      </c>
      <c r="AC28" s="318" t="s">
        <v>6366</v>
      </c>
      <c r="AD28" s="299"/>
      <c r="AE28" s="301" t="s">
        <v>6367</v>
      </c>
      <c r="AF28" s="302"/>
      <c r="AG28" s="302"/>
      <c r="AH28" s="302"/>
      <c r="AI28" s="303"/>
      <c r="AJ28" s="303"/>
      <c r="AK28" s="303"/>
      <c r="AL28" s="303"/>
      <c r="AM28" s="303"/>
      <c r="AN28" s="304"/>
      <c r="AO28" s="304"/>
      <c r="AP28" s="302"/>
      <c r="AQ28" s="302"/>
      <c r="AR28" s="304"/>
      <c r="AS28" s="304"/>
      <c r="AT28" s="304"/>
      <c r="AU28" s="305" t="s">
        <v>6368</v>
      </c>
      <c r="AV28" s="306"/>
      <c r="AW28" s="306"/>
    </row>
    <row r="29" spans="1:49" ht="75">
      <c r="A29" s="324" t="s">
        <v>6535</v>
      </c>
      <c r="B29" s="325" t="s">
        <v>6536</v>
      </c>
      <c r="C29" s="325" t="s">
        <v>6537</v>
      </c>
      <c r="D29" s="326" t="s">
        <v>74</v>
      </c>
      <c r="E29" s="327" t="s">
        <v>246</v>
      </c>
      <c r="F29" s="326"/>
      <c r="G29" s="327">
        <v>2</v>
      </c>
      <c r="H29" s="327" t="s">
        <v>6359</v>
      </c>
      <c r="I29" s="326"/>
      <c r="J29" s="326"/>
      <c r="K29" s="326"/>
      <c r="L29" s="326"/>
      <c r="M29" s="326"/>
      <c r="N29" s="328"/>
      <c r="O29" s="325" t="s">
        <v>6538</v>
      </c>
      <c r="P29" s="326"/>
      <c r="Q29" s="325" t="s">
        <v>6539</v>
      </c>
      <c r="R29" s="294" t="s">
        <v>6540</v>
      </c>
      <c r="S29" s="296" t="s">
        <v>82</v>
      </c>
      <c r="T29" s="286" t="s">
        <v>6541</v>
      </c>
      <c r="U29" s="286" t="s">
        <v>6542</v>
      </c>
      <c r="V29" s="318">
        <v>45</v>
      </c>
      <c r="W29" s="299" t="s">
        <v>6364</v>
      </c>
      <c r="X29" s="299" t="s">
        <v>100</v>
      </c>
      <c r="Y29" s="299">
        <v>15</v>
      </c>
      <c r="Z29" s="299" t="s">
        <v>6364</v>
      </c>
      <c r="AA29" s="298">
        <v>0</v>
      </c>
      <c r="AB29" s="300" t="s">
        <v>6543</v>
      </c>
      <c r="AC29" s="329">
        <v>45</v>
      </c>
      <c r="AD29" s="329" t="s">
        <v>6364</v>
      </c>
      <c r="AE29" s="330" t="s">
        <v>6367</v>
      </c>
      <c r="AF29" s="331"/>
      <c r="AG29" s="331"/>
      <c r="AH29" s="331"/>
      <c r="AI29" s="332"/>
      <c r="AJ29" s="332"/>
      <c r="AK29" s="332"/>
      <c r="AL29" s="332"/>
      <c r="AM29" s="332"/>
      <c r="AN29" s="333"/>
      <c r="AO29" s="333"/>
      <c r="AP29" s="331"/>
      <c r="AQ29" s="331"/>
      <c r="AR29" s="333"/>
      <c r="AS29" s="333"/>
      <c r="AT29" s="333"/>
      <c r="AU29" s="334" t="s">
        <v>6368</v>
      </c>
      <c r="AV29" s="306"/>
      <c r="AW29" s="306"/>
    </row>
    <row r="30" spans="1:49" ht="90">
      <c r="A30" s="324" t="s">
        <v>6544</v>
      </c>
      <c r="B30" s="325" t="s">
        <v>6545</v>
      </c>
      <c r="C30" s="325" t="s">
        <v>6546</v>
      </c>
      <c r="D30" s="326" t="s">
        <v>74</v>
      </c>
      <c r="E30" s="327" t="s">
        <v>246</v>
      </c>
      <c r="F30" s="326"/>
      <c r="G30" s="327">
        <v>2</v>
      </c>
      <c r="H30" s="327" t="s">
        <v>6359</v>
      </c>
      <c r="I30" s="326"/>
      <c r="J30" s="326"/>
      <c r="K30" s="326"/>
      <c r="L30" s="326"/>
      <c r="M30" s="326"/>
      <c r="N30" s="328"/>
      <c r="O30" s="325" t="s">
        <v>6547</v>
      </c>
      <c r="P30" s="326"/>
      <c r="Q30" s="325" t="s">
        <v>6548</v>
      </c>
      <c r="R30" s="294" t="s">
        <v>6549</v>
      </c>
      <c r="S30" s="296" t="s">
        <v>82</v>
      </c>
      <c r="T30" s="286" t="s">
        <v>6550</v>
      </c>
      <c r="U30" s="286" t="s">
        <v>6551</v>
      </c>
      <c r="V30" s="318">
        <v>45</v>
      </c>
      <c r="W30" s="299" t="s">
        <v>6364</v>
      </c>
      <c r="X30" s="299" t="s">
        <v>100</v>
      </c>
      <c r="Y30" s="299">
        <v>15</v>
      </c>
      <c r="Z30" s="299" t="s">
        <v>6364</v>
      </c>
      <c r="AA30" s="298">
        <v>0</v>
      </c>
      <c r="AB30" s="300" t="s">
        <v>6552</v>
      </c>
      <c r="AC30" s="329">
        <v>45</v>
      </c>
      <c r="AD30" s="329" t="s">
        <v>6364</v>
      </c>
      <c r="AE30" s="330" t="s">
        <v>6367</v>
      </c>
      <c r="AF30" s="331"/>
      <c r="AG30" s="331"/>
      <c r="AH30" s="331"/>
      <c r="AI30" s="332"/>
      <c r="AJ30" s="332"/>
      <c r="AK30" s="332"/>
      <c r="AL30" s="332"/>
      <c r="AM30" s="332"/>
      <c r="AN30" s="333"/>
      <c r="AO30" s="333"/>
      <c r="AP30" s="331"/>
      <c r="AQ30" s="331"/>
      <c r="AR30" s="333"/>
      <c r="AS30" s="333"/>
      <c r="AT30" s="333"/>
      <c r="AU30" s="334" t="s">
        <v>6368</v>
      </c>
      <c r="AV30" s="306"/>
      <c r="AW30" s="306"/>
    </row>
    <row r="31" spans="1:49" ht="60">
      <c r="A31" s="335" t="s">
        <v>6553</v>
      </c>
      <c r="B31" s="336" t="s">
        <v>6554</v>
      </c>
      <c r="C31" s="336" t="s">
        <v>6555</v>
      </c>
      <c r="D31" s="326" t="s">
        <v>74</v>
      </c>
      <c r="E31" s="327" t="s">
        <v>246</v>
      </c>
      <c r="F31" s="326"/>
      <c r="G31" s="327">
        <v>2</v>
      </c>
      <c r="H31" s="327" t="s">
        <v>6359</v>
      </c>
      <c r="I31" s="326"/>
      <c r="J31" s="326"/>
      <c r="K31" s="326"/>
      <c r="L31" s="326"/>
      <c r="M31" s="326"/>
      <c r="N31" s="328"/>
      <c r="O31" s="325" t="s">
        <v>6556</v>
      </c>
      <c r="P31" s="326"/>
      <c r="Q31" s="325" t="s">
        <v>6557</v>
      </c>
      <c r="R31" s="294" t="s">
        <v>6558</v>
      </c>
      <c r="S31" s="296" t="s">
        <v>82</v>
      </c>
      <c r="T31" s="286" t="s">
        <v>6559</v>
      </c>
      <c r="U31" s="286" t="s">
        <v>6560</v>
      </c>
      <c r="V31" s="318">
        <v>1000</v>
      </c>
      <c r="W31" s="299" t="s">
        <v>6364</v>
      </c>
      <c r="X31" s="299" t="s">
        <v>100</v>
      </c>
      <c r="Y31" s="299">
        <v>20</v>
      </c>
      <c r="Z31" s="299" t="s">
        <v>6364</v>
      </c>
      <c r="AA31" s="298">
        <v>0</v>
      </c>
      <c r="AB31" s="300" t="s">
        <v>6561</v>
      </c>
      <c r="AC31" s="329">
        <v>1000</v>
      </c>
      <c r="AD31" s="329" t="s">
        <v>6364</v>
      </c>
      <c r="AE31" s="330" t="s">
        <v>6367</v>
      </c>
      <c r="AF31" s="331"/>
      <c r="AG31" s="331"/>
      <c r="AH31" s="331"/>
      <c r="AI31" s="332"/>
      <c r="AJ31" s="332"/>
      <c r="AK31" s="332"/>
      <c r="AL31" s="332"/>
      <c r="AM31" s="332"/>
      <c r="AN31" s="333"/>
      <c r="AO31" s="333"/>
      <c r="AP31" s="331"/>
      <c r="AQ31" s="331"/>
      <c r="AR31" s="333"/>
      <c r="AS31" s="333"/>
      <c r="AT31" s="333"/>
      <c r="AU31" s="334" t="s">
        <v>6368</v>
      </c>
      <c r="AV31" s="306"/>
      <c r="AW31" s="306"/>
    </row>
    <row r="32" spans="1:49" ht="135">
      <c r="A32" s="337" t="s">
        <v>6562</v>
      </c>
      <c r="B32" s="338" t="s">
        <v>6563</v>
      </c>
      <c r="C32" s="338" t="s">
        <v>6564</v>
      </c>
      <c r="D32" s="295" t="s">
        <v>74</v>
      </c>
      <c r="E32" s="296" t="s">
        <v>246</v>
      </c>
      <c r="F32" s="295"/>
      <c r="G32" s="296">
        <v>2</v>
      </c>
      <c r="H32" s="296" t="s">
        <v>6359</v>
      </c>
      <c r="I32" s="295"/>
      <c r="J32" s="295"/>
      <c r="K32" s="295"/>
      <c r="L32" s="295"/>
      <c r="M32" s="295"/>
      <c r="N32" s="297"/>
      <c r="O32" s="294" t="s">
        <v>6565</v>
      </c>
      <c r="P32" s="295"/>
      <c r="Q32" s="294" t="s">
        <v>6566</v>
      </c>
      <c r="R32" s="294" t="s">
        <v>6567</v>
      </c>
      <c r="S32" s="296" t="s">
        <v>82</v>
      </c>
      <c r="T32" s="286" t="s">
        <v>6568</v>
      </c>
      <c r="U32" s="286" t="s">
        <v>6569</v>
      </c>
      <c r="V32" s="298" t="s">
        <v>6377</v>
      </c>
      <c r="W32" s="299" t="s">
        <v>6364</v>
      </c>
      <c r="X32" s="299" t="s">
        <v>100</v>
      </c>
      <c r="Y32" s="299">
        <v>100</v>
      </c>
      <c r="Z32" s="299" t="s">
        <v>6364</v>
      </c>
      <c r="AA32" s="298">
        <v>0</v>
      </c>
      <c r="AB32" s="286" t="s">
        <v>6570</v>
      </c>
      <c r="AC32" s="298" t="s">
        <v>6379</v>
      </c>
      <c r="AD32" s="299" t="s">
        <v>6364</v>
      </c>
      <c r="AE32" s="301" t="s">
        <v>6367</v>
      </c>
      <c r="AF32" s="302"/>
      <c r="AG32" s="302"/>
      <c r="AH32" s="302"/>
      <c r="AI32" s="303"/>
      <c r="AJ32" s="303"/>
      <c r="AK32" s="303"/>
      <c r="AL32" s="303"/>
      <c r="AM32" s="303"/>
      <c r="AN32" s="304"/>
      <c r="AO32" s="304"/>
      <c r="AP32" s="302"/>
      <c r="AQ32" s="302"/>
      <c r="AR32" s="304"/>
      <c r="AS32" s="304"/>
      <c r="AT32" s="304"/>
      <c r="AU32" s="305" t="s">
        <v>6368</v>
      </c>
      <c r="AV32" s="306"/>
      <c r="AW32" s="306"/>
    </row>
    <row r="33" spans="1:49" ht="135">
      <c r="A33" s="339" t="s">
        <v>6571</v>
      </c>
      <c r="B33" s="340" t="s">
        <v>6572</v>
      </c>
      <c r="C33" s="340" t="s">
        <v>6573</v>
      </c>
      <c r="D33" s="295" t="s">
        <v>74</v>
      </c>
      <c r="E33" s="296" t="s">
        <v>246</v>
      </c>
      <c r="F33" s="295"/>
      <c r="G33" s="296">
        <v>2</v>
      </c>
      <c r="H33" s="296" t="s">
        <v>6359</v>
      </c>
      <c r="I33" s="295"/>
      <c r="J33" s="295"/>
      <c r="K33" s="295"/>
      <c r="L33" s="295"/>
      <c r="M33" s="295"/>
      <c r="N33" s="297"/>
      <c r="O33" s="294" t="s">
        <v>6565</v>
      </c>
      <c r="P33" s="295"/>
      <c r="Q33" s="294" t="s">
        <v>6566</v>
      </c>
      <c r="R33" s="294" t="s">
        <v>6567</v>
      </c>
      <c r="S33" s="296" t="s">
        <v>82</v>
      </c>
      <c r="T33" s="286" t="s">
        <v>6568</v>
      </c>
      <c r="U33" s="286" t="s">
        <v>6569</v>
      </c>
      <c r="V33" s="298" t="s">
        <v>6377</v>
      </c>
      <c r="W33" s="299" t="s">
        <v>6364</v>
      </c>
      <c r="X33" s="299" t="s">
        <v>100</v>
      </c>
      <c r="Y33" s="299">
        <v>100</v>
      </c>
      <c r="Z33" s="299" t="s">
        <v>6364</v>
      </c>
      <c r="AA33" s="298">
        <v>0</v>
      </c>
      <c r="AB33" s="286" t="s">
        <v>6570</v>
      </c>
      <c r="AC33" s="298" t="s">
        <v>6379</v>
      </c>
      <c r="AD33" s="299" t="s">
        <v>6364</v>
      </c>
      <c r="AE33" s="301" t="s">
        <v>6367</v>
      </c>
      <c r="AF33" s="302"/>
      <c r="AG33" s="302"/>
      <c r="AH33" s="302"/>
      <c r="AI33" s="303"/>
      <c r="AJ33" s="303"/>
      <c r="AK33" s="303"/>
      <c r="AL33" s="303"/>
      <c r="AM33" s="303"/>
      <c r="AN33" s="304"/>
      <c r="AO33" s="304"/>
      <c r="AP33" s="302"/>
      <c r="AQ33" s="302"/>
      <c r="AR33" s="304"/>
      <c r="AS33" s="304"/>
      <c r="AT33" s="304"/>
      <c r="AU33" s="305" t="s">
        <v>6368</v>
      </c>
      <c r="AV33" s="306"/>
      <c r="AW33" s="306"/>
    </row>
    <row r="34" spans="1:49" ht="135">
      <c r="A34" s="339" t="s">
        <v>6574</v>
      </c>
      <c r="B34" s="340" t="s">
        <v>6575</v>
      </c>
      <c r="C34" s="340" t="s">
        <v>6576</v>
      </c>
      <c r="D34" s="295" t="s">
        <v>74</v>
      </c>
      <c r="E34" s="296" t="s">
        <v>246</v>
      </c>
      <c r="F34" s="295"/>
      <c r="G34" s="296">
        <v>2</v>
      </c>
      <c r="H34" s="296" t="s">
        <v>6359</v>
      </c>
      <c r="I34" s="295"/>
      <c r="J34" s="295"/>
      <c r="K34" s="295"/>
      <c r="L34" s="295"/>
      <c r="M34" s="295"/>
      <c r="N34" s="297"/>
      <c r="O34" s="294" t="s">
        <v>6565</v>
      </c>
      <c r="P34" s="295"/>
      <c r="Q34" s="294" t="s">
        <v>6566</v>
      </c>
      <c r="R34" s="294" t="s">
        <v>6567</v>
      </c>
      <c r="S34" s="296" t="s">
        <v>82</v>
      </c>
      <c r="T34" s="286" t="s">
        <v>6568</v>
      </c>
      <c r="U34" s="286" t="s">
        <v>6569</v>
      </c>
      <c r="V34" s="298" t="s">
        <v>6377</v>
      </c>
      <c r="W34" s="299" t="s">
        <v>6364</v>
      </c>
      <c r="X34" s="299" t="s">
        <v>100</v>
      </c>
      <c r="Y34" s="299">
        <v>100</v>
      </c>
      <c r="Z34" s="299" t="s">
        <v>6364</v>
      </c>
      <c r="AA34" s="298">
        <v>0</v>
      </c>
      <c r="AB34" s="286" t="s">
        <v>6570</v>
      </c>
      <c r="AC34" s="298" t="s">
        <v>6379</v>
      </c>
      <c r="AD34" s="299" t="s">
        <v>6364</v>
      </c>
      <c r="AE34" s="301" t="s">
        <v>6367</v>
      </c>
      <c r="AF34" s="302"/>
      <c r="AG34" s="302"/>
      <c r="AH34" s="302"/>
      <c r="AI34" s="303"/>
      <c r="AJ34" s="303"/>
      <c r="AK34" s="303"/>
      <c r="AL34" s="303"/>
      <c r="AM34" s="303"/>
      <c r="AN34" s="304"/>
      <c r="AO34" s="304"/>
      <c r="AP34" s="302"/>
      <c r="AQ34" s="302"/>
      <c r="AR34" s="304"/>
      <c r="AS34" s="304"/>
      <c r="AT34" s="304"/>
      <c r="AU34" s="305" t="s">
        <v>6368</v>
      </c>
      <c r="AV34" s="306"/>
      <c r="AW34" s="306"/>
    </row>
    <row r="35" spans="1:49" ht="135">
      <c r="A35" s="339" t="s">
        <v>6577</v>
      </c>
      <c r="B35" s="340" t="s">
        <v>6578</v>
      </c>
      <c r="C35" s="340" t="s">
        <v>6579</v>
      </c>
      <c r="D35" s="295" t="s">
        <v>74</v>
      </c>
      <c r="E35" s="296" t="s">
        <v>246</v>
      </c>
      <c r="F35" s="295"/>
      <c r="G35" s="296">
        <v>2</v>
      </c>
      <c r="H35" s="296" t="s">
        <v>6359</v>
      </c>
      <c r="I35" s="295"/>
      <c r="J35" s="295"/>
      <c r="K35" s="295"/>
      <c r="L35" s="295"/>
      <c r="M35" s="295"/>
      <c r="N35" s="297"/>
      <c r="O35" s="294" t="s">
        <v>6565</v>
      </c>
      <c r="P35" s="295"/>
      <c r="Q35" s="294" t="s">
        <v>6566</v>
      </c>
      <c r="R35" s="294" t="s">
        <v>6567</v>
      </c>
      <c r="S35" s="296" t="s">
        <v>82</v>
      </c>
      <c r="T35" s="286" t="s">
        <v>6568</v>
      </c>
      <c r="U35" s="286" t="s">
        <v>6569</v>
      </c>
      <c r="V35" s="298" t="s">
        <v>6377</v>
      </c>
      <c r="W35" s="299" t="s">
        <v>6364</v>
      </c>
      <c r="X35" s="299" t="s">
        <v>100</v>
      </c>
      <c r="Y35" s="299">
        <v>100</v>
      </c>
      <c r="Z35" s="299" t="s">
        <v>6364</v>
      </c>
      <c r="AA35" s="298">
        <v>0</v>
      </c>
      <c r="AB35" s="286" t="s">
        <v>6570</v>
      </c>
      <c r="AC35" s="298" t="s">
        <v>6379</v>
      </c>
      <c r="AD35" s="299" t="s">
        <v>6364</v>
      </c>
      <c r="AE35" s="301" t="s">
        <v>6367</v>
      </c>
      <c r="AF35" s="302"/>
      <c r="AG35" s="302"/>
      <c r="AH35" s="302"/>
      <c r="AI35" s="303"/>
      <c r="AJ35" s="303"/>
      <c r="AK35" s="303"/>
      <c r="AL35" s="303"/>
      <c r="AM35" s="303"/>
      <c r="AN35" s="304"/>
      <c r="AO35" s="304"/>
      <c r="AP35" s="302"/>
      <c r="AQ35" s="302"/>
      <c r="AR35" s="304"/>
      <c r="AS35" s="304"/>
      <c r="AT35" s="304"/>
      <c r="AU35" s="305" t="s">
        <v>6368</v>
      </c>
      <c r="AV35" s="306"/>
      <c r="AW35" s="306"/>
    </row>
    <row r="36" spans="1:49" ht="267.60000000000002" customHeight="1">
      <c r="A36" s="339" t="s">
        <v>6580</v>
      </c>
      <c r="B36" s="340" t="s">
        <v>6581</v>
      </c>
      <c r="C36" s="340" t="s">
        <v>6582</v>
      </c>
      <c r="D36" s="295" t="s">
        <v>74</v>
      </c>
      <c r="E36" s="296" t="s">
        <v>246</v>
      </c>
      <c r="F36" s="295"/>
      <c r="G36" s="296">
        <v>2</v>
      </c>
      <c r="H36" s="296" t="s">
        <v>6359</v>
      </c>
      <c r="I36" s="295"/>
      <c r="J36" s="295"/>
      <c r="K36" s="295"/>
      <c r="L36" s="295"/>
      <c r="M36" s="295"/>
      <c r="N36" s="297"/>
      <c r="O36" s="294" t="s">
        <v>6583</v>
      </c>
      <c r="P36" s="295"/>
      <c r="Q36" s="294" t="s">
        <v>6584</v>
      </c>
      <c r="R36" s="294" t="s">
        <v>6585</v>
      </c>
      <c r="S36" s="296" t="s">
        <v>82</v>
      </c>
      <c r="T36" s="341" t="s">
        <v>6586</v>
      </c>
      <c r="U36" s="294" t="s">
        <v>6584</v>
      </c>
      <c r="V36" s="298" t="s">
        <v>6377</v>
      </c>
      <c r="W36" s="299" t="s">
        <v>6364</v>
      </c>
      <c r="X36" s="299" t="s">
        <v>100</v>
      </c>
      <c r="Y36" s="299">
        <v>100</v>
      </c>
      <c r="Z36" s="299" t="s">
        <v>6364</v>
      </c>
      <c r="AA36" s="298">
        <v>0</v>
      </c>
      <c r="AB36" s="300" t="s">
        <v>6587</v>
      </c>
      <c r="AC36" s="298" t="s">
        <v>6379</v>
      </c>
      <c r="AD36" s="299" t="s">
        <v>6364</v>
      </c>
      <c r="AE36" s="301" t="s">
        <v>6367</v>
      </c>
      <c r="AF36" s="302"/>
      <c r="AG36" s="302"/>
      <c r="AH36" s="302"/>
      <c r="AI36" s="303"/>
      <c r="AJ36" s="303"/>
      <c r="AK36" s="303"/>
      <c r="AL36" s="303"/>
      <c r="AM36" s="303"/>
      <c r="AN36" s="304"/>
      <c r="AO36" s="304"/>
      <c r="AP36" s="302"/>
      <c r="AQ36" s="302"/>
      <c r="AR36" s="304"/>
      <c r="AS36" s="304"/>
      <c r="AT36" s="304"/>
      <c r="AU36" s="305" t="s">
        <v>6368</v>
      </c>
      <c r="AV36" s="306"/>
      <c r="AW36" s="306"/>
    </row>
    <row r="37" spans="1:49" ht="180">
      <c r="A37" s="339" t="s">
        <v>6588</v>
      </c>
      <c r="B37" s="340" t="s">
        <v>6589</v>
      </c>
      <c r="C37" s="340" t="s">
        <v>6590</v>
      </c>
      <c r="D37" s="295" t="s">
        <v>74</v>
      </c>
      <c r="E37" s="296" t="s">
        <v>246</v>
      </c>
      <c r="F37" s="295"/>
      <c r="G37" s="296">
        <v>2</v>
      </c>
      <c r="H37" s="296" t="s">
        <v>6359</v>
      </c>
      <c r="I37" s="295"/>
      <c r="J37" s="295"/>
      <c r="K37" s="295"/>
      <c r="L37" s="295"/>
      <c r="M37" s="295"/>
      <c r="N37" s="297"/>
      <c r="O37" s="294" t="s">
        <v>6583</v>
      </c>
      <c r="P37" s="295"/>
      <c r="Q37" s="294" t="s">
        <v>6584</v>
      </c>
      <c r="R37" s="294" t="s">
        <v>6585</v>
      </c>
      <c r="S37" s="296" t="s">
        <v>82</v>
      </c>
      <c r="T37" s="341" t="s">
        <v>6586</v>
      </c>
      <c r="U37" s="294" t="s">
        <v>6584</v>
      </c>
      <c r="V37" s="298" t="s">
        <v>6377</v>
      </c>
      <c r="W37" s="299" t="s">
        <v>6364</v>
      </c>
      <c r="X37" s="299" t="s">
        <v>100</v>
      </c>
      <c r="Y37" s="299">
        <v>100</v>
      </c>
      <c r="Z37" s="299" t="s">
        <v>6364</v>
      </c>
      <c r="AA37" s="298">
        <v>0</v>
      </c>
      <c r="AB37" s="300" t="s">
        <v>6587</v>
      </c>
      <c r="AC37" s="298" t="s">
        <v>6379</v>
      </c>
      <c r="AD37" s="299" t="s">
        <v>6364</v>
      </c>
      <c r="AE37" s="301" t="s">
        <v>6367</v>
      </c>
      <c r="AF37" s="302"/>
      <c r="AG37" s="302"/>
      <c r="AH37" s="302"/>
      <c r="AI37" s="303"/>
      <c r="AJ37" s="303"/>
      <c r="AK37" s="303"/>
      <c r="AL37" s="303"/>
      <c r="AM37" s="303"/>
      <c r="AN37" s="304"/>
      <c r="AO37" s="304"/>
      <c r="AP37" s="302"/>
      <c r="AQ37" s="302"/>
      <c r="AR37" s="304"/>
      <c r="AS37" s="304"/>
      <c r="AT37" s="304"/>
      <c r="AU37" s="305" t="s">
        <v>6368</v>
      </c>
      <c r="AV37" s="306"/>
      <c r="AW37" s="306"/>
    </row>
    <row r="38" spans="1:49" ht="180">
      <c r="A38" s="339" t="s">
        <v>6591</v>
      </c>
      <c r="B38" s="340" t="s">
        <v>6592</v>
      </c>
      <c r="C38" s="340" t="s">
        <v>6593</v>
      </c>
      <c r="D38" s="295" t="s">
        <v>74</v>
      </c>
      <c r="E38" s="296" t="s">
        <v>246</v>
      </c>
      <c r="F38" s="295"/>
      <c r="G38" s="296">
        <v>2</v>
      </c>
      <c r="H38" s="296" t="s">
        <v>6359</v>
      </c>
      <c r="I38" s="295"/>
      <c r="J38" s="295"/>
      <c r="K38" s="295"/>
      <c r="L38" s="295"/>
      <c r="M38" s="295"/>
      <c r="N38" s="297"/>
      <c r="O38" s="294" t="s">
        <v>6583</v>
      </c>
      <c r="P38" s="295"/>
      <c r="Q38" s="294" t="s">
        <v>6584</v>
      </c>
      <c r="R38" s="294" t="s">
        <v>6585</v>
      </c>
      <c r="S38" s="296" t="s">
        <v>82</v>
      </c>
      <c r="T38" s="341" t="s">
        <v>6586</v>
      </c>
      <c r="U38" s="294" t="s">
        <v>6584</v>
      </c>
      <c r="V38" s="298" t="s">
        <v>6377</v>
      </c>
      <c r="W38" s="299" t="s">
        <v>6364</v>
      </c>
      <c r="X38" s="299" t="s">
        <v>100</v>
      </c>
      <c r="Y38" s="299">
        <v>100</v>
      </c>
      <c r="Z38" s="299" t="s">
        <v>6364</v>
      </c>
      <c r="AA38" s="298">
        <v>0</v>
      </c>
      <c r="AB38" s="300" t="s">
        <v>6587</v>
      </c>
      <c r="AC38" s="298" t="s">
        <v>6379</v>
      </c>
      <c r="AD38" s="299" t="s">
        <v>6364</v>
      </c>
      <c r="AE38" s="301" t="s">
        <v>6367</v>
      </c>
      <c r="AF38" s="302"/>
      <c r="AG38" s="302"/>
      <c r="AH38" s="302"/>
      <c r="AI38" s="303"/>
      <c r="AJ38" s="303"/>
      <c r="AK38" s="303"/>
      <c r="AL38" s="303"/>
      <c r="AM38" s="303"/>
      <c r="AN38" s="304"/>
      <c r="AO38" s="304"/>
      <c r="AP38" s="302"/>
      <c r="AQ38" s="302"/>
      <c r="AR38" s="304"/>
      <c r="AS38" s="304"/>
      <c r="AT38" s="304"/>
      <c r="AU38" s="305" t="s">
        <v>6368</v>
      </c>
      <c r="AV38" s="306"/>
      <c r="AW38" s="306"/>
    </row>
    <row r="39" spans="1:49" ht="180">
      <c r="A39" s="339" t="s">
        <v>6594</v>
      </c>
      <c r="B39" s="340" t="s">
        <v>6595</v>
      </c>
      <c r="C39" s="340" t="s">
        <v>6596</v>
      </c>
      <c r="D39" s="295" t="s">
        <v>74</v>
      </c>
      <c r="E39" s="296" t="s">
        <v>246</v>
      </c>
      <c r="F39" s="295"/>
      <c r="G39" s="296">
        <v>2</v>
      </c>
      <c r="H39" s="296" t="s">
        <v>6359</v>
      </c>
      <c r="I39" s="295"/>
      <c r="J39" s="295"/>
      <c r="K39" s="295"/>
      <c r="L39" s="295"/>
      <c r="M39" s="295"/>
      <c r="N39" s="297"/>
      <c r="O39" s="294" t="s">
        <v>6583</v>
      </c>
      <c r="P39" s="295"/>
      <c r="Q39" s="294" t="s">
        <v>6584</v>
      </c>
      <c r="R39" s="294" t="s">
        <v>6585</v>
      </c>
      <c r="S39" s="296" t="s">
        <v>82</v>
      </c>
      <c r="T39" s="341" t="s">
        <v>6586</v>
      </c>
      <c r="U39" s="294" t="s">
        <v>6584</v>
      </c>
      <c r="V39" s="298" t="s">
        <v>6377</v>
      </c>
      <c r="W39" s="299" t="s">
        <v>6364</v>
      </c>
      <c r="X39" s="299" t="s">
        <v>100</v>
      </c>
      <c r="Y39" s="299">
        <v>100</v>
      </c>
      <c r="Z39" s="299" t="s">
        <v>6364</v>
      </c>
      <c r="AA39" s="298">
        <v>0</v>
      </c>
      <c r="AB39" s="300" t="s">
        <v>6587</v>
      </c>
      <c r="AC39" s="298" t="s">
        <v>6379</v>
      </c>
      <c r="AD39" s="299" t="s">
        <v>6364</v>
      </c>
      <c r="AE39" s="301" t="s">
        <v>6367</v>
      </c>
      <c r="AF39" s="302"/>
      <c r="AG39" s="302"/>
      <c r="AH39" s="302"/>
      <c r="AI39" s="303"/>
      <c r="AJ39" s="303"/>
      <c r="AK39" s="303"/>
      <c r="AL39" s="303"/>
      <c r="AM39" s="303"/>
      <c r="AN39" s="304"/>
      <c r="AO39" s="304"/>
      <c r="AP39" s="302"/>
      <c r="AQ39" s="302"/>
      <c r="AR39" s="304"/>
      <c r="AS39" s="304"/>
      <c r="AT39" s="304"/>
      <c r="AU39" s="305" t="s">
        <v>6368</v>
      </c>
      <c r="AV39" s="306"/>
      <c r="AW39" s="306"/>
    </row>
    <row r="40" spans="1:49" ht="180">
      <c r="A40" s="339" t="s">
        <v>6597</v>
      </c>
      <c r="B40" s="340" t="s">
        <v>6598</v>
      </c>
      <c r="C40" s="340" t="s">
        <v>6599</v>
      </c>
      <c r="D40" s="295" t="s">
        <v>74</v>
      </c>
      <c r="E40" s="296" t="s">
        <v>246</v>
      </c>
      <c r="F40" s="295"/>
      <c r="G40" s="296">
        <v>2</v>
      </c>
      <c r="H40" s="296" t="s">
        <v>6359</v>
      </c>
      <c r="I40" s="295"/>
      <c r="J40" s="295"/>
      <c r="K40" s="295"/>
      <c r="L40" s="295"/>
      <c r="M40" s="295"/>
      <c r="N40" s="297"/>
      <c r="O40" s="294" t="s">
        <v>6600</v>
      </c>
      <c r="P40" s="295"/>
      <c r="Q40" s="294" t="s">
        <v>6601</v>
      </c>
      <c r="R40" s="294" t="s">
        <v>6585</v>
      </c>
      <c r="S40" s="296" t="s">
        <v>82</v>
      </c>
      <c r="T40" s="341" t="s">
        <v>6586</v>
      </c>
      <c r="U40" s="294" t="s">
        <v>6601</v>
      </c>
      <c r="V40" s="298" t="s">
        <v>6377</v>
      </c>
      <c r="W40" s="299" t="s">
        <v>6364</v>
      </c>
      <c r="X40" s="299" t="s">
        <v>100</v>
      </c>
      <c r="Y40" s="299">
        <v>100</v>
      </c>
      <c r="Z40" s="299" t="s">
        <v>6364</v>
      </c>
      <c r="AA40" s="298">
        <v>0</v>
      </c>
      <c r="AB40" s="300" t="s">
        <v>6602</v>
      </c>
      <c r="AC40" s="298" t="s">
        <v>6379</v>
      </c>
      <c r="AD40" s="299" t="s">
        <v>6364</v>
      </c>
      <c r="AE40" s="301" t="s">
        <v>6367</v>
      </c>
      <c r="AF40" s="302"/>
      <c r="AG40" s="302"/>
      <c r="AH40" s="302"/>
      <c r="AI40" s="303"/>
      <c r="AJ40" s="303"/>
      <c r="AK40" s="303"/>
      <c r="AL40" s="303"/>
      <c r="AM40" s="303"/>
      <c r="AN40" s="304"/>
      <c r="AO40" s="304"/>
      <c r="AP40" s="302"/>
      <c r="AQ40" s="302"/>
      <c r="AR40" s="304"/>
      <c r="AS40" s="304"/>
      <c r="AT40" s="304"/>
      <c r="AU40" s="305" t="s">
        <v>6368</v>
      </c>
      <c r="AV40" s="306"/>
      <c r="AW40" s="306"/>
    </row>
    <row r="41" spans="1:49" ht="180">
      <c r="A41" s="339" t="s">
        <v>6603</v>
      </c>
      <c r="B41" s="340" t="s">
        <v>6604</v>
      </c>
      <c r="C41" s="340" t="s">
        <v>6605</v>
      </c>
      <c r="D41" s="295" t="s">
        <v>74</v>
      </c>
      <c r="E41" s="296" t="s">
        <v>246</v>
      </c>
      <c r="F41" s="295"/>
      <c r="G41" s="296">
        <v>2</v>
      </c>
      <c r="H41" s="296" t="s">
        <v>6359</v>
      </c>
      <c r="I41" s="295"/>
      <c r="J41" s="295"/>
      <c r="K41" s="295"/>
      <c r="L41" s="295"/>
      <c r="M41" s="295"/>
      <c r="N41" s="297"/>
      <c r="O41" s="294" t="s">
        <v>6600</v>
      </c>
      <c r="P41" s="295"/>
      <c r="Q41" s="294" t="s">
        <v>6601</v>
      </c>
      <c r="R41" s="294" t="s">
        <v>6585</v>
      </c>
      <c r="S41" s="296" t="s">
        <v>82</v>
      </c>
      <c r="T41" s="341" t="s">
        <v>6586</v>
      </c>
      <c r="U41" s="294" t="s">
        <v>6601</v>
      </c>
      <c r="V41" s="298" t="s">
        <v>6377</v>
      </c>
      <c r="W41" s="299" t="s">
        <v>6364</v>
      </c>
      <c r="X41" s="299" t="s">
        <v>100</v>
      </c>
      <c r="Y41" s="299">
        <v>100</v>
      </c>
      <c r="Z41" s="299" t="s">
        <v>6364</v>
      </c>
      <c r="AA41" s="298">
        <v>0</v>
      </c>
      <c r="AB41" s="300" t="s">
        <v>6602</v>
      </c>
      <c r="AC41" s="298" t="s">
        <v>6379</v>
      </c>
      <c r="AD41" s="299" t="s">
        <v>6364</v>
      </c>
      <c r="AE41" s="301" t="s">
        <v>6367</v>
      </c>
      <c r="AF41" s="302"/>
      <c r="AG41" s="302"/>
      <c r="AH41" s="302"/>
      <c r="AI41" s="303"/>
      <c r="AJ41" s="303"/>
      <c r="AK41" s="303"/>
      <c r="AL41" s="303"/>
      <c r="AM41" s="303"/>
      <c r="AN41" s="304"/>
      <c r="AO41" s="304"/>
      <c r="AP41" s="302"/>
      <c r="AQ41" s="302"/>
      <c r="AR41" s="304"/>
      <c r="AS41" s="304"/>
      <c r="AT41" s="304"/>
      <c r="AU41" s="305" t="s">
        <v>6368</v>
      </c>
      <c r="AV41" s="306"/>
      <c r="AW41" s="306"/>
    </row>
    <row r="42" spans="1:49" ht="180">
      <c r="A42" s="339" t="s">
        <v>6606</v>
      </c>
      <c r="B42" s="340" t="s">
        <v>6607</v>
      </c>
      <c r="C42" s="340" t="s">
        <v>6608</v>
      </c>
      <c r="D42" s="295" t="s">
        <v>74</v>
      </c>
      <c r="E42" s="296" t="s">
        <v>246</v>
      </c>
      <c r="F42" s="295"/>
      <c r="G42" s="296">
        <v>2</v>
      </c>
      <c r="H42" s="296" t="s">
        <v>6359</v>
      </c>
      <c r="I42" s="295"/>
      <c r="J42" s="295"/>
      <c r="K42" s="295"/>
      <c r="L42" s="295"/>
      <c r="M42" s="295"/>
      <c r="N42" s="297"/>
      <c r="O42" s="294" t="s">
        <v>6600</v>
      </c>
      <c r="P42" s="295"/>
      <c r="Q42" s="294" t="s">
        <v>6601</v>
      </c>
      <c r="R42" s="294" t="s">
        <v>6585</v>
      </c>
      <c r="S42" s="296" t="s">
        <v>82</v>
      </c>
      <c r="T42" s="341" t="s">
        <v>6586</v>
      </c>
      <c r="U42" s="294" t="s">
        <v>6601</v>
      </c>
      <c r="V42" s="298" t="s">
        <v>6377</v>
      </c>
      <c r="W42" s="299" t="s">
        <v>6364</v>
      </c>
      <c r="X42" s="299" t="s">
        <v>100</v>
      </c>
      <c r="Y42" s="299">
        <v>100</v>
      </c>
      <c r="Z42" s="299" t="s">
        <v>6364</v>
      </c>
      <c r="AA42" s="298">
        <v>0</v>
      </c>
      <c r="AB42" s="300" t="s">
        <v>6602</v>
      </c>
      <c r="AC42" s="298" t="s">
        <v>6379</v>
      </c>
      <c r="AD42" s="299" t="s">
        <v>6364</v>
      </c>
      <c r="AE42" s="301" t="s">
        <v>6367</v>
      </c>
      <c r="AF42" s="302"/>
      <c r="AG42" s="302"/>
      <c r="AH42" s="302"/>
      <c r="AI42" s="303"/>
      <c r="AJ42" s="303"/>
      <c r="AK42" s="303"/>
      <c r="AL42" s="303"/>
      <c r="AM42" s="303"/>
      <c r="AN42" s="304"/>
      <c r="AO42" s="304"/>
      <c r="AP42" s="302"/>
      <c r="AQ42" s="302"/>
      <c r="AR42" s="304"/>
      <c r="AS42" s="304"/>
      <c r="AT42" s="304"/>
      <c r="AU42" s="305" t="s">
        <v>6368</v>
      </c>
      <c r="AV42" s="306"/>
      <c r="AW42" s="306"/>
    </row>
    <row r="43" spans="1:49" ht="180">
      <c r="A43" s="339" t="s">
        <v>6609</v>
      </c>
      <c r="B43" s="340" t="s">
        <v>6610</v>
      </c>
      <c r="C43" s="340" t="s">
        <v>6611</v>
      </c>
      <c r="D43" s="295" t="s">
        <v>74</v>
      </c>
      <c r="E43" s="296" t="s">
        <v>246</v>
      </c>
      <c r="F43" s="295"/>
      <c r="G43" s="296">
        <v>2</v>
      </c>
      <c r="H43" s="296" t="s">
        <v>6359</v>
      </c>
      <c r="I43" s="295"/>
      <c r="J43" s="295"/>
      <c r="K43" s="295"/>
      <c r="L43" s="295"/>
      <c r="M43" s="295"/>
      <c r="N43" s="297"/>
      <c r="O43" s="294" t="s">
        <v>6600</v>
      </c>
      <c r="P43" s="295"/>
      <c r="Q43" s="294" t="s">
        <v>6601</v>
      </c>
      <c r="R43" s="294" t="s">
        <v>6585</v>
      </c>
      <c r="S43" s="296" t="s">
        <v>82</v>
      </c>
      <c r="T43" s="341" t="s">
        <v>6586</v>
      </c>
      <c r="U43" s="294" t="s">
        <v>6601</v>
      </c>
      <c r="V43" s="298" t="s">
        <v>6377</v>
      </c>
      <c r="W43" s="299" t="s">
        <v>6364</v>
      </c>
      <c r="X43" s="299" t="s">
        <v>100</v>
      </c>
      <c r="Y43" s="299">
        <v>100</v>
      </c>
      <c r="Z43" s="299" t="s">
        <v>6364</v>
      </c>
      <c r="AA43" s="298">
        <v>0</v>
      </c>
      <c r="AB43" s="300" t="s">
        <v>6602</v>
      </c>
      <c r="AC43" s="298" t="s">
        <v>6379</v>
      </c>
      <c r="AD43" s="299" t="s">
        <v>6364</v>
      </c>
      <c r="AE43" s="301" t="s">
        <v>6367</v>
      </c>
      <c r="AF43" s="302"/>
      <c r="AG43" s="302"/>
      <c r="AH43" s="302"/>
      <c r="AI43" s="303"/>
      <c r="AJ43" s="303"/>
      <c r="AK43" s="303"/>
      <c r="AL43" s="303"/>
      <c r="AM43" s="303"/>
      <c r="AN43" s="304"/>
      <c r="AO43" s="304"/>
      <c r="AP43" s="302"/>
      <c r="AQ43" s="302"/>
      <c r="AR43" s="304"/>
      <c r="AS43" s="304"/>
      <c r="AT43" s="304"/>
      <c r="AU43" s="305" t="s">
        <v>6368</v>
      </c>
      <c r="AV43" s="306"/>
      <c r="AW43" s="306"/>
    </row>
    <row r="44" spans="1:49" ht="135">
      <c r="A44" s="339" t="s">
        <v>6612</v>
      </c>
      <c r="B44" s="340" t="s">
        <v>6613</v>
      </c>
      <c r="C44" s="340" t="s">
        <v>6614</v>
      </c>
      <c r="D44" s="295" t="s">
        <v>74</v>
      </c>
      <c r="E44" s="296" t="s">
        <v>246</v>
      </c>
      <c r="F44" s="295"/>
      <c r="G44" s="296">
        <v>2</v>
      </c>
      <c r="H44" s="296" t="s">
        <v>6359</v>
      </c>
      <c r="I44" s="295"/>
      <c r="J44" s="295"/>
      <c r="K44" s="295"/>
      <c r="L44" s="295"/>
      <c r="M44" s="295"/>
      <c r="N44" s="297"/>
      <c r="O44" s="294" t="s">
        <v>6615</v>
      </c>
      <c r="P44" s="295"/>
      <c r="Q44" s="294" t="s">
        <v>6616</v>
      </c>
      <c r="R44" s="320" t="s">
        <v>6525</v>
      </c>
      <c r="S44" s="296" t="s">
        <v>82</v>
      </c>
      <c r="T44" s="341" t="s">
        <v>6617</v>
      </c>
      <c r="U44" s="286" t="s">
        <v>6618</v>
      </c>
      <c r="V44" s="298" t="s">
        <v>6377</v>
      </c>
      <c r="W44" s="299" t="s">
        <v>6364</v>
      </c>
      <c r="X44" s="299" t="s">
        <v>100</v>
      </c>
      <c r="Y44" s="299">
        <v>100</v>
      </c>
      <c r="Z44" s="299" t="s">
        <v>6364</v>
      </c>
      <c r="AA44" s="298">
        <v>0</v>
      </c>
      <c r="AB44" s="286" t="s">
        <v>6619</v>
      </c>
      <c r="AC44" s="298" t="s">
        <v>6379</v>
      </c>
      <c r="AD44" s="299" t="s">
        <v>6364</v>
      </c>
      <c r="AE44" s="301" t="s">
        <v>6367</v>
      </c>
      <c r="AF44" s="302"/>
      <c r="AG44" s="302"/>
      <c r="AH44" s="302"/>
      <c r="AI44" s="303"/>
      <c r="AJ44" s="303"/>
      <c r="AK44" s="303"/>
      <c r="AL44" s="303"/>
      <c r="AM44" s="303"/>
      <c r="AN44" s="304"/>
      <c r="AO44" s="304"/>
      <c r="AP44" s="302"/>
      <c r="AQ44" s="302"/>
      <c r="AR44" s="304"/>
      <c r="AS44" s="304"/>
      <c r="AT44" s="304"/>
      <c r="AU44" s="305" t="s">
        <v>6368</v>
      </c>
      <c r="AV44" s="306"/>
      <c r="AW44" s="306"/>
    </row>
    <row r="45" spans="1:49" ht="135">
      <c r="A45" s="339" t="s">
        <v>6620</v>
      </c>
      <c r="B45" s="340" t="s">
        <v>6621</v>
      </c>
      <c r="C45" s="340" t="s">
        <v>6622</v>
      </c>
      <c r="D45" s="295" t="s">
        <v>74</v>
      </c>
      <c r="E45" s="296" t="s">
        <v>246</v>
      </c>
      <c r="F45" s="295"/>
      <c r="G45" s="296">
        <v>2</v>
      </c>
      <c r="H45" s="296" t="s">
        <v>6359</v>
      </c>
      <c r="I45" s="295"/>
      <c r="J45" s="295"/>
      <c r="K45" s="295"/>
      <c r="L45" s="295"/>
      <c r="M45" s="295"/>
      <c r="N45" s="297"/>
      <c r="O45" s="294" t="s">
        <v>6615</v>
      </c>
      <c r="P45" s="295"/>
      <c r="Q45" s="294" t="s">
        <v>6616</v>
      </c>
      <c r="R45" s="320" t="s">
        <v>6525</v>
      </c>
      <c r="S45" s="296" t="s">
        <v>82</v>
      </c>
      <c r="T45" s="341" t="s">
        <v>6623</v>
      </c>
      <c r="U45" s="286" t="s">
        <v>6618</v>
      </c>
      <c r="V45" s="298" t="s">
        <v>6377</v>
      </c>
      <c r="W45" s="299" t="s">
        <v>6364</v>
      </c>
      <c r="X45" s="299" t="s">
        <v>100</v>
      </c>
      <c r="Y45" s="299">
        <v>100</v>
      </c>
      <c r="Z45" s="299" t="s">
        <v>6364</v>
      </c>
      <c r="AA45" s="298">
        <v>0</v>
      </c>
      <c r="AB45" s="286" t="s">
        <v>6619</v>
      </c>
      <c r="AC45" s="298" t="s">
        <v>6379</v>
      </c>
      <c r="AD45" s="299" t="s">
        <v>6364</v>
      </c>
      <c r="AE45" s="301" t="s">
        <v>6367</v>
      </c>
      <c r="AF45" s="302"/>
      <c r="AG45" s="302"/>
      <c r="AH45" s="302"/>
      <c r="AI45" s="303"/>
      <c r="AJ45" s="303"/>
      <c r="AK45" s="303"/>
      <c r="AL45" s="303"/>
      <c r="AM45" s="303"/>
      <c r="AN45" s="304"/>
      <c r="AO45" s="304"/>
      <c r="AP45" s="302"/>
      <c r="AQ45" s="302"/>
      <c r="AR45" s="304"/>
      <c r="AS45" s="304"/>
      <c r="AT45" s="304"/>
      <c r="AU45" s="305" t="s">
        <v>6368</v>
      </c>
      <c r="AV45" s="306"/>
      <c r="AW45" s="306"/>
    </row>
    <row r="46" spans="1:49" ht="135">
      <c r="A46" s="339" t="s">
        <v>6624</v>
      </c>
      <c r="B46" s="340" t="s">
        <v>6625</v>
      </c>
      <c r="C46" s="340" t="s">
        <v>6626</v>
      </c>
      <c r="D46" s="295" t="s">
        <v>74</v>
      </c>
      <c r="E46" s="296" t="s">
        <v>246</v>
      </c>
      <c r="F46" s="295"/>
      <c r="G46" s="296">
        <v>2</v>
      </c>
      <c r="H46" s="296" t="s">
        <v>6359</v>
      </c>
      <c r="I46" s="295"/>
      <c r="J46" s="295"/>
      <c r="K46" s="295"/>
      <c r="L46" s="295"/>
      <c r="M46" s="295"/>
      <c r="N46" s="297"/>
      <c r="O46" s="294" t="s">
        <v>6615</v>
      </c>
      <c r="P46" s="295"/>
      <c r="Q46" s="294" t="s">
        <v>6616</v>
      </c>
      <c r="R46" s="320" t="s">
        <v>6525</v>
      </c>
      <c r="S46" s="296" t="s">
        <v>82</v>
      </c>
      <c r="T46" s="341" t="s">
        <v>6623</v>
      </c>
      <c r="U46" s="286" t="s">
        <v>6618</v>
      </c>
      <c r="V46" s="298" t="s">
        <v>6377</v>
      </c>
      <c r="W46" s="299" t="s">
        <v>6364</v>
      </c>
      <c r="X46" s="299" t="s">
        <v>100</v>
      </c>
      <c r="Y46" s="299">
        <v>100</v>
      </c>
      <c r="Z46" s="299" t="s">
        <v>6364</v>
      </c>
      <c r="AA46" s="298">
        <v>0</v>
      </c>
      <c r="AB46" s="286" t="s">
        <v>6619</v>
      </c>
      <c r="AC46" s="298" t="s">
        <v>6379</v>
      </c>
      <c r="AD46" s="299" t="s">
        <v>6364</v>
      </c>
      <c r="AE46" s="301" t="s">
        <v>6367</v>
      </c>
      <c r="AF46" s="302"/>
      <c r="AG46" s="302"/>
      <c r="AH46" s="302"/>
      <c r="AI46" s="303"/>
      <c r="AJ46" s="303"/>
      <c r="AK46" s="303"/>
      <c r="AL46" s="303"/>
      <c r="AM46" s="303"/>
      <c r="AN46" s="304"/>
      <c r="AO46" s="304"/>
      <c r="AP46" s="302"/>
      <c r="AQ46" s="302"/>
      <c r="AR46" s="304"/>
      <c r="AS46" s="304"/>
      <c r="AT46" s="304"/>
      <c r="AU46" s="305" t="s">
        <v>6368</v>
      </c>
      <c r="AV46" s="306"/>
      <c r="AW46" s="306"/>
    </row>
    <row r="47" spans="1:49" ht="135">
      <c r="A47" s="339" t="s">
        <v>6627</v>
      </c>
      <c r="B47" s="340" t="s">
        <v>6628</v>
      </c>
      <c r="C47" s="340" t="s">
        <v>6629</v>
      </c>
      <c r="D47" s="295" t="s">
        <v>74</v>
      </c>
      <c r="E47" s="296" t="s">
        <v>246</v>
      </c>
      <c r="F47" s="295"/>
      <c r="G47" s="296">
        <v>2</v>
      </c>
      <c r="H47" s="296" t="s">
        <v>6359</v>
      </c>
      <c r="I47" s="295"/>
      <c r="J47" s="295"/>
      <c r="K47" s="295"/>
      <c r="L47" s="295"/>
      <c r="M47" s="295"/>
      <c r="N47" s="297"/>
      <c r="O47" s="294" t="s">
        <v>6615</v>
      </c>
      <c r="P47" s="295"/>
      <c r="Q47" s="294" t="s">
        <v>6616</v>
      </c>
      <c r="R47" s="320" t="s">
        <v>6525</v>
      </c>
      <c r="S47" s="296" t="s">
        <v>82</v>
      </c>
      <c r="T47" s="341" t="s">
        <v>6623</v>
      </c>
      <c r="U47" s="286" t="s">
        <v>6618</v>
      </c>
      <c r="V47" s="298" t="s">
        <v>6377</v>
      </c>
      <c r="W47" s="299" t="s">
        <v>6364</v>
      </c>
      <c r="X47" s="299" t="s">
        <v>100</v>
      </c>
      <c r="Y47" s="299">
        <v>100</v>
      </c>
      <c r="Z47" s="299" t="s">
        <v>6364</v>
      </c>
      <c r="AA47" s="298">
        <v>0</v>
      </c>
      <c r="AB47" s="286" t="s">
        <v>6619</v>
      </c>
      <c r="AC47" s="298" t="s">
        <v>6379</v>
      </c>
      <c r="AD47" s="299" t="s">
        <v>6364</v>
      </c>
      <c r="AE47" s="301" t="s">
        <v>6367</v>
      </c>
      <c r="AF47" s="302"/>
      <c r="AG47" s="302"/>
      <c r="AH47" s="302"/>
      <c r="AI47" s="303"/>
      <c r="AJ47" s="303"/>
      <c r="AK47" s="303"/>
      <c r="AL47" s="303"/>
      <c r="AM47" s="303"/>
      <c r="AN47" s="304"/>
      <c r="AO47" s="304"/>
      <c r="AP47" s="302"/>
      <c r="AQ47" s="302"/>
      <c r="AR47" s="304"/>
      <c r="AS47" s="304"/>
      <c r="AT47" s="304"/>
      <c r="AU47" s="305" t="s">
        <v>6368</v>
      </c>
      <c r="AV47" s="306"/>
      <c r="AW47" s="306"/>
    </row>
    <row r="48" spans="1:49" ht="135">
      <c r="A48" s="339" t="s">
        <v>6630</v>
      </c>
      <c r="B48" s="340" t="s">
        <v>6631</v>
      </c>
      <c r="C48" s="340" t="s">
        <v>6632</v>
      </c>
      <c r="D48" s="295" t="s">
        <v>74</v>
      </c>
      <c r="E48" s="296" t="s">
        <v>246</v>
      </c>
      <c r="F48" s="295"/>
      <c r="G48" s="296">
        <v>2</v>
      </c>
      <c r="H48" s="296" t="s">
        <v>6359</v>
      </c>
      <c r="I48" s="295"/>
      <c r="J48" s="295"/>
      <c r="K48" s="295"/>
      <c r="L48" s="295"/>
      <c r="M48" s="295"/>
      <c r="N48" s="297"/>
      <c r="O48" s="294" t="s">
        <v>6633</v>
      </c>
      <c r="P48" s="295"/>
      <c r="Q48" s="294" t="s">
        <v>6634</v>
      </c>
      <c r="R48" s="320" t="s">
        <v>6525</v>
      </c>
      <c r="S48" s="296" t="s">
        <v>82</v>
      </c>
      <c r="T48" s="341" t="s">
        <v>6623</v>
      </c>
      <c r="U48" s="286" t="s">
        <v>6635</v>
      </c>
      <c r="V48" s="298" t="s">
        <v>6377</v>
      </c>
      <c r="W48" s="299" t="s">
        <v>6364</v>
      </c>
      <c r="X48" s="299" t="s">
        <v>100</v>
      </c>
      <c r="Y48" s="299">
        <v>100</v>
      </c>
      <c r="Z48" s="299" t="s">
        <v>6364</v>
      </c>
      <c r="AA48" s="298">
        <v>0</v>
      </c>
      <c r="AB48" s="286" t="s">
        <v>6636</v>
      </c>
      <c r="AC48" s="298" t="s">
        <v>6379</v>
      </c>
      <c r="AD48" s="299" t="s">
        <v>6364</v>
      </c>
      <c r="AE48" s="301" t="s">
        <v>6367</v>
      </c>
      <c r="AF48" s="302"/>
      <c r="AG48" s="302"/>
      <c r="AH48" s="302"/>
      <c r="AI48" s="303"/>
      <c r="AJ48" s="303"/>
      <c r="AK48" s="303"/>
      <c r="AL48" s="303"/>
      <c r="AM48" s="303"/>
      <c r="AN48" s="304"/>
      <c r="AO48" s="304"/>
      <c r="AP48" s="302"/>
      <c r="AQ48" s="302"/>
      <c r="AR48" s="304"/>
      <c r="AS48" s="304"/>
      <c r="AT48" s="304"/>
      <c r="AU48" s="305" t="s">
        <v>6368</v>
      </c>
      <c r="AV48" s="306"/>
      <c r="AW48" s="306"/>
    </row>
    <row r="49" spans="1:49" ht="135">
      <c r="A49" s="339" t="s">
        <v>6637</v>
      </c>
      <c r="B49" s="340" t="s">
        <v>6638</v>
      </c>
      <c r="C49" s="340" t="s">
        <v>6639</v>
      </c>
      <c r="D49" s="295" t="s">
        <v>74</v>
      </c>
      <c r="E49" s="296" t="s">
        <v>246</v>
      </c>
      <c r="F49" s="295"/>
      <c r="G49" s="296">
        <v>2</v>
      </c>
      <c r="H49" s="296" t="s">
        <v>6359</v>
      </c>
      <c r="I49" s="295"/>
      <c r="J49" s="295"/>
      <c r="K49" s="295"/>
      <c r="L49" s="295"/>
      <c r="M49" s="295"/>
      <c r="N49" s="297"/>
      <c r="O49" s="294" t="s">
        <v>6633</v>
      </c>
      <c r="P49" s="295"/>
      <c r="Q49" s="294" t="s">
        <v>6634</v>
      </c>
      <c r="R49" s="320" t="s">
        <v>6525</v>
      </c>
      <c r="S49" s="296" t="s">
        <v>82</v>
      </c>
      <c r="T49" s="341" t="s">
        <v>6623</v>
      </c>
      <c r="U49" s="286" t="s">
        <v>6635</v>
      </c>
      <c r="V49" s="298" t="s">
        <v>6377</v>
      </c>
      <c r="W49" s="299" t="s">
        <v>6364</v>
      </c>
      <c r="X49" s="299" t="s">
        <v>100</v>
      </c>
      <c r="Y49" s="299">
        <v>100</v>
      </c>
      <c r="Z49" s="299" t="s">
        <v>6364</v>
      </c>
      <c r="AA49" s="298">
        <v>0</v>
      </c>
      <c r="AB49" s="286" t="s">
        <v>6636</v>
      </c>
      <c r="AC49" s="298" t="s">
        <v>6379</v>
      </c>
      <c r="AD49" s="299" t="s">
        <v>6364</v>
      </c>
      <c r="AE49" s="301" t="s">
        <v>6367</v>
      </c>
      <c r="AF49" s="302"/>
      <c r="AG49" s="302"/>
      <c r="AH49" s="302"/>
      <c r="AI49" s="303"/>
      <c r="AJ49" s="303"/>
      <c r="AK49" s="303"/>
      <c r="AL49" s="303"/>
      <c r="AM49" s="303"/>
      <c r="AN49" s="304"/>
      <c r="AO49" s="304"/>
      <c r="AP49" s="302"/>
      <c r="AQ49" s="302"/>
      <c r="AR49" s="304"/>
      <c r="AS49" s="304"/>
      <c r="AT49" s="304"/>
      <c r="AU49" s="305" t="s">
        <v>6368</v>
      </c>
      <c r="AV49" s="306"/>
      <c r="AW49" s="306"/>
    </row>
    <row r="50" spans="1:49" ht="135">
      <c r="A50" s="339" t="s">
        <v>6640</v>
      </c>
      <c r="B50" s="340" t="s">
        <v>6641</v>
      </c>
      <c r="C50" s="340" t="s">
        <v>6642</v>
      </c>
      <c r="D50" s="295" t="s">
        <v>74</v>
      </c>
      <c r="E50" s="296" t="s">
        <v>246</v>
      </c>
      <c r="F50" s="295"/>
      <c r="G50" s="296">
        <v>2</v>
      </c>
      <c r="H50" s="296" t="s">
        <v>6359</v>
      </c>
      <c r="I50" s="295"/>
      <c r="J50" s="295"/>
      <c r="K50" s="295"/>
      <c r="L50" s="295"/>
      <c r="M50" s="295"/>
      <c r="N50" s="297"/>
      <c r="O50" s="294" t="s">
        <v>6633</v>
      </c>
      <c r="P50" s="295"/>
      <c r="Q50" s="294" t="s">
        <v>6634</v>
      </c>
      <c r="R50" s="320" t="s">
        <v>6525</v>
      </c>
      <c r="S50" s="296" t="s">
        <v>82</v>
      </c>
      <c r="T50" s="341" t="s">
        <v>6623</v>
      </c>
      <c r="U50" s="286" t="s">
        <v>6635</v>
      </c>
      <c r="V50" s="298" t="s">
        <v>6377</v>
      </c>
      <c r="W50" s="299" t="s">
        <v>6364</v>
      </c>
      <c r="X50" s="299" t="s">
        <v>100</v>
      </c>
      <c r="Y50" s="299">
        <v>100</v>
      </c>
      <c r="Z50" s="299" t="s">
        <v>6364</v>
      </c>
      <c r="AA50" s="298">
        <v>0</v>
      </c>
      <c r="AB50" s="286" t="s">
        <v>6636</v>
      </c>
      <c r="AC50" s="298" t="s">
        <v>6379</v>
      </c>
      <c r="AD50" s="299" t="s">
        <v>6364</v>
      </c>
      <c r="AE50" s="301" t="s">
        <v>6367</v>
      </c>
      <c r="AF50" s="302"/>
      <c r="AG50" s="302"/>
      <c r="AH50" s="302"/>
      <c r="AI50" s="303"/>
      <c r="AJ50" s="303"/>
      <c r="AK50" s="303"/>
      <c r="AL50" s="303"/>
      <c r="AM50" s="303"/>
      <c r="AN50" s="304"/>
      <c r="AO50" s="304"/>
      <c r="AP50" s="302"/>
      <c r="AQ50" s="302"/>
      <c r="AR50" s="304"/>
      <c r="AS50" s="304"/>
      <c r="AT50" s="304"/>
      <c r="AU50" s="305" t="s">
        <v>6368</v>
      </c>
      <c r="AV50" s="306"/>
      <c r="AW50" s="306"/>
    </row>
    <row r="51" spans="1:49" ht="135">
      <c r="A51" s="339" t="s">
        <v>6643</v>
      </c>
      <c r="B51" s="340" t="s">
        <v>6644</v>
      </c>
      <c r="C51" s="340" t="s">
        <v>6645</v>
      </c>
      <c r="D51" s="295" t="s">
        <v>74</v>
      </c>
      <c r="E51" s="296" t="s">
        <v>246</v>
      </c>
      <c r="F51" s="295"/>
      <c r="G51" s="296">
        <v>2</v>
      </c>
      <c r="H51" s="296" t="s">
        <v>6359</v>
      </c>
      <c r="I51" s="295"/>
      <c r="J51" s="295"/>
      <c r="K51" s="295"/>
      <c r="L51" s="295"/>
      <c r="M51" s="295"/>
      <c r="N51" s="297"/>
      <c r="O51" s="294" t="s">
        <v>6633</v>
      </c>
      <c r="P51" s="295"/>
      <c r="Q51" s="294" t="s">
        <v>6634</v>
      </c>
      <c r="R51" s="320" t="s">
        <v>6525</v>
      </c>
      <c r="S51" s="296" t="s">
        <v>82</v>
      </c>
      <c r="T51" s="341" t="s">
        <v>6623</v>
      </c>
      <c r="U51" s="286" t="s">
        <v>6635</v>
      </c>
      <c r="V51" s="298" t="s">
        <v>6377</v>
      </c>
      <c r="W51" s="299" t="s">
        <v>6364</v>
      </c>
      <c r="X51" s="299" t="s">
        <v>100</v>
      </c>
      <c r="Y51" s="299">
        <v>100</v>
      </c>
      <c r="Z51" s="299" t="s">
        <v>6364</v>
      </c>
      <c r="AA51" s="298">
        <v>0</v>
      </c>
      <c r="AB51" s="286" t="s">
        <v>6636</v>
      </c>
      <c r="AC51" s="298" t="s">
        <v>6379</v>
      </c>
      <c r="AD51" s="299" t="s">
        <v>6364</v>
      </c>
      <c r="AE51" s="301" t="s">
        <v>6367</v>
      </c>
      <c r="AF51" s="302"/>
      <c r="AG51" s="302"/>
      <c r="AH51" s="302"/>
      <c r="AI51" s="303"/>
      <c r="AJ51" s="303"/>
      <c r="AK51" s="303"/>
      <c r="AL51" s="303"/>
      <c r="AM51" s="303"/>
      <c r="AN51" s="304"/>
      <c r="AO51" s="304"/>
      <c r="AP51" s="302"/>
      <c r="AQ51" s="302"/>
      <c r="AR51" s="304"/>
      <c r="AS51" s="304"/>
      <c r="AT51" s="304"/>
      <c r="AU51" s="305" t="s">
        <v>6368</v>
      </c>
      <c r="AV51" s="306"/>
      <c r="AW51" s="306"/>
    </row>
    <row r="52" spans="1:49" ht="180">
      <c r="A52" s="293" t="s">
        <v>6646</v>
      </c>
      <c r="B52" s="294" t="s">
        <v>6647</v>
      </c>
      <c r="C52" s="294" t="s">
        <v>6648</v>
      </c>
      <c r="D52" s="295" t="s">
        <v>74</v>
      </c>
      <c r="E52" s="296" t="s">
        <v>246</v>
      </c>
      <c r="F52" s="295"/>
      <c r="G52" s="296">
        <v>2</v>
      </c>
      <c r="H52" s="296" t="s">
        <v>6359</v>
      </c>
      <c r="I52" s="295"/>
      <c r="J52" s="295"/>
      <c r="K52" s="295"/>
      <c r="L52" s="295"/>
      <c r="M52" s="295"/>
      <c r="N52" s="297"/>
      <c r="O52" s="294"/>
      <c r="P52" s="295"/>
      <c r="Q52" s="294" t="s">
        <v>6649</v>
      </c>
      <c r="R52" s="342" t="s">
        <v>6650</v>
      </c>
      <c r="S52" s="296" t="s">
        <v>199</v>
      </c>
      <c r="T52" s="286" t="s">
        <v>6651</v>
      </c>
      <c r="U52" s="286" t="s">
        <v>6652</v>
      </c>
      <c r="V52" s="299">
        <v>5000</v>
      </c>
      <c r="W52" s="299" t="s">
        <v>6364</v>
      </c>
      <c r="X52" s="299" t="s">
        <v>100</v>
      </c>
      <c r="Y52" s="299">
        <v>100</v>
      </c>
      <c r="Z52" s="299" t="s">
        <v>6364</v>
      </c>
      <c r="AA52" s="298">
        <v>0</v>
      </c>
      <c r="AB52" s="300" t="s">
        <v>6653</v>
      </c>
      <c r="AC52" s="299" t="s">
        <v>6366</v>
      </c>
      <c r="AD52" s="299"/>
      <c r="AE52" s="301" t="s">
        <v>6367</v>
      </c>
      <c r="AF52" s="302"/>
      <c r="AG52" s="302"/>
      <c r="AH52" s="302"/>
      <c r="AI52" s="303"/>
      <c r="AJ52" s="303"/>
      <c r="AK52" s="303"/>
      <c r="AL52" s="303"/>
      <c r="AM52" s="303"/>
      <c r="AN52" s="304"/>
      <c r="AO52" s="304"/>
      <c r="AP52" s="302"/>
      <c r="AQ52" s="302"/>
      <c r="AR52" s="304"/>
      <c r="AS52" s="304"/>
      <c r="AT52" s="304"/>
      <c r="AU52" s="305" t="s">
        <v>6368</v>
      </c>
      <c r="AV52" s="306"/>
      <c r="AW52" s="306"/>
    </row>
    <row r="53" spans="1:49" ht="45">
      <c r="A53" s="293" t="s">
        <v>6654</v>
      </c>
      <c r="B53" s="294" t="s">
        <v>6655</v>
      </c>
      <c r="C53" s="294" t="s">
        <v>6656</v>
      </c>
      <c r="D53" s="295" t="s">
        <v>74</v>
      </c>
      <c r="E53" s="296" t="s">
        <v>246</v>
      </c>
      <c r="F53" s="295"/>
      <c r="G53" s="296">
        <v>2</v>
      </c>
      <c r="H53" s="296" t="s">
        <v>6359</v>
      </c>
      <c r="I53" s="295"/>
      <c r="J53" s="295"/>
      <c r="K53" s="295"/>
      <c r="L53" s="295"/>
      <c r="M53" s="295"/>
      <c r="N53" s="297"/>
      <c r="O53" s="294"/>
      <c r="P53" s="295"/>
      <c r="Q53" s="294" t="s">
        <v>6657</v>
      </c>
      <c r="R53" s="342" t="s">
        <v>6658</v>
      </c>
      <c r="S53" s="296" t="s">
        <v>82</v>
      </c>
      <c r="T53" s="286" t="s">
        <v>6659</v>
      </c>
      <c r="U53" s="286" t="s">
        <v>6660</v>
      </c>
      <c r="V53" s="318" t="s">
        <v>6366</v>
      </c>
      <c r="W53" s="299"/>
      <c r="X53" s="299" t="s">
        <v>100</v>
      </c>
      <c r="Y53" s="299">
        <v>1000</v>
      </c>
      <c r="Z53" s="299" t="s">
        <v>6364</v>
      </c>
      <c r="AA53" s="298">
        <v>0</v>
      </c>
      <c r="AB53" s="300" t="s">
        <v>6661</v>
      </c>
      <c r="AC53" s="299" t="s">
        <v>6366</v>
      </c>
      <c r="AD53" s="299"/>
      <c r="AE53" s="301" t="s">
        <v>6367</v>
      </c>
      <c r="AF53" s="302"/>
      <c r="AG53" s="302"/>
      <c r="AH53" s="302"/>
      <c r="AI53" s="303"/>
      <c r="AJ53" s="303"/>
      <c r="AK53" s="303"/>
      <c r="AL53" s="303"/>
      <c r="AM53" s="303"/>
      <c r="AN53" s="304"/>
      <c r="AO53" s="304"/>
      <c r="AP53" s="302"/>
      <c r="AQ53" s="302"/>
      <c r="AR53" s="304"/>
      <c r="AS53" s="304"/>
      <c r="AT53" s="304"/>
      <c r="AU53" s="305" t="s">
        <v>6368</v>
      </c>
      <c r="AV53" s="306"/>
      <c r="AW53" s="306"/>
    </row>
    <row r="54" spans="1:49" ht="180">
      <c r="A54" s="293" t="s">
        <v>6662</v>
      </c>
      <c r="B54" s="294" t="s">
        <v>6663</v>
      </c>
      <c r="C54" s="294" t="s">
        <v>6664</v>
      </c>
      <c r="D54" s="295" t="s">
        <v>74</v>
      </c>
      <c r="E54" s="296" t="s">
        <v>246</v>
      </c>
      <c r="F54" s="295"/>
      <c r="G54" s="296">
        <v>2</v>
      </c>
      <c r="H54" s="296" t="s">
        <v>6359</v>
      </c>
      <c r="I54" s="295"/>
      <c r="J54" s="295"/>
      <c r="K54" s="295"/>
      <c r="L54" s="295"/>
      <c r="M54" s="295"/>
      <c r="N54" s="297"/>
      <c r="O54" s="294" t="s">
        <v>6665</v>
      </c>
      <c r="P54" s="295"/>
      <c r="Q54" s="343" t="s">
        <v>6666</v>
      </c>
      <c r="R54" s="320" t="s">
        <v>6667</v>
      </c>
      <c r="S54" s="296" t="s">
        <v>199</v>
      </c>
      <c r="T54" s="286" t="s">
        <v>6668</v>
      </c>
      <c r="U54" s="286" t="s">
        <v>6669</v>
      </c>
      <c r="V54" s="299">
        <v>60</v>
      </c>
      <c r="W54" s="299" t="s">
        <v>6670</v>
      </c>
      <c r="X54" s="322" t="s">
        <v>100</v>
      </c>
      <c r="Y54" s="299">
        <v>1000</v>
      </c>
      <c r="Z54" s="299" t="s">
        <v>6364</v>
      </c>
      <c r="AA54" s="298">
        <v>0</v>
      </c>
      <c r="AB54" s="300" t="s">
        <v>6671</v>
      </c>
      <c r="AC54" s="322">
        <v>3</v>
      </c>
      <c r="AD54" s="299" t="s">
        <v>6670</v>
      </c>
      <c r="AE54" s="301" t="s">
        <v>6367</v>
      </c>
      <c r="AF54" s="302"/>
      <c r="AG54" s="302"/>
      <c r="AH54" s="302"/>
      <c r="AI54" s="303"/>
      <c r="AJ54" s="303"/>
      <c r="AK54" s="303"/>
      <c r="AL54" s="303"/>
      <c r="AM54" s="303"/>
      <c r="AN54" s="304"/>
      <c r="AO54" s="304"/>
      <c r="AP54" s="302"/>
      <c r="AQ54" s="302"/>
      <c r="AR54" s="304"/>
      <c r="AS54" s="304"/>
      <c r="AT54" s="304"/>
      <c r="AU54" s="305"/>
      <c r="AV54" s="306"/>
      <c r="AW54" s="306"/>
    </row>
    <row r="55" spans="1:49" ht="199.95" customHeight="1">
      <c r="A55" s="293" t="s">
        <v>6672</v>
      </c>
      <c r="B55" s="294" t="s">
        <v>6673</v>
      </c>
      <c r="C55" s="294" t="s">
        <v>6674</v>
      </c>
      <c r="D55" s="295" t="s">
        <v>74</v>
      </c>
      <c r="E55" s="296" t="s">
        <v>246</v>
      </c>
      <c r="F55" s="295"/>
      <c r="G55" s="296">
        <v>2</v>
      </c>
      <c r="H55" s="296" t="s">
        <v>6359</v>
      </c>
      <c r="I55" s="295"/>
      <c r="J55" s="295"/>
      <c r="K55" s="295"/>
      <c r="L55" s="295"/>
      <c r="M55" s="295"/>
      <c r="N55" s="297"/>
      <c r="O55" s="294"/>
      <c r="P55" s="295"/>
      <c r="Q55" s="316" t="s">
        <v>6675</v>
      </c>
      <c r="R55" s="320" t="s">
        <v>6676</v>
      </c>
      <c r="S55" s="296" t="s">
        <v>199</v>
      </c>
      <c r="T55" s="286" t="s">
        <v>6677</v>
      </c>
      <c r="U55" s="286" t="s">
        <v>6678</v>
      </c>
      <c r="V55" s="344">
        <v>60</v>
      </c>
      <c r="W55" s="345" t="s">
        <v>6670</v>
      </c>
      <c r="X55" s="322" t="s">
        <v>100</v>
      </c>
      <c r="Y55" s="322">
        <v>50</v>
      </c>
      <c r="Z55" s="322" t="s">
        <v>6364</v>
      </c>
      <c r="AA55" s="298">
        <v>0</v>
      </c>
      <c r="AB55" s="346" t="s">
        <v>6679</v>
      </c>
      <c r="AC55" s="322">
        <v>3</v>
      </c>
      <c r="AD55" s="299" t="s">
        <v>6670</v>
      </c>
      <c r="AE55" s="301" t="s">
        <v>6367</v>
      </c>
      <c r="AF55" s="302"/>
      <c r="AG55" s="302"/>
      <c r="AH55" s="302"/>
      <c r="AI55" s="303"/>
      <c r="AJ55" s="303"/>
      <c r="AK55" s="303"/>
      <c r="AL55" s="303"/>
      <c r="AM55" s="303"/>
      <c r="AN55" s="304"/>
      <c r="AO55" s="304"/>
      <c r="AP55" s="302"/>
      <c r="AQ55" s="302"/>
      <c r="AR55" s="304"/>
      <c r="AS55" s="304"/>
      <c r="AT55" s="304"/>
      <c r="AU55" s="305" t="s">
        <v>6368</v>
      </c>
      <c r="AV55" s="306"/>
      <c r="AW55" s="306"/>
    </row>
    <row r="56" spans="1:49" ht="75">
      <c r="A56" s="293" t="s">
        <v>6680</v>
      </c>
      <c r="B56" s="294" t="s">
        <v>6681</v>
      </c>
      <c r="C56" s="294" t="s">
        <v>6682</v>
      </c>
      <c r="D56" s="295" t="s">
        <v>74</v>
      </c>
      <c r="E56" s="296" t="s">
        <v>246</v>
      </c>
      <c r="F56" s="295"/>
      <c r="G56" s="296">
        <v>2</v>
      </c>
      <c r="H56" s="296" t="s">
        <v>6359</v>
      </c>
      <c r="I56" s="295"/>
      <c r="J56" s="295"/>
      <c r="K56" s="295"/>
      <c r="L56" s="295"/>
      <c r="M56" s="295"/>
      <c r="N56" s="297"/>
      <c r="O56" s="294" t="s">
        <v>6683</v>
      </c>
      <c r="P56" s="295"/>
      <c r="Q56" s="294" t="s">
        <v>6684</v>
      </c>
      <c r="R56" s="294" t="s">
        <v>6685</v>
      </c>
      <c r="S56" s="296" t="s">
        <v>82</v>
      </c>
      <c r="T56" s="286" t="s">
        <v>6686</v>
      </c>
      <c r="U56" s="313" t="s">
        <v>6687</v>
      </c>
      <c r="V56" s="299" t="s">
        <v>6688</v>
      </c>
      <c r="W56" s="299" t="s">
        <v>6364</v>
      </c>
      <c r="X56" s="299" t="s">
        <v>100</v>
      </c>
      <c r="Y56" s="299">
        <v>5</v>
      </c>
      <c r="Z56" s="299"/>
      <c r="AA56" s="298">
        <v>0</v>
      </c>
      <c r="AB56" s="300" t="s">
        <v>6689</v>
      </c>
      <c r="AC56" s="299">
        <v>15</v>
      </c>
      <c r="AD56" s="299" t="s">
        <v>6364</v>
      </c>
      <c r="AE56" s="301" t="s">
        <v>6367</v>
      </c>
      <c r="AF56" s="302"/>
      <c r="AG56" s="302"/>
      <c r="AH56" s="302"/>
      <c r="AI56" s="303"/>
      <c r="AJ56" s="303"/>
      <c r="AK56" s="303"/>
      <c r="AL56" s="303"/>
      <c r="AM56" s="303"/>
      <c r="AN56" s="304"/>
      <c r="AO56" s="304"/>
      <c r="AP56" s="302"/>
      <c r="AQ56" s="302"/>
      <c r="AR56" s="304"/>
      <c r="AS56" s="304"/>
      <c r="AT56" s="304"/>
      <c r="AU56" s="305" t="s">
        <v>6368</v>
      </c>
      <c r="AV56" s="306"/>
      <c r="AW56" s="306"/>
    </row>
    <row r="57" spans="1:49" ht="75">
      <c r="A57" s="293" t="s">
        <v>6690</v>
      </c>
      <c r="B57" s="294" t="s">
        <v>6691</v>
      </c>
      <c r="C57" s="294" t="s">
        <v>6692</v>
      </c>
      <c r="D57" s="295" t="s">
        <v>74</v>
      </c>
      <c r="E57" s="296" t="s">
        <v>246</v>
      </c>
      <c r="F57" s="295"/>
      <c r="G57" s="296">
        <v>2</v>
      </c>
      <c r="H57" s="296" t="s">
        <v>6359</v>
      </c>
      <c r="I57" s="295"/>
      <c r="J57" s="295"/>
      <c r="K57" s="295"/>
      <c r="L57" s="295"/>
      <c r="M57" s="295"/>
      <c r="N57" s="297"/>
      <c r="O57" s="294"/>
      <c r="P57" s="295"/>
      <c r="Q57" s="294" t="s">
        <v>6693</v>
      </c>
      <c r="R57" s="294" t="s">
        <v>6685</v>
      </c>
      <c r="S57" s="296" t="s">
        <v>82</v>
      </c>
      <c r="T57" s="286" t="s">
        <v>6686</v>
      </c>
      <c r="U57" s="313" t="s">
        <v>6694</v>
      </c>
      <c r="V57" s="299" t="s">
        <v>6688</v>
      </c>
      <c r="W57" s="299" t="s">
        <v>6364</v>
      </c>
      <c r="X57" s="299" t="s">
        <v>100</v>
      </c>
      <c r="Y57" s="299">
        <v>5</v>
      </c>
      <c r="Z57" s="299"/>
      <c r="AA57" s="298">
        <v>0</v>
      </c>
      <c r="AB57" s="300" t="s">
        <v>6689</v>
      </c>
      <c r="AC57" s="299">
        <v>15</v>
      </c>
      <c r="AD57" s="299" t="s">
        <v>6364</v>
      </c>
      <c r="AE57" s="301" t="s">
        <v>6367</v>
      </c>
      <c r="AF57" s="302"/>
      <c r="AG57" s="302"/>
      <c r="AH57" s="302"/>
      <c r="AI57" s="303"/>
      <c r="AJ57" s="303"/>
      <c r="AK57" s="303"/>
      <c r="AL57" s="303"/>
      <c r="AM57" s="303"/>
      <c r="AN57" s="304"/>
      <c r="AO57" s="304"/>
      <c r="AP57" s="302"/>
      <c r="AQ57" s="302"/>
      <c r="AR57" s="304"/>
      <c r="AS57" s="304"/>
      <c r="AT57" s="304"/>
      <c r="AU57" s="305" t="s">
        <v>6368</v>
      </c>
      <c r="AV57" s="306"/>
      <c r="AW57" s="306"/>
    </row>
    <row r="58" spans="1:49" ht="75">
      <c r="A58" s="293" t="s">
        <v>6695</v>
      </c>
      <c r="B58" s="294" t="s">
        <v>6696</v>
      </c>
      <c r="C58" s="294" t="s">
        <v>6697</v>
      </c>
      <c r="D58" s="295" t="s">
        <v>74</v>
      </c>
      <c r="E58" s="296" t="s">
        <v>246</v>
      </c>
      <c r="F58" s="295"/>
      <c r="G58" s="296">
        <v>2</v>
      </c>
      <c r="H58" s="296" t="s">
        <v>6359</v>
      </c>
      <c r="I58" s="295"/>
      <c r="J58" s="295"/>
      <c r="K58" s="295"/>
      <c r="L58" s="295"/>
      <c r="M58" s="295"/>
      <c r="N58" s="297"/>
      <c r="O58" s="294" t="s">
        <v>6698</v>
      </c>
      <c r="P58" s="295"/>
      <c r="Q58" s="294" t="s">
        <v>6699</v>
      </c>
      <c r="R58" s="294" t="s">
        <v>6685</v>
      </c>
      <c r="S58" s="296" t="s">
        <v>82</v>
      </c>
      <c r="T58" s="286" t="s">
        <v>6686</v>
      </c>
      <c r="U58" s="286" t="s">
        <v>6700</v>
      </c>
      <c r="V58" s="299" t="s">
        <v>6688</v>
      </c>
      <c r="W58" s="299" t="s">
        <v>6364</v>
      </c>
      <c r="X58" s="299" t="s">
        <v>100</v>
      </c>
      <c r="Y58" s="299">
        <v>5</v>
      </c>
      <c r="Z58" s="299"/>
      <c r="AA58" s="298">
        <v>0</v>
      </c>
      <c r="AB58" s="300" t="s">
        <v>6689</v>
      </c>
      <c r="AC58" s="299">
        <v>15</v>
      </c>
      <c r="AD58" s="299" t="s">
        <v>6364</v>
      </c>
      <c r="AE58" s="301" t="s">
        <v>6367</v>
      </c>
      <c r="AF58" s="302"/>
      <c r="AG58" s="302"/>
      <c r="AH58" s="302"/>
      <c r="AI58" s="303"/>
      <c r="AJ58" s="303"/>
      <c r="AK58" s="303"/>
      <c r="AL58" s="303"/>
      <c r="AM58" s="303"/>
      <c r="AN58" s="304"/>
      <c r="AO58" s="304"/>
      <c r="AP58" s="302"/>
      <c r="AQ58" s="302"/>
      <c r="AR58" s="304"/>
      <c r="AS58" s="304"/>
      <c r="AT58" s="304"/>
      <c r="AU58" s="305" t="s">
        <v>6368</v>
      </c>
      <c r="AV58" s="306"/>
      <c r="AW58" s="306"/>
    </row>
    <row r="59" spans="1:49" ht="75">
      <c r="A59" s="293" t="s">
        <v>6701</v>
      </c>
      <c r="B59" s="294" t="s">
        <v>6702</v>
      </c>
      <c r="C59" s="294" t="s">
        <v>6703</v>
      </c>
      <c r="D59" s="295" t="s">
        <v>74</v>
      </c>
      <c r="E59" s="296" t="s">
        <v>246</v>
      </c>
      <c r="F59" s="295"/>
      <c r="G59" s="296">
        <v>2</v>
      </c>
      <c r="H59" s="296" t="s">
        <v>6359</v>
      </c>
      <c r="I59" s="295"/>
      <c r="J59" s="295"/>
      <c r="K59" s="295"/>
      <c r="L59" s="295"/>
      <c r="M59" s="295"/>
      <c r="N59" s="297"/>
      <c r="O59" s="294" t="s">
        <v>6704</v>
      </c>
      <c r="P59" s="295"/>
      <c r="Q59" s="294" t="s">
        <v>6705</v>
      </c>
      <c r="R59" s="294" t="s">
        <v>6685</v>
      </c>
      <c r="S59" s="296" t="s">
        <v>82</v>
      </c>
      <c r="T59" s="286" t="s">
        <v>6686</v>
      </c>
      <c r="U59" s="286" t="s">
        <v>6706</v>
      </c>
      <c r="V59" s="299" t="s">
        <v>6688</v>
      </c>
      <c r="W59" s="299" t="s">
        <v>6364</v>
      </c>
      <c r="X59" s="299" t="s">
        <v>100</v>
      </c>
      <c r="Y59" s="299">
        <v>5</v>
      </c>
      <c r="Z59" s="299"/>
      <c r="AA59" s="298">
        <v>0</v>
      </c>
      <c r="AB59" s="300" t="s">
        <v>6689</v>
      </c>
      <c r="AC59" s="299">
        <v>15</v>
      </c>
      <c r="AD59" s="299" t="s">
        <v>6364</v>
      </c>
      <c r="AE59" s="301" t="s">
        <v>6367</v>
      </c>
      <c r="AF59" s="302"/>
      <c r="AG59" s="302"/>
      <c r="AH59" s="302"/>
      <c r="AI59" s="303"/>
      <c r="AJ59" s="303"/>
      <c r="AK59" s="303"/>
      <c r="AL59" s="303"/>
      <c r="AM59" s="303"/>
      <c r="AN59" s="304"/>
      <c r="AO59" s="304"/>
      <c r="AP59" s="302"/>
      <c r="AQ59" s="302"/>
      <c r="AR59" s="304"/>
      <c r="AS59" s="304"/>
      <c r="AT59" s="304"/>
      <c r="AU59" s="305" t="s">
        <v>6368</v>
      </c>
      <c r="AV59" s="306"/>
      <c r="AW59" s="306"/>
    </row>
    <row r="60" spans="1:49" ht="97.5" customHeight="1">
      <c r="A60" s="293" t="s">
        <v>6707</v>
      </c>
      <c r="B60" s="294" t="s">
        <v>6708</v>
      </c>
      <c r="C60" s="294" t="s">
        <v>6709</v>
      </c>
      <c r="D60" s="295" t="s">
        <v>74</v>
      </c>
      <c r="E60" s="296" t="s">
        <v>246</v>
      </c>
      <c r="F60" s="295"/>
      <c r="G60" s="296">
        <v>2</v>
      </c>
      <c r="H60" s="296" t="s">
        <v>6359</v>
      </c>
      <c r="I60" s="295"/>
      <c r="J60" s="295"/>
      <c r="K60" s="295"/>
      <c r="L60" s="295"/>
      <c r="M60" s="295"/>
      <c r="N60" s="297"/>
      <c r="O60" s="294"/>
      <c r="P60" s="295"/>
      <c r="Q60" s="309" t="s">
        <v>6710</v>
      </c>
      <c r="R60" s="347" t="s">
        <v>6711</v>
      </c>
      <c r="S60" s="296" t="s">
        <v>82</v>
      </c>
      <c r="T60" s="286" t="s">
        <v>6659</v>
      </c>
      <c r="U60" s="311" t="s">
        <v>6712</v>
      </c>
      <c r="V60" s="298">
        <v>1000</v>
      </c>
      <c r="W60" s="318" t="s">
        <v>6364</v>
      </c>
      <c r="X60" s="299" t="s">
        <v>100</v>
      </c>
      <c r="Y60" s="298">
        <v>20</v>
      </c>
      <c r="Z60" s="318"/>
      <c r="AA60" s="298">
        <v>0</v>
      </c>
      <c r="AB60" s="312" t="s">
        <v>6713</v>
      </c>
      <c r="AC60" s="298" t="s">
        <v>6366</v>
      </c>
      <c r="AD60" s="299"/>
      <c r="AE60" s="301" t="s">
        <v>6367</v>
      </c>
      <c r="AF60" s="302"/>
      <c r="AG60" s="302"/>
      <c r="AH60" s="302"/>
      <c r="AI60" s="303"/>
      <c r="AJ60" s="303"/>
      <c r="AK60" s="303"/>
      <c r="AL60" s="303"/>
      <c r="AM60" s="303"/>
      <c r="AN60" s="304"/>
      <c r="AO60" s="304"/>
      <c r="AP60" s="302"/>
      <c r="AQ60" s="302"/>
      <c r="AR60" s="304"/>
      <c r="AS60" s="304"/>
      <c r="AT60" s="304"/>
      <c r="AU60" s="305" t="s">
        <v>6368</v>
      </c>
      <c r="AV60" s="306"/>
      <c r="AW60" s="306"/>
    </row>
    <row r="61" spans="1:49" ht="409.2" customHeight="1">
      <c r="A61" s="293" t="s">
        <v>6714</v>
      </c>
      <c r="B61" s="294" t="s">
        <v>6715</v>
      </c>
      <c r="C61" s="294" t="s">
        <v>6716</v>
      </c>
      <c r="D61" s="295" t="s">
        <v>74</v>
      </c>
      <c r="E61" s="296" t="s">
        <v>246</v>
      </c>
      <c r="F61" s="295"/>
      <c r="G61" s="296">
        <v>2</v>
      </c>
      <c r="H61" s="296" t="s">
        <v>6359</v>
      </c>
      <c r="I61" s="295"/>
      <c r="J61" s="295"/>
      <c r="K61" s="295"/>
      <c r="L61" s="295"/>
      <c r="M61" s="295"/>
      <c r="N61" s="297"/>
      <c r="O61" s="294" t="s">
        <v>6717</v>
      </c>
      <c r="P61" s="295"/>
      <c r="Q61" s="294" t="s">
        <v>6718</v>
      </c>
      <c r="R61" s="294" t="s">
        <v>6719</v>
      </c>
      <c r="S61" s="296" t="s">
        <v>82</v>
      </c>
      <c r="T61" s="341" t="s">
        <v>6720</v>
      </c>
      <c r="U61" s="286" t="s">
        <v>6721</v>
      </c>
      <c r="V61" s="318">
        <v>500</v>
      </c>
      <c r="W61" s="299" t="s">
        <v>6364</v>
      </c>
      <c r="X61" s="299" t="s">
        <v>100</v>
      </c>
      <c r="Y61" s="299">
        <v>20</v>
      </c>
      <c r="Z61" s="299" t="s">
        <v>6364</v>
      </c>
      <c r="AA61" s="298">
        <v>0</v>
      </c>
      <c r="AB61" s="300" t="s">
        <v>6722</v>
      </c>
      <c r="AC61" s="299">
        <v>1500</v>
      </c>
      <c r="AD61" s="299" t="s">
        <v>6364</v>
      </c>
      <c r="AE61" s="301" t="s">
        <v>6367</v>
      </c>
      <c r="AF61" s="302"/>
      <c r="AG61" s="302"/>
      <c r="AH61" s="302"/>
      <c r="AI61" s="303"/>
      <c r="AJ61" s="303"/>
      <c r="AK61" s="303"/>
      <c r="AL61" s="303"/>
      <c r="AM61" s="303"/>
      <c r="AN61" s="304"/>
      <c r="AO61" s="304"/>
      <c r="AP61" s="302"/>
      <c r="AQ61" s="302"/>
      <c r="AR61" s="304"/>
      <c r="AS61" s="304"/>
      <c r="AT61" s="304"/>
      <c r="AU61" s="305" t="s">
        <v>6368</v>
      </c>
      <c r="AV61" s="306"/>
      <c r="AW61" s="306"/>
    </row>
    <row r="62" spans="1:49" ht="312.60000000000002" customHeight="1">
      <c r="A62" s="293" t="s">
        <v>6723</v>
      </c>
      <c r="B62" s="294" t="s">
        <v>6724</v>
      </c>
      <c r="C62" s="294" t="s">
        <v>6725</v>
      </c>
      <c r="D62" s="295" t="s">
        <v>74</v>
      </c>
      <c r="E62" s="296" t="s">
        <v>246</v>
      </c>
      <c r="F62" s="295"/>
      <c r="G62" s="296">
        <v>2</v>
      </c>
      <c r="H62" s="296" t="s">
        <v>6359</v>
      </c>
      <c r="I62" s="295"/>
      <c r="J62" s="295"/>
      <c r="K62" s="295"/>
      <c r="L62" s="295"/>
      <c r="M62" s="295"/>
      <c r="N62" s="297"/>
      <c r="O62" s="294" t="s">
        <v>6726</v>
      </c>
      <c r="P62" s="295"/>
      <c r="Q62" s="294" t="s">
        <v>6727</v>
      </c>
      <c r="R62" s="294" t="s">
        <v>6719</v>
      </c>
      <c r="S62" s="296" t="s">
        <v>82</v>
      </c>
      <c r="T62" s="341" t="s">
        <v>6728</v>
      </c>
      <c r="U62" s="286" t="s">
        <v>6729</v>
      </c>
      <c r="V62" s="318">
        <v>500</v>
      </c>
      <c r="W62" s="299" t="s">
        <v>6364</v>
      </c>
      <c r="X62" s="299" t="s">
        <v>100</v>
      </c>
      <c r="Y62" s="299">
        <v>20</v>
      </c>
      <c r="Z62" s="299" t="s">
        <v>6364</v>
      </c>
      <c r="AA62" s="298">
        <v>0</v>
      </c>
      <c r="AB62" s="300" t="s">
        <v>6730</v>
      </c>
      <c r="AC62" s="299">
        <v>1500</v>
      </c>
      <c r="AD62" s="299" t="s">
        <v>6364</v>
      </c>
      <c r="AE62" s="301" t="s">
        <v>6367</v>
      </c>
      <c r="AF62" s="302"/>
      <c r="AG62" s="302"/>
      <c r="AH62" s="302"/>
      <c r="AI62" s="303"/>
      <c r="AJ62" s="303"/>
      <c r="AK62" s="303"/>
      <c r="AL62" s="303"/>
      <c r="AM62" s="303"/>
      <c r="AN62" s="304"/>
      <c r="AO62" s="304"/>
      <c r="AP62" s="302"/>
      <c r="AQ62" s="302"/>
      <c r="AR62" s="304"/>
      <c r="AS62" s="304"/>
      <c r="AT62" s="304"/>
      <c r="AU62" s="305" t="s">
        <v>6368</v>
      </c>
      <c r="AV62" s="306"/>
      <c r="AW62" s="306"/>
    </row>
    <row r="63" spans="1:49" ht="322.2" customHeight="1">
      <c r="A63" s="293" t="s">
        <v>6731</v>
      </c>
      <c r="B63" s="294" t="s">
        <v>6732</v>
      </c>
      <c r="C63" s="294" t="s">
        <v>6733</v>
      </c>
      <c r="D63" s="295" t="s">
        <v>74</v>
      </c>
      <c r="E63" s="296" t="s">
        <v>246</v>
      </c>
      <c r="F63" s="295"/>
      <c r="G63" s="296">
        <v>2</v>
      </c>
      <c r="H63" s="296" t="s">
        <v>6359</v>
      </c>
      <c r="I63" s="295"/>
      <c r="J63" s="295"/>
      <c r="K63" s="295"/>
      <c r="L63" s="295"/>
      <c r="M63" s="295"/>
      <c r="N63" s="297"/>
      <c r="O63" s="294" t="s">
        <v>6734</v>
      </c>
      <c r="P63" s="295"/>
      <c r="Q63" s="294" t="s">
        <v>6727</v>
      </c>
      <c r="R63" s="294" t="s">
        <v>6719</v>
      </c>
      <c r="S63" s="296" t="s">
        <v>82</v>
      </c>
      <c r="T63" s="341" t="s">
        <v>6735</v>
      </c>
      <c r="U63" s="286" t="s">
        <v>6736</v>
      </c>
      <c r="V63" s="318">
        <v>500</v>
      </c>
      <c r="W63" s="299" t="s">
        <v>6364</v>
      </c>
      <c r="X63" s="299" t="s">
        <v>100</v>
      </c>
      <c r="Y63" s="299">
        <v>20</v>
      </c>
      <c r="Z63" s="299" t="s">
        <v>6364</v>
      </c>
      <c r="AA63" s="298">
        <v>0</v>
      </c>
      <c r="AB63" s="300" t="s">
        <v>6737</v>
      </c>
      <c r="AC63" s="299">
        <v>1500</v>
      </c>
      <c r="AD63" s="299" t="s">
        <v>6364</v>
      </c>
      <c r="AE63" s="301" t="s">
        <v>6367</v>
      </c>
      <c r="AF63" s="302"/>
      <c r="AG63" s="302"/>
      <c r="AH63" s="302"/>
      <c r="AI63" s="303"/>
      <c r="AJ63" s="303"/>
      <c r="AK63" s="303"/>
      <c r="AL63" s="303"/>
      <c r="AM63" s="303"/>
      <c r="AN63" s="304"/>
      <c r="AO63" s="304"/>
      <c r="AP63" s="302"/>
      <c r="AQ63" s="302"/>
      <c r="AR63" s="304"/>
      <c r="AS63" s="304"/>
      <c r="AT63" s="304"/>
      <c r="AU63" s="305" t="s">
        <v>6368</v>
      </c>
      <c r="AV63" s="306"/>
      <c r="AW63" s="306"/>
    </row>
    <row r="64" spans="1:49" ht="324" customHeight="1">
      <c r="A64" s="293" t="s">
        <v>6738</v>
      </c>
      <c r="B64" s="294" t="s">
        <v>2043</v>
      </c>
      <c r="C64" s="294" t="s">
        <v>6739</v>
      </c>
      <c r="D64" s="295" t="s">
        <v>74</v>
      </c>
      <c r="E64" s="296" t="s">
        <v>246</v>
      </c>
      <c r="F64" s="295"/>
      <c r="G64" s="296">
        <v>2</v>
      </c>
      <c r="H64" s="296" t="s">
        <v>6359</v>
      </c>
      <c r="I64" s="295"/>
      <c r="J64" s="295"/>
      <c r="K64" s="295"/>
      <c r="L64" s="295"/>
      <c r="M64" s="295"/>
      <c r="N64" s="297"/>
      <c r="O64" s="294" t="s">
        <v>6740</v>
      </c>
      <c r="P64" s="295"/>
      <c r="Q64" s="294" t="s">
        <v>6727</v>
      </c>
      <c r="R64" s="294" t="s">
        <v>6719</v>
      </c>
      <c r="S64" s="296" t="s">
        <v>82</v>
      </c>
      <c r="T64" s="341" t="s">
        <v>6741</v>
      </c>
      <c r="U64" s="286" t="s">
        <v>6742</v>
      </c>
      <c r="V64" s="318">
        <v>500</v>
      </c>
      <c r="W64" s="299" t="s">
        <v>6364</v>
      </c>
      <c r="X64" s="299" t="s">
        <v>100</v>
      </c>
      <c r="Y64" s="299">
        <v>20</v>
      </c>
      <c r="Z64" s="299" t="s">
        <v>6364</v>
      </c>
      <c r="AA64" s="298">
        <v>0</v>
      </c>
      <c r="AB64" s="300" t="s">
        <v>6743</v>
      </c>
      <c r="AC64" s="299">
        <v>1500</v>
      </c>
      <c r="AD64" s="299" t="s">
        <v>6364</v>
      </c>
      <c r="AE64" s="301" t="s">
        <v>6367</v>
      </c>
      <c r="AF64" s="302"/>
      <c r="AG64" s="302"/>
      <c r="AH64" s="302"/>
      <c r="AI64" s="303"/>
      <c r="AJ64" s="303"/>
      <c r="AK64" s="303"/>
      <c r="AL64" s="303"/>
      <c r="AM64" s="303"/>
      <c r="AN64" s="304"/>
      <c r="AO64" s="304"/>
      <c r="AP64" s="302"/>
      <c r="AQ64" s="302"/>
      <c r="AR64" s="304"/>
      <c r="AS64" s="304"/>
      <c r="AT64" s="304"/>
      <c r="AU64" s="305" t="s">
        <v>6368</v>
      </c>
      <c r="AV64" s="306"/>
      <c r="AW64" s="306"/>
    </row>
    <row r="65" spans="1:49" ht="225">
      <c r="A65" s="293" t="s">
        <v>6744</v>
      </c>
      <c r="B65" s="294" t="s">
        <v>6745</v>
      </c>
      <c r="C65" s="294" t="s">
        <v>6746</v>
      </c>
      <c r="D65" s="295" t="s">
        <v>74</v>
      </c>
      <c r="E65" s="296" t="s">
        <v>246</v>
      </c>
      <c r="F65" s="295"/>
      <c r="G65" s="296">
        <v>2</v>
      </c>
      <c r="H65" s="296" t="s">
        <v>6359</v>
      </c>
      <c r="I65" s="295"/>
      <c r="J65" s="295"/>
      <c r="K65" s="295"/>
      <c r="L65" s="295"/>
      <c r="M65" s="295"/>
      <c r="N65" s="297"/>
      <c r="O65" s="294" t="s">
        <v>6747</v>
      </c>
      <c r="P65" s="295"/>
      <c r="Q65" s="294" t="s">
        <v>6727</v>
      </c>
      <c r="R65" s="294" t="s">
        <v>6719</v>
      </c>
      <c r="S65" s="296" t="s">
        <v>82</v>
      </c>
      <c r="T65" s="341" t="s">
        <v>6748</v>
      </c>
      <c r="U65" s="286" t="s">
        <v>6749</v>
      </c>
      <c r="V65" s="318">
        <v>500</v>
      </c>
      <c r="W65" s="299" t="s">
        <v>6364</v>
      </c>
      <c r="X65" s="299" t="s">
        <v>100</v>
      </c>
      <c r="Y65" s="299">
        <v>20</v>
      </c>
      <c r="Z65" s="299" t="s">
        <v>6364</v>
      </c>
      <c r="AA65" s="298">
        <v>0</v>
      </c>
      <c r="AB65" s="300" t="s">
        <v>6750</v>
      </c>
      <c r="AC65" s="299">
        <v>1500</v>
      </c>
      <c r="AD65" s="299" t="s">
        <v>6364</v>
      </c>
      <c r="AE65" s="301" t="s">
        <v>6367</v>
      </c>
      <c r="AF65" s="302"/>
      <c r="AG65" s="302"/>
      <c r="AH65" s="302"/>
      <c r="AI65" s="303"/>
      <c r="AJ65" s="303"/>
      <c r="AK65" s="303"/>
      <c r="AL65" s="303"/>
      <c r="AM65" s="303"/>
      <c r="AN65" s="304"/>
      <c r="AO65" s="304"/>
      <c r="AP65" s="302"/>
      <c r="AQ65" s="302"/>
      <c r="AR65" s="304"/>
      <c r="AS65" s="304"/>
      <c r="AT65" s="304"/>
      <c r="AU65" s="305" t="s">
        <v>6368</v>
      </c>
      <c r="AV65" s="306"/>
      <c r="AW65" s="306"/>
    </row>
    <row r="66" spans="1:49" ht="255.6" customHeight="1">
      <c r="A66" s="293" t="s">
        <v>6751</v>
      </c>
      <c r="B66" s="294" t="s">
        <v>1824</v>
      </c>
      <c r="C66" s="294" t="s">
        <v>6752</v>
      </c>
      <c r="D66" s="295" t="s">
        <v>74</v>
      </c>
      <c r="E66" s="296" t="s">
        <v>246</v>
      </c>
      <c r="F66" s="348"/>
      <c r="G66" s="296">
        <v>2</v>
      </c>
      <c r="H66" s="296" t="s">
        <v>6359</v>
      </c>
      <c r="I66" s="349"/>
      <c r="J66" s="349"/>
      <c r="K66" s="349"/>
      <c r="L66" s="349"/>
      <c r="M66" s="349"/>
      <c r="N66" s="349"/>
      <c r="O66" s="294"/>
      <c r="P66" s="349"/>
      <c r="Q66" s="294" t="s">
        <v>6753</v>
      </c>
      <c r="R66" s="309" t="s">
        <v>6754</v>
      </c>
      <c r="S66" s="350" t="s">
        <v>6755</v>
      </c>
      <c r="T66" s="286" t="s">
        <v>6756</v>
      </c>
      <c r="U66" s="286" t="s">
        <v>6757</v>
      </c>
      <c r="V66" s="318" t="s">
        <v>6758</v>
      </c>
      <c r="W66" s="299" t="s">
        <v>6364</v>
      </c>
      <c r="X66" s="299" t="s">
        <v>100</v>
      </c>
      <c r="Y66" s="299">
        <v>10</v>
      </c>
      <c r="Z66" s="299" t="s">
        <v>6364</v>
      </c>
      <c r="AA66" s="298">
        <v>0</v>
      </c>
      <c r="AB66" s="300" t="s">
        <v>6759</v>
      </c>
      <c r="AC66" s="299">
        <v>10</v>
      </c>
      <c r="AD66" s="299" t="s">
        <v>6364</v>
      </c>
      <c r="AE66" s="301" t="s">
        <v>6367</v>
      </c>
      <c r="AF66" s="351"/>
      <c r="AG66" s="351"/>
      <c r="AH66" s="351"/>
      <c r="AI66" s="351"/>
      <c r="AJ66" s="351"/>
      <c r="AK66" s="351"/>
      <c r="AL66" s="351"/>
      <c r="AM66" s="351"/>
      <c r="AN66" s="351"/>
      <c r="AO66" s="351"/>
      <c r="AP66" s="351"/>
      <c r="AQ66" s="351"/>
      <c r="AR66" s="351"/>
      <c r="AS66" s="351"/>
      <c r="AT66" s="351"/>
      <c r="AU66" s="305" t="s">
        <v>6368</v>
      </c>
    </row>
    <row r="67" spans="1:49" ht="245.4" customHeight="1">
      <c r="A67" s="293" t="s">
        <v>6760</v>
      </c>
      <c r="B67" s="294" t="s">
        <v>1833</v>
      </c>
      <c r="C67" s="294" t="s">
        <v>6761</v>
      </c>
      <c r="D67" s="295" t="s">
        <v>74</v>
      </c>
      <c r="E67" s="296" t="s">
        <v>246</v>
      </c>
      <c r="F67" s="348"/>
      <c r="G67" s="296">
        <v>2</v>
      </c>
      <c r="H67" s="296" t="s">
        <v>6359</v>
      </c>
      <c r="I67" s="349"/>
      <c r="J67" s="349"/>
      <c r="K67" s="349"/>
      <c r="L67" s="349"/>
      <c r="M67" s="349"/>
      <c r="N67" s="349"/>
      <c r="O67" s="294"/>
      <c r="P67" s="349"/>
      <c r="Q67" s="294" t="s">
        <v>6762</v>
      </c>
      <c r="R67" s="309" t="s">
        <v>6754</v>
      </c>
      <c r="S67" s="350" t="s">
        <v>6755</v>
      </c>
      <c r="T67" s="286" t="s">
        <v>6763</v>
      </c>
      <c r="U67" s="286" t="s">
        <v>6764</v>
      </c>
      <c r="V67" s="318">
        <v>100</v>
      </c>
      <c r="W67" s="299" t="s">
        <v>6364</v>
      </c>
      <c r="X67" s="299" t="s">
        <v>100</v>
      </c>
      <c r="Y67" s="299">
        <v>10</v>
      </c>
      <c r="Z67" s="299" t="s">
        <v>6364</v>
      </c>
      <c r="AA67" s="298">
        <v>0</v>
      </c>
      <c r="AB67" s="300" t="s">
        <v>6765</v>
      </c>
      <c r="AC67" s="299">
        <v>10</v>
      </c>
      <c r="AD67" s="299" t="s">
        <v>6364</v>
      </c>
      <c r="AE67" s="301" t="s">
        <v>6367</v>
      </c>
      <c r="AF67" s="351"/>
      <c r="AG67" s="351"/>
      <c r="AH67" s="351"/>
      <c r="AI67" s="351"/>
      <c r="AJ67" s="351"/>
      <c r="AK67" s="351"/>
      <c r="AL67" s="351"/>
      <c r="AM67" s="351"/>
      <c r="AN67" s="351"/>
      <c r="AO67" s="351"/>
      <c r="AP67" s="351"/>
      <c r="AQ67" s="351"/>
      <c r="AR67" s="351"/>
      <c r="AS67" s="351"/>
      <c r="AT67" s="351"/>
      <c r="AU67" s="305" t="s">
        <v>6368</v>
      </c>
    </row>
    <row r="68" spans="1:49" ht="270">
      <c r="A68" s="293" t="s">
        <v>6766</v>
      </c>
      <c r="B68" s="294" t="s">
        <v>6767</v>
      </c>
      <c r="C68" s="294" t="s">
        <v>6768</v>
      </c>
      <c r="D68" s="295" t="s">
        <v>74</v>
      </c>
      <c r="E68" s="296" t="s">
        <v>246</v>
      </c>
      <c r="F68" s="348"/>
      <c r="G68" s="296">
        <v>2</v>
      </c>
      <c r="H68" s="296" t="s">
        <v>6359</v>
      </c>
      <c r="I68" s="349"/>
      <c r="J68" s="349"/>
      <c r="K68" s="349"/>
      <c r="L68" s="349"/>
      <c r="M68" s="349"/>
      <c r="N68" s="349"/>
      <c r="O68" s="294"/>
      <c r="P68" s="349"/>
      <c r="Q68" s="294" t="s">
        <v>6769</v>
      </c>
      <c r="R68" s="309" t="s">
        <v>6754</v>
      </c>
      <c r="S68" s="350" t="s">
        <v>6755</v>
      </c>
      <c r="T68" s="286" t="s">
        <v>6677</v>
      </c>
      <c r="U68" s="286" t="s">
        <v>6770</v>
      </c>
      <c r="V68" s="318" t="s">
        <v>6771</v>
      </c>
      <c r="W68" s="299" t="s">
        <v>6364</v>
      </c>
      <c r="X68" s="299" t="s">
        <v>100</v>
      </c>
      <c r="Y68" s="299">
        <v>10</v>
      </c>
      <c r="Z68" s="299" t="s">
        <v>6364</v>
      </c>
      <c r="AA68" s="298">
        <v>0</v>
      </c>
      <c r="AB68" s="300" t="s">
        <v>6772</v>
      </c>
      <c r="AC68" s="299">
        <v>10</v>
      </c>
      <c r="AD68" s="299" t="s">
        <v>6364</v>
      </c>
      <c r="AE68" s="301" t="s">
        <v>6367</v>
      </c>
      <c r="AF68" s="351"/>
      <c r="AG68" s="351"/>
      <c r="AH68" s="351"/>
      <c r="AI68" s="351"/>
      <c r="AJ68" s="351"/>
      <c r="AK68" s="351"/>
      <c r="AL68" s="351"/>
      <c r="AM68" s="351"/>
      <c r="AN68" s="351"/>
      <c r="AO68" s="351"/>
      <c r="AP68" s="351"/>
      <c r="AQ68" s="351"/>
      <c r="AR68" s="351"/>
      <c r="AS68" s="351"/>
      <c r="AT68" s="351"/>
      <c r="AU68" s="305" t="s">
        <v>6368</v>
      </c>
    </row>
    <row r="69" spans="1:49" ht="248.4" customHeight="1">
      <c r="A69" s="293" t="s">
        <v>6773</v>
      </c>
      <c r="B69" s="294" t="s">
        <v>1885</v>
      </c>
      <c r="C69" s="294" t="s">
        <v>6774</v>
      </c>
      <c r="D69" s="295" t="s">
        <v>74</v>
      </c>
      <c r="E69" s="296" t="s">
        <v>246</v>
      </c>
      <c r="F69" s="348"/>
      <c r="G69" s="296">
        <v>2</v>
      </c>
      <c r="H69" s="296" t="s">
        <v>6359</v>
      </c>
      <c r="I69" s="349"/>
      <c r="J69" s="349"/>
      <c r="K69" s="349"/>
      <c r="L69" s="349"/>
      <c r="M69" s="349"/>
      <c r="N69" s="349"/>
      <c r="O69" s="294"/>
      <c r="P69" s="349"/>
      <c r="Q69" s="294" t="s">
        <v>6775</v>
      </c>
      <c r="R69" s="309" t="s">
        <v>6754</v>
      </c>
      <c r="S69" s="350" t="s">
        <v>6755</v>
      </c>
      <c r="T69" s="286" t="s">
        <v>6763</v>
      </c>
      <c r="U69" s="286" t="s">
        <v>6776</v>
      </c>
      <c r="V69" s="318">
        <v>5000</v>
      </c>
      <c r="W69" s="299" t="s">
        <v>6364</v>
      </c>
      <c r="X69" s="299" t="s">
        <v>100</v>
      </c>
      <c r="Y69" s="299">
        <v>1000</v>
      </c>
      <c r="Z69" s="299" t="s">
        <v>6364</v>
      </c>
      <c r="AA69" s="298">
        <v>0</v>
      </c>
      <c r="AB69" s="300" t="s">
        <v>6777</v>
      </c>
      <c r="AC69" s="299" t="s">
        <v>6366</v>
      </c>
      <c r="AD69" s="352"/>
      <c r="AE69" s="301" t="s">
        <v>6367</v>
      </c>
      <c r="AF69" s="351"/>
      <c r="AG69" s="351"/>
      <c r="AH69" s="351"/>
      <c r="AI69" s="351"/>
      <c r="AJ69" s="351"/>
      <c r="AK69" s="351"/>
      <c r="AL69" s="351"/>
      <c r="AM69" s="351"/>
      <c r="AN69" s="351"/>
      <c r="AO69" s="351"/>
      <c r="AP69" s="351"/>
      <c r="AQ69" s="351"/>
      <c r="AR69" s="351"/>
      <c r="AS69" s="351"/>
      <c r="AT69" s="351"/>
      <c r="AU69" s="305" t="s">
        <v>6368</v>
      </c>
    </row>
    <row r="70" spans="1:49" ht="255.6" customHeight="1">
      <c r="A70" s="293" t="s">
        <v>6778</v>
      </c>
      <c r="B70" s="294" t="s">
        <v>1873</v>
      </c>
      <c r="C70" s="294" t="s">
        <v>6779</v>
      </c>
      <c r="D70" s="295" t="s">
        <v>74</v>
      </c>
      <c r="E70" s="296" t="s">
        <v>246</v>
      </c>
      <c r="F70" s="348"/>
      <c r="G70" s="296">
        <v>2</v>
      </c>
      <c r="H70" s="296" t="s">
        <v>6359</v>
      </c>
      <c r="I70" s="349"/>
      <c r="J70" s="349"/>
      <c r="K70" s="349"/>
      <c r="L70" s="349"/>
      <c r="M70" s="349"/>
      <c r="N70" s="349"/>
      <c r="O70" s="294"/>
      <c r="P70" s="349"/>
      <c r="Q70" s="294" t="s">
        <v>6780</v>
      </c>
      <c r="R70" s="309" t="s">
        <v>6754</v>
      </c>
      <c r="S70" s="350" t="s">
        <v>6755</v>
      </c>
      <c r="T70" s="286" t="s">
        <v>6763</v>
      </c>
      <c r="U70" s="286" t="s">
        <v>6781</v>
      </c>
      <c r="V70" s="318" t="s">
        <v>6782</v>
      </c>
      <c r="W70" s="299" t="s">
        <v>6364</v>
      </c>
      <c r="X70" s="299" t="s">
        <v>100</v>
      </c>
      <c r="Y70" s="299">
        <v>10</v>
      </c>
      <c r="Z70" s="299" t="s">
        <v>6364</v>
      </c>
      <c r="AA70" s="298">
        <v>0</v>
      </c>
      <c r="AB70" s="300" t="s">
        <v>6783</v>
      </c>
      <c r="AC70" s="299">
        <v>10</v>
      </c>
      <c r="AD70" s="299" t="s">
        <v>6364</v>
      </c>
      <c r="AE70" s="301" t="s">
        <v>6367</v>
      </c>
      <c r="AF70" s="351"/>
      <c r="AG70" s="351"/>
      <c r="AH70" s="351"/>
      <c r="AI70" s="351"/>
      <c r="AJ70" s="351"/>
      <c r="AK70" s="351"/>
      <c r="AL70" s="351"/>
      <c r="AM70" s="351"/>
      <c r="AN70" s="351"/>
      <c r="AO70" s="351"/>
      <c r="AP70" s="351"/>
      <c r="AQ70" s="351"/>
      <c r="AR70" s="351"/>
      <c r="AS70" s="351"/>
      <c r="AT70" s="351"/>
      <c r="AU70" s="305" t="s">
        <v>6368</v>
      </c>
    </row>
    <row r="71" spans="1:49" ht="180">
      <c r="A71" s="353" t="s">
        <v>6784</v>
      </c>
      <c r="B71" s="286" t="s">
        <v>6785</v>
      </c>
      <c r="C71" s="286" t="s">
        <v>6786</v>
      </c>
      <c r="D71" s="303" t="s">
        <v>74</v>
      </c>
      <c r="E71" s="299" t="s">
        <v>246</v>
      </c>
      <c r="F71" s="354"/>
      <c r="G71" s="299">
        <v>2</v>
      </c>
      <c r="H71" s="299" t="s">
        <v>6359</v>
      </c>
      <c r="I71" s="349"/>
      <c r="J71" s="349"/>
      <c r="K71" s="349"/>
      <c r="L71" s="349"/>
      <c r="M71" s="349"/>
      <c r="N71" s="349"/>
      <c r="O71" s="286"/>
      <c r="P71" s="351"/>
      <c r="Q71" s="286" t="s">
        <v>6787</v>
      </c>
      <c r="R71" s="309" t="s">
        <v>6754</v>
      </c>
      <c r="S71" s="355" t="s">
        <v>6755</v>
      </c>
      <c r="T71" s="286" t="s">
        <v>6763</v>
      </c>
      <c r="U71" s="286" t="s">
        <v>6788</v>
      </c>
      <c r="V71" s="318">
        <v>6000</v>
      </c>
      <c r="W71" s="299" t="s">
        <v>6364</v>
      </c>
      <c r="X71" s="299" t="s">
        <v>100</v>
      </c>
      <c r="Y71" s="299">
        <v>100</v>
      </c>
      <c r="Z71" s="299" t="s">
        <v>6364</v>
      </c>
      <c r="AA71" s="298">
        <v>0</v>
      </c>
      <c r="AB71" s="300" t="s">
        <v>6789</v>
      </c>
      <c r="AC71" s="299">
        <v>100</v>
      </c>
      <c r="AD71" s="299" t="s">
        <v>6364</v>
      </c>
      <c r="AE71" s="301" t="s">
        <v>6367</v>
      </c>
      <c r="AF71" s="351"/>
      <c r="AG71" s="351"/>
      <c r="AH71" s="351"/>
      <c r="AI71" s="351"/>
      <c r="AJ71" s="351"/>
      <c r="AK71" s="351"/>
      <c r="AL71" s="351"/>
      <c r="AM71" s="351"/>
      <c r="AN71" s="351"/>
      <c r="AO71" s="351"/>
      <c r="AP71" s="351"/>
      <c r="AQ71" s="351"/>
      <c r="AR71" s="351"/>
      <c r="AS71" s="351"/>
      <c r="AT71" s="351"/>
      <c r="AU71" s="305" t="s">
        <v>6368</v>
      </c>
    </row>
    <row r="72" spans="1:49" ht="250.2" customHeight="1">
      <c r="A72" s="293" t="s">
        <v>6790</v>
      </c>
      <c r="B72" s="294" t="s">
        <v>1785</v>
      </c>
      <c r="C72" s="294" t="s">
        <v>6791</v>
      </c>
      <c r="D72" s="295" t="s">
        <v>74</v>
      </c>
      <c r="E72" s="296" t="s">
        <v>246</v>
      </c>
      <c r="F72" s="348"/>
      <c r="G72" s="296">
        <v>2</v>
      </c>
      <c r="H72" s="296" t="s">
        <v>6359</v>
      </c>
      <c r="I72" s="349"/>
      <c r="J72" s="349"/>
      <c r="K72" s="349"/>
      <c r="L72" s="349"/>
      <c r="M72" s="349"/>
      <c r="N72" s="349"/>
      <c r="O72" s="294"/>
      <c r="P72" s="349"/>
      <c r="Q72" s="294" t="s">
        <v>6792</v>
      </c>
      <c r="R72" s="309" t="s">
        <v>6754</v>
      </c>
      <c r="S72" s="350" t="s">
        <v>6755</v>
      </c>
      <c r="T72" s="294" t="s">
        <v>6793</v>
      </c>
      <c r="U72" s="309" t="s">
        <v>6794</v>
      </c>
      <c r="V72" s="356">
        <v>500</v>
      </c>
      <c r="W72" s="296" t="s">
        <v>6364</v>
      </c>
      <c r="X72" s="296" t="s">
        <v>100</v>
      </c>
      <c r="Y72" s="296">
        <v>10</v>
      </c>
      <c r="Z72" s="296" t="s">
        <v>6364</v>
      </c>
      <c r="AA72" s="357">
        <v>0</v>
      </c>
      <c r="AB72" s="358" t="s">
        <v>6795</v>
      </c>
      <c r="AC72" s="296">
        <v>10</v>
      </c>
      <c r="AD72" s="296" t="s">
        <v>6364</v>
      </c>
      <c r="AE72" s="359" t="s">
        <v>6367</v>
      </c>
      <c r="AF72" s="349"/>
      <c r="AG72" s="349"/>
      <c r="AH72" s="349"/>
      <c r="AI72" s="349"/>
      <c r="AJ72" s="349"/>
      <c r="AK72" s="349"/>
      <c r="AL72" s="349"/>
      <c r="AM72" s="349"/>
      <c r="AN72" s="349"/>
      <c r="AO72" s="349"/>
      <c r="AP72" s="349"/>
      <c r="AQ72" s="349"/>
      <c r="AR72" s="349"/>
      <c r="AS72" s="349"/>
      <c r="AT72" s="349"/>
      <c r="AU72" s="360" t="s">
        <v>6368</v>
      </c>
    </row>
    <row r="73" spans="1:49" ht="255" customHeight="1">
      <c r="A73" s="353" t="s">
        <v>6796</v>
      </c>
      <c r="B73" s="286" t="s">
        <v>1795</v>
      </c>
      <c r="C73" s="286" t="s">
        <v>6797</v>
      </c>
      <c r="D73" s="303" t="s">
        <v>74</v>
      </c>
      <c r="E73" s="299" t="s">
        <v>246</v>
      </c>
      <c r="F73" s="354"/>
      <c r="G73" s="299">
        <v>2</v>
      </c>
      <c r="H73" s="299" t="s">
        <v>6359</v>
      </c>
      <c r="I73" s="349"/>
      <c r="J73" s="349"/>
      <c r="K73" s="349"/>
      <c r="L73" s="349"/>
      <c r="M73" s="349"/>
      <c r="N73" s="349"/>
      <c r="O73" s="286"/>
      <c r="P73" s="351"/>
      <c r="Q73" s="286" t="s">
        <v>6798</v>
      </c>
      <c r="R73" s="309" t="s">
        <v>6754</v>
      </c>
      <c r="S73" s="355" t="s">
        <v>6755</v>
      </c>
      <c r="T73" s="283" t="s">
        <v>6799</v>
      </c>
      <c r="U73" s="286" t="s">
        <v>6800</v>
      </c>
      <c r="V73" s="318" t="s">
        <v>6801</v>
      </c>
      <c r="W73" s="299" t="s">
        <v>6364</v>
      </c>
      <c r="X73" s="299" t="s">
        <v>100</v>
      </c>
      <c r="Y73" s="299">
        <v>10</v>
      </c>
      <c r="Z73" s="299" t="s">
        <v>6364</v>
      </c>
      <c r="AA73" s="298">
        <v>0</v>
      </c>
      <c r="AB73" s="300" t="s">
        <v>6802</v>
      </c>
      <c r="AC73" s="299">
        <v>10</v>
      </c>
      <c r="AD73" s="299" t="s">
        <v>6364</v>
      </c>
      <c r="AE73" s="301" t="s">
        <v>6367</v>
      </c>
      <c r="AF73" s="351"/>
      <c r="AG73" s="351"/>
      <c r="AH73" s="351"/>
      <c r="AI73" s="351"/>
      <c r="AJ73" s="351"/>
      <c r="AK73" s="351"/>
      <c r="AL73" s="351"/>
      <c r="AM73" s="351"/>
      <c r="AN73" s="351"/>
      <c r="AO73" s="351"/>
      <c r="AP73" s="351"/>
      <c r="AQ73" s="351"/>
      <c r="AR73" s="351"/>
      <c r="AS73" s="351"/>
      <c r="AT73" s="351"/>
      <c r="AU73" s="305" t="s">
        <v>6368</v>
      </c>
    </row>
    <row r="74" spans="1:49" ht="237" customHeight="1">
      <c r="A74" s="353" t="s">
        <v>6803</v>
      </c>
      <c r="B74" s="286" t="s">
        <v>6804</v>
      </c>
      <c r="C74" s="286" t="s">
        <v>6805</v>
      </c>
      <c r="D74" s="303" t="s">
        <v>74</v>
      </c>
      <c r="E74" s="299" t="s">
        <v>246</v>
      </c>
      <c r="F74" s="354"/>
      <c r="G74" s="299">
        <v>2</v>
      </c>
      <c r="H74" s="299" t="s">
        <v>6359</v>
      </c>
      <c r="I74" s="349"/>
      <c r="J74" s="349"/>
      <c r="K74" s="349"/>
      <c r="L74" s="349"/>
      <c r="M74" s="349"/>
      <c r="N74" s="349"/>
      <c r="O74" s="286" t="s">
        <v>6806</v>
      </c>
      <c r="P74" s="351"/>
      <c r="Q74" s="286" t="s">
        <v>6806</v>
      </c>
      <c r="R74" s="309" t="s">
        <v>6754</v>
      </c>
      <c r="S74" s="355" t="s">
        <v>6755</v>
      </c>
      <c r="T74" s="286" t="s">
        <v>6793</v>
      </c>
      <c r="U74" s="286" t="s">
        <v>6807</v>
      </c>
      <c r="V74" s="318">
        <v>500</v>
      </c>
      <c r="W74" s="299" t="s">
        <v>6364</v>
      </c>
      <c r="X74" s="299" t="s">
        <v>100</v>
      </c>
      <c r="Y74" s="299">
        <v>100</v>
      </c>
      <c r="Z74" s="299" t="s">
        <v>6364</v>
      </c>
      <c r="AA74" s="298">
        <v>0</v>
      </c>
      <c r="AB74" s="300" t="s">
        <v>6808</v>
      </c>
      <c r="AC74" s="299">
        <v>20</v>
      </c>
      <c r="AD74" s="299" t="s">
        <v>6364</v>
      </c>
      <c r="AE74" s="301" t="s">
        <v>6367</v>
      </c>
      <c r="AF74" s="351"/>
      <c r="AG74" s="351"/>
      <c r="AH74" s="351"/>
      <c r="AI74" s="351"/>
      <c r="AJ74" s="351"/>
      <c r="AK74" s="351"/>
      <c r="AL74" s="351"/>
      <c r="AM74" s="351"/>
      <c r="AN74" s="351"/>
      <c r="AO74" s="351"/>
      <c r="AP74" s="351"/>
      <c r="AQ74" s="351"/>
      <c r="AR74" s="351"/>
      <c r="AS74" s="351"/>
      <c r="AT74" s="351"/>
      <c r="AU74" s="305" t="s">
        <v>6368</v>
      </c>
    </row>
    <row r="75" spans="1:49" ht="255">
      <c r="A75" s="293" t="s">
        <v>6809</v>
      </c>
      <c r="B75" s="294" t="s">
        <v>6810</v>
      </c>
      <c r="C75" s="294" t="s">
        <v>6811</v>
      </c>
      <c r="D75" s="295" t="s">
        <v>74</v>
      </c>
      <c r="E75" s="296" t="s">
        <v>246</v>
      </c>
      <c r="F75" s="348"/>
      <c r="G75" s="296">
        <v>2</v>
      </c>
      <c r="H75" s="296" t="s">
        <v>6359</v>
      </c>
      <c r="I75" s="349"/>
      <c r="J75" s="349"/>
      <c r="K75" s="349"/>
      <c r="L75" s="349"/>
      <c r="M75" s="349"/>
      <c r="N75" s="349"/>
      <c r="O75" s="294" t="s">
        <v>6812</v>
      </c>
      <c r="P75" s="349"/>
      <c r="Q75" s="309" t="s">
        <v>6813</v>
      </c>
      <c r="R75" s="309" t="s">
        <v>6814</v>
      </c>
      <c r="S75" s="350" t="s">
        <v>82</v>
      </c>
      <c r="T75" s="341" t="s">
        <v>6815</v>
      </c>
      <c r="U75" s="286" t="s">
        <v>6816</v>
      </c>
      <c r="V75" s="318">
        <v>70</v>
      </c>
      <c r="W75" s="299" t="s">
        <v>6364</v>
      </c>
      <c r="X75" s="299" t="s">
        <v>100</v>
      </c>
      <c r="Y75" s="318">
        <v>20</v>
      </c>
      <c r="Z75" s="299" t="s">
        <v>6364</v>
      </c>
      <c r="AA75" s="298">
        <v>0</v>
      </c>
      <c r="AB75" s="300" t="s">
        <v>6817</v>
      </c>
      <c r="AC75" s="299">
        <v>30</v>
      </c>
      <c r="AD75" s="299" t="s">
        <v>6364</v>
      </c>
      <c r="AE75" s="301" t="s">
        <v>6367</v>
      </c>
      <c r="AF75" s="351"/>
      <c r="AG75" s="351"/>
      <c r="AH75" s="351"/>
      <c r="AI75" s="351"/>
      <c r="AJ75" s="351"/>
      <c r="AK75" s="351"/>
      <c r="AL75" s="351"/>
      <c r="AM75" s="351"/>
      <c r="AN75" s="351"/>
      <c r="AO75" s="351"/>
      <c r="AP75" s="351"/>
      <c r="AQ75" s="351"/>
      <c r="AR75" s="351"/>
      <c r="AS75" s="351"/>
      <c r="AT75" s="351"/>
      <c r="AU75" s="305" t="s">
        <v>6368</v>
      </c>
    </row>
    <row r="76" spans="1:49" ht="255">
      <c r="A76" s="293" t="s">
        <v>6818</v>
      </c>
      <c r="B76" s="294" t="s">
        <v>6819</v>
      </c>
      <c r="C76" s="294" t="s">
        <v>6820</v>
      </c>
      <c r="D76" s="295" t="s">
        <v>74</v>
      </c>
      <c r="E76" s="296" t="s">
        <v>246</v>
      </c>
      <c r="F76" s="348"/>
      <c r="G76" s="296">
        <v>2</v>
      </c>
      <c r="H76" s="296" t="s">
        <v>6359</v>
      </c>
      <c r="I76" s="349"/>
      <c r="J76" s="349"/>
      <c r="K76" s="349"/>
      <c r="L76" s="349"/>
      <c r="M76" s="349"/>
      <c r="N76" s="349"/>
      <c r="O76" s="294" t="s">
        <v>6812</v>
      </c>
      <c r="P76" s="349"/>
      <c r="Q76" s="309" t="s">
        <v>6813</v>
      </c>
      <c r="R76" s="309" t="s">
        <v>6814</v>
      </c>
      <c r="S76" s="350" t="s">
        <v>82</v>
      </c>
      <c r="T76" s="341" t="s">
        <v>6821</v>
      </c>
      <c r="U76" s="286" t="s">
        <v>6816</v>
      </c>
      <c r="V76" s="318">
        <v>70</v>
      </c>
      <c r="W76" s="299" t="s">
        <v>6364</v>
      </c>
      <c r="X76" s="299" t="s">
        <v>100</v>
      </c>
      <c r="Y76" s="318">
        <v>20</v>
      </c>
      <c r="Z76" s="299" t="s">
        <v>6364</v>
      </c>
      <c r="AA76" s="298">
        <v>0</v>
      </c>
      <c r="AB76" s="300" t="s">
        <v>6817</v>
      </c>
      <c r="AC76" s="299">
        <v>30</v>
      </c>
      <c r="AD76" s="299" t="s">
        <v>6364</v>
      </c>
      <c r="AE76" s="301" t="s">
        <v>6367</v>
      </c>
      <c r="AF76" s="351"/>
      <c r="AG76" s="351"/>
      <c r="AH76" s="351"/>
      <c r="AI76" s="351"/>
      <c r="AJ76" s="351"/>
      <c r="AK76" s="351"/>
      <c r="AL76" s="351"/>
      <c r="AM76" s="351"/>
      <c r="AN76" s="351"/>
      <c r="AO76" s="351"/>
      <c r="AP76" s="351"/>
      <c r="AQ76" s="351"/>
      <c r="AR76" s="351"/>
      <c r="AS76" s="351"/>
      <c r="AT76" s="351"/>
      <c r="AU76" s="305" t="s">
        <v>6368</v>
      </c>
    </row>
    <row r="77" spans="1:49" ht="225">
      <c r="A77" s="293" t="s">
        <v>6822</v>
      </c>
      <c r="B77" s="294" t="s">
        <v>2291</v>
      </c>
      <c r="C77" s="294" t="s">
        <v>6823</v>
      </c>
      <c r="D77" s="295" t="s">
        <v>74</v>
      </c>
      <c r="E77" s="296" t="s">
        <v>246</v>
      </c>
      <c r="F77" s="348"/>
      <c r="G77" s="296">
        <v>2</v>
      </c>
      <c r="H77" s="296" t="s">
        <v>6359</v>
      </c>
      <c r="I77" s="349"/>
      <c r="J77" s="349"/>
      <c r="K77" s="349"/>
      <c r="L77" s="349"/>
      <c r="M77" s="349"/>
      <c r="N77" s="349"/>
      <c r="O77" s="294" t="s">
        <v>6812</v>
      </c>
      <c r="P77" s="349"/>
      <c r="Q77" s="309" t="s">
        <v>6813</v>
      </c>
      <c r="R77" s="309" t="s">
        <v>6814</v>
      </c>
      <c r="S77" s="350" t="s">
        <v>82</v>
      </c>
      <c r="T77" s="341" t="s">
        <v>6824</v>
      </c>
      <c r="U77" s="286" t="s">
        <v>6816</v>
      </c>
      <c r="V77" s="318">
        <v>70</v>
      </c>
      <c r="W77" s="299" t="s">
        <v>6364</v>
      </c>
      <c r="X77" s="299" t="s">
        <v>100</v>
      </c>
      <c r="Y77" s="318">
        <v>20</v>
      </c>
      <c r="Z77" s="299" t="s">
        <v>6364</v>
      </c>
      <c r="AA77" s="298">
        <v>0</v>
      </c>
      <c r="AB77" s="300" t="s">
        <v>6817</v>
      </c>
      <c r="AC77" s="299">
        <v>30</v>
      </c>
      <c r="AD77" s="299" t="s">
        <v>6364</v>
      </c>
      <c r="AE77" s="301" t="s">
        <v>6367</v>
      </c>
      <c r="AF77" s="351"/>
      <c r="AG77" s="351"/>
      <c r="AH77" s="351"/>
      <c r="AI77" s="351"/>
      <c r="AJ77" s="351"/>
      <c r="AK77" s="351"/>
      <c r="AL77" s="351"/>
      <c r="AM77" s="351"/>
      <c r="AN77" s="351"/>
      <c r="AO77" s="351"/>
      <c r="AP77" s="351"/>
      <c r="AQ77" s="351"/>
      <c r="AR77" s="351"/>
      <c r="AS77" s="351"/>
      <c r="AT77" s="351"/>
      <c r="AU77" s="305" t="s">
        <v>6368</v>
      </c>
    </row>
    <row r="78" spans="1:49" ht="318.60000000000002" customHeight="1">
      <c r="A78" s="293" t="s">
        <v>6825</v>
      </c>
      <c r="B78" s="294" t="s">
        <v>6826</v>
      </c>
      <c r="C78" s="294" t="s">
        <v>6827</v>
      </c>
      <c r="D78" s="295" t="s">
        <v>74</v>
      </c>
      <c r="E78" s="296" t="s">
        <v>246</v>
      </c>
      <c r="F78" s="348"/>
      <c r="G78" s="296">
        <v>2</v>
      </c>
      <c r="H78" s="296" t="s">
        <v>6359</v>
      </c>
      <c r="I78" s="349"/>
      <c r="J78" s="349"/>
      <c r="K78" s="349"/>
      <c r="L78" s="349"/>
      <c r="M78" s="349"/>
      <c r="N78" s="349"/>
      <c r="O78" s="294" t="s">
        <v>6828</v>
      </c>
      <c r="P78" s="349"/>
      <c r="Q78" s="309" t="s">
        <v>6829</v>
      </c>
      <c r="R78" s="309" t="s">
        <v>6830</v>
      </c>
      <c r="S78" s="350" t="s">
        <v>82</v>
      </c>
      <c r="T78" s="341" t="s">
        <v>6831</v>
      </c>
      <c r="U78" s="286" t="s">
        <v>6832</v>
      </c>
      <c r="V78" s="318">
        <v>70</v>
      </c>
      <c r="W78" s="299" t="s">
        <v>6364</v>
      </c>
      <c r="X78" s="299" t="s">
        <v>100</v>
      </c>
      <c r="Y78" s="318">
        <v>20</v>
      </c>
      <c r="Z78" s="299" t="s">
        <v>6364</v>
      </c>
      <c r="AA78" s="298">
        <v>0</v>
      </c>
      <c r="AB78" s="300" t="s">
        <v>6833</v>
      </c>
      <c r="AC78" s="299">
        <v>30</v>
      </c>
      <c r="AD78" s="299" t="s">
        <v>6364</v>
      </c>
      <c r="AE78" s="301" t="s">
        <v>6367</v>
      </c>
      <c r="AF78" s="351"/>
      <c r="AG78" s="351"/>
      <c r="AH78" s="351"/>
      <c r="AI78" s="351"/>
      <c r="AJ78" s="351"/>
      <c r="AK78" s="351"/>
      <c r="AL78" s="351"/>
      <c r="AM78" s="351"/>
      <c r="AN78" s="351"/>
      <c r="AO78" s="351"/>
      <c r="AP78" s="351"/>
      <c r="AQ78" s="351"/>
      <c r="AR78" s="351"/>
      <c r="AS78" s="351"/>
      <c r="AT78" s="351"/>
      <c r="AU78" s="305" t="s">
        <v>6368</v>
      </c>
    </row>
    <row r="79" spans="1:49" ht="225">
      <c r="A79" s="293" t="s">
        <v>6834</v>
      </c>
      <c r="B79" s="294" t="s">
        <v>6835</v>
      </c>
      <c r="C79" s="294" t="s">
        <v>6836</v>
      </c>
      <c r="D79" s="295" t="s">
        <v>74</v>
      </c>
      <c r="E79" s="296" t="s">
        <v>246</v>
      </c>
      <c r="F79" s="348"/>
      <c r="G79" s="296">
        <v>2</v>
      </c>
      <c r="H79" s="296" t="s">
        <v>6359</v>
      </c>
      <c r="I79" s="349"/>
      <c r="J79" s="349"/>
      <c r="K79" s="349"/>
      <c r="L79" s="349"/>
      <c r="M79" s="349"/>
      <c r="N79" s="349"/>
      <c r="O79" s="294" t="s">
        <v>6812</v>
      </c>
      <c r="P79" s="349"/>
      <c r="Q79" s="309" t="s">
        <v>6813</v>
      </c>
      <c r="R79" s="309" t="s">
        <v>6814</v>
      </c>
      <c r="S79" s="350" t="s">
        <v>82</v>
      </c>
      <c r="T79" s="341" t="s">
        <v>6837</v>
      </c>
      <c r="U79" s="286" t="s">
        <v>6816</v>
      </c>
      <c r="V79" s="318">
        <v>70</v>
      </c>
      <c r="W79" s="299" t="s">
        <v>6364</v>
      </c>
      <c r="X79" s="299" t="s">
        <v>100</v>
      </c>
      <c r="Y79" s="318">
        <v>20</v>
      </c>
      <c r="Z79" s="299" t="s">
        <v>6364</v>
      </c>
      <c r="AA79" s="298">
        <v>0</v>
      </c>
      <c r="AB79" s="300" t="s">
        <v>6817</v>
      </c>
      <c r="AC79" s="299">
        <v>30</v>
      </c>
      <c r="AD79" s="299" t="s">
        <v>6364</v>
      </c>
      <c r="AE79" s="301" t="s">
        <v>6367</v>
      </c>
      <c r="AF79" s="351"/>
      <c r="AG79" s="351"/>
      <c r="AH79" s="351"/>
      <c r="AI79" s="351"/>
      <c r="AJ79" s="351"/>
      <c r="AK79" s="351"/>
      <c r="AL79" s="351"/>
      <c r="AM79" s="351"/>
      <c r="AN79" s="351"/>
      <c r="AO79" s="351"/>
      <c r="AP79" s="351"/>
      <c r="AQ79" s="351"/>
      <c r="AR79" s="351"/>
      <c r="AS79" s="351"/>
      <c r="AT79" s="351"/>
      <c r="AU79" s="305" t="s">
        <v>6368</v>
      </c>
    </row>
    <row r="80" spans="1:49" ht="409.6">
      <c r="A80" s="293" t="s">
        <v>6838</v>
      </c>
      <c r="B80" s="294" t="s">
        <v>2084</v>
      </c>
      <c r="C80" s="294" t="s">
        <v>6839</v>
      </c>
      <c r="D80" s="295" t="s">
        <v>74</v>
      </c>
      <c r="E80" s="296" t="s">
        <v>246</v>
      </c>
      <c r="F80" s="348"/>
      <c r="G80" s="296">
        <v>2</v>
      </c>
      <c r="H80" s="296" t="s">
        <v>6359</v>
      </c>
      <c r="I80" s="349"/>
      <c r="J80" s="349"/>
      <c r="K80" s="349"/>
      <c r="L80" s="349"/>
      <c r="M80" s="349"/>
      <c r="N80" s="349"/>
      <c r="O80" s="294"/>
      <c r="P80" s="349"/>
      <c r="Q80" s="309" t="s">
        <v>6840</v>
      </c>
      <c r="R80" s="309" t="s">
        <v>6841</v>
      </c>
      <c r="S80" s="350" t="s">
        <v>6755</v>
      </c>
      <c r="T80" s="286" t="s">
        <v>6842</v>
      </c>
      <c r="U80" s="286" t="s">
        <v>6843</v>
      </c>
      <c r="V80" s="299" t="s">
        <v>6844</v>
      </c>
      <c r="W80" s="299" t="s">
        <v>6364</v>
      </c>
      <c r="X80" s="299" t="s">
        <v>100</v>
      </c>
      <c r="Y80" s="299">
        <v>10</v>
      </c>
      <c r="Z80" s="299" t="s">
        <v>6364</v>
      </c>
      <c r="AA80" s="298">
        <v>0</v>
      </c>
      <c r="AB80" s="300" t="s">
        <v>6845</v>
      </c>
      <c r="AC80" s="299">
        <v>10</v>
      </c>
      <c r="AD80" s="299" t="s">
        <v>6364</v>
      </c>
      <c r="AE80" s="301" t="s">
        <v>6367</v>
      </c>
      <c r="AF80" s="351"/>
      <c r="AG80" s="351"/>
      <c r="AH80" s="351"/>
      <c r="AI80" s="351"/>
      <c r="AJ80" s="351"/>
      <c r="AK80" s="351"/>
      <c r="AL80" s="351"/>
      <c r="AM80" s="351"/>
      <c r="AN80" s="351"/>
      <c r="AO80" s="351"/>
      <c r="AP80" s="351"/>
      <c r="AQ80" s="351"/>
      <c r="AR80" s="351"/>
      <c r="AS80" s="351"/>
      <c r="AT80" s="351"/>
      <c r="AU80" s="305" t="s">
        <v>6368</v>
      </c>
    </row>
    <row r="81" spans="1:47" ht="405">
      <c r="A81" s="293" t="s">
        <v>6846</v>
      </c>
      <c r="B81" s="294" t="s">
        <v>2094</v>
      </c>
      <c r="C81" s="294" t="s">
        <v>6847</v>
      </c>
      <c r="D81" s="295" t="s">
        <v>74</v>
      </c>
      <c r="E81" s="296" t="s">
        <v>246</v>
      </c>
      <c r="F81" s="348"/>
      <c r="G81" s="296">
        <v>2</v>
      </c>
      <c r="H81" s="296" t="s">
        <v>6359</v>
      </c>
      <c r="I81" s="349"/>
      <c r="J81" s="349"/>
      <c r="K81" s="349"/>
      <c r="L81" s="349"/>
      <c r="M81" s="349"/>
      <c r="N81" s="349"/>
      <c r="O81" s="294"/>
      <c r="P81" s="349"/>
      <c r="Q81" s="309" t="s">
        <v>6848</v>
      </c>
      <c r="R81" s="309" t="s">
        <v>6841</v>
      </c>
      <c r="S81" s="350" t="s">
        <v>6755</v>
      </c>
      <c r="T81" s="286" t="s">
        <v>6763</v>
      </c>
      <c r="U81" s="286" t="s">
        <v>6849</v>
      </c>
      <c r="V81" s="299">
        <v>70</v>
      </c>
      <c r="W81" s="299" t="s">
        <v>6364</v>
      </c>
      <c r="X81" s="299" t="s">
        <v>100</v>
      </c>
      <c r="Y81" s="299">
        <v>10</v>
      </c>
      <c r="Z81" s="299" t="s">
        <v>6364</v>
      </c>
      <c r="AA81" s="298">
        <v>0</v>
      </c>
      <c r="AB81" s="300" t="s">
        <v>6845</v>
      </c>
      <c r="AC81" s="299">
        <v>10</v>
      </c>
      <c r="AD81" s="299" t="s">
        <v>6364</v>
      </c>
      <c r="AE81" s="301" t="s">
        <v>6367</v>
      </c>
      <c r="AF81" s="351"/>
      <c r="AG81" s="351"/>
      <c r="AH81" s="351"/>
      <c r="AI81" s="351"/>
      <c r="AJ81" s="351"/>
      <c r="AK81" s="351"/>
      <c r="AL81" s="351"/>
      <c r="AM81" s="351"/>
      <c r="AN81" s="351"/>
      <c r="AO81" s="351"/>
      <c r="AP81" s="351"/>
      <c r="AQ81" s="351"/>
      <c r="AR81" s="351"/>
      <c r="AS81" s="351"/>
      <c r="AT81" s="351"/>
      <c r="AU81" s="305" t="s">
        <v>6368</v>
      </c>
    </row>
    <row r="82" spans="1:47" ht="409.6">
      <c r="A82" s="293" t="s">
        <v>6850</v>
      </c>
      <c r="B82" s="294" t="s">
        <v>6851</v>
      </c>
      <c r="C82" s="294" t="s">
        <v>6852</v>
      </c>
      <c r="D82" s="295" t="s">
        <v>74</v>
      </c>
      <c r="E82" s="296" t="s">
        <v>246</v>
      </c>
      <c r="F82" s="348"/>
      <c r="G82" s="296">
        <v>2</v>
      </c>
      <c r="H82" s="296" t="s">
        <v>6359</v>
      </c>
      <c r="I82" s="349"/>
      <c r="J82" s="349"/>
      <c r="K82" s="349"/>
      <c r="L82" s="349"/>
      <c r="M82" s="349"/>
      <c r="N82" s="349"/>
      <c r="O82" s="294"/>
      <c r="P82" s="349"/>
      <c r="Q82" s="309" t="s">
        <v>6853</v>
      </c>
      <c r="R82" s="309" t="s">
        <v>6841</v>
      </c>
      <c r="S82" s="350" t="s">
        <v>6755</v>
      </c>
      <c r="T82" s="286" t="s">
        <v>6763</v>
      </c>
      <c r="U82" s="286" t="s">
        <v>6854</v>
      </c>
      <c r="V82" s="299" t="s">
        <v>6771</v>
      </c>
      <c r="W82" s="299" t="s">
        <v>6364</v>
      </c>
      <c r="X82" s="299" t="s">
        <v>100</v>
      </c>
      <c r="Y82" s="299">
        <v>10</v>
      </c>
      <c r="Z82" s="299" t="s">
        <v>6364</v>
      </c>
      <c r="AA82" s="298">
        <v>0</v>
      </c>
      <c r="AB82" s="300" t="s">
        <v>6845</v>
      </c>
      <c r="AC82" s="299">
        <v>10</v>
      </c>
      <c r="AD82" s="299" t="s">
        <v>6364</v>
      </c>
      <c r="AE82" s="301" t="s">
        <v>6367</v>
      </c>
      <c r="AF82" s="351"/>
      <c r="AG82" s="351"/>
      <c r="AH82" s="351"/>
      <c r="AI82" s="351"/>
      <c r="AJ82" s="351"/>
      <c r="AK82" s="351"/>
      <c r="AL82" s="351"/>
      <c r="AM82" s="351"/>
      <c r="AN82" s="351"/>
      <c r="AO82" s="351"/>
      <c r="AP82" s="351"/>
      <c r="AQ82" s="351"/>
      <c r="AR82" s="351"/>
      <c r="AS82" s="351"/>
      <c r="AT82" s="351"/>
      <c r="AU82" s="305" t="s">
        <v>6368</v>
      </c>
    </row>
    <row r="83" spans="1:47" ht="210" customHeight="1">
      <c r="A83" s="361" t="s">
        <v>6855</v>
      </c>
      <c r="B83" s="297" t="s">
        <v>2104</v>
      </c>
      <c r="C83" s="362" t="s">
        <v>6856</v>
      </c>
      <c r="D83" s="295" t="s">
        <v>74</v>
      </c>
      <c r="E83" s="297" t="s">
        <v>246</v>
      </c>
      <c r="F83" s="348"/>
      <c r="G83" s="296">
        <v>2</v>
      </c>
      <c r="H83" s="297" t="s">
        <v>6359</v>
      </c>
      <c r="I83" s="349"/>
      <c r="J83" s="349"/>
      <c r="K83" s="349"/>
      <c r="L83" s="349"/>
      <c r="M83" s="349"/>
      <c r="N83" s="349"/>
      <c r="O83" s="362" t="s">
        <v>6856</v>
      </c>
      <c r="P83" s="349"/>
      <c r="Q83" s="362" t="s">
        <v>6857</v>
      </c>
      <c r="R83" s="309" t="s">
        <v>6841</v>
      </c>
      <c r="S83" s="295" t="s">
        <v>6755</v>
      </c>
      <c r="T83" s="286" t="s">
        <v>6763</v>
      </c>
      <c r="U83" s="341" t="s">
        <v>6858</v>
      </c>
      <c r="V83" s="363">
        <v>3000</v>
      </c>
      <c r="W83" s="363" t="s">
        <v>6364</v>
      </c>
      <c r="X83" s="363" t="s">
        <v>100</v>
      </c>
      <c r="Y83" s="363">
        <v>1000</v>
      </c>
      <c r="Z83" s="363" t="s">
        <v>6364</v>
      </c>
      <c r="AA83" s="301">
        <v>0</v>
      </c>
      <c r="AB83" s="363" t="s">
        <v>6859</v>
      </c>
      <c r="AC83" s="363">
        <v>10</v>
      </c>
      <c r="AD83" s="363" t="s">
        <v>6364</v>
      </c>
      <c r="AE83" s="301" t="s">
        <v>6367</v>
      </c>
      <c r="AF83" s="351"/>
      <c r="AG83" s="351"/>
      <c r="AH83" s="351"/>
      <c r="AI83" s="351"/>
      <c r="AJ83" s="351"/>
      <c r="AK83" s="351"/>
      <c r="AL83" s="351"/>
      <c r="AM83" s="351"/>
      <c r="AN83" s="351"/>
      <c r="AO83" s="351"/>
      <c r="AP83" s="351"/>
      <c r="AQ83" s="351"/>
      <c r="AR83" s="351"/>
      <c r="AS83" s="351"/>
      <c r="AT83" s="351"/>
      <c r="AU83" s="363" t="s">
        <v>6860</v>
      </c>
    </row>
    <row r="84" spans="1:47" ht="210">
      <c r="A84" s="293" t="s">
        <v>6861</v>
      </c>
      <c r="B84" s="294" t="s">
        <v>6862</v>
      </c>
      <c r="C84" s="294" t="s">
        <v>6863</v>
      </c>
      <c r="D84" s="295" t="s">
        <v>74</v>
      </c>
      <c r="E84" s="296" t="s">
        <v>246</v>
      </c>
      <c r="F84" s="348"/>
      <c r="G84" s="296">
        <v>2</v>
      </c>
      <c r="H84" s="296" t="s">
        <v>6359</v>
      </c>
      <c r="I84" s="349"/>
      <c r="J84" s="349"/>
      <c r="K84" s="349"/>
      <c r="L84" s="349"/>
      <c r="M84" s="349"/>
      <c r="N84" s="349"/>
      <c r="O84" s="294"/>
      <c r="P84" s="349"/>
      <c r="Q84" s="309" t="s">
        <v>6864</v>
      </c>
      <c r="R84" s="309" t="s">
        <v>6841</v>
      </c>
      <c r="S84" s="350" t="s">
        <v>6755</v>
      </c>
      <c r="T84" s="286" t="s">
        <v>6763</v>
      </c>
      <c r="U84" s="286" t="s">
        <v>6865</v>
      </c>
      <c r="V84" s="299" t="s">
        <v>6866</v>
      </c>
      <c r="W84" s="299" t="s">
        <v>6364</v>
      </c>
      <c r="X84" s="299" t="s">
        <v>100</v>
      </c>
      <c r="Y84" s="299">
        <v>10</v>
      </c>
      <c r="Z84" s="299" t="s">
        <v>6364</v>
      </c>
      <c r="AA84" s="298">
        <v>0</v>
      </c>
      <c r="AB84" s="299" t="s">
        <v>6859</v>
      </c>
      <c r="AC84" s="299">
        <v>10</v>
      </c>
      <c r="AD84" s="299" t="s">
        <v>6364</v>
      </c>
      <c r="AE84" s="301" t="s">
        <v>6367</v>
      </c>
      <c r="AF84" s="351"/>
      <c r="AG84" s="351"/>
      <c r="AH84" s="351"/>
      <c r="AI84" s="351"/>
      <c r="AJ84" s="351"/>
      <c r="AK84" s="351"/>
      <c r="AL84" s="351"/>
      <c r="AM84" s="351"/>
      <c r="AN84" s="351"/>
      <c r="AO84" s="351"/>
      <c r="AP84" s="351"/>
      <c r="AQ84" s="351"/>
      <c r="AR84" s="351"/>
      <c r="AS84" s="351"/>
      <c r="AT84" s="351"/>
      <c r="AU84" s="299" t="s">
        <v>6860</v>
      </c>
    </row>
    <row r="85" spans="1:47" ht="180">
      <c r="A85" s="293" t="s">
        <v>6867</v>
      </c>
      <c r="B85" s="294" t="s">
        <v>2138</v>
      </c>
      <c r="C85" s="294" t="s">
        <v>6868</v>
      </c>
      <c r="D85" s="295" t="s">
        <v>74</v>
      </c>
      <c r="E85" s="296" t="s">
        <v>246</v>
      </c>
      <c r="F85" s="348"/>
      <c r="G85" s="296">
        <v>2</v>
      </c>
      <c r="H85" s="296" t="s">
        <v>6359</v>
      </c>
      <c r="I85" s="349"/>
      <c r="J85" s="349"/>
      <c r="K85" s="349"/>
      <c r="L85" s="349"/>
      <c r="M85" s="349"/>
      <c r="N85" s="349"/>
      <c r="O85" s="294"/>
      <c r="P85" s="349"/>
      <c r="Q85" s="309" t="s">
        <v>6869</v>
      </c>
      <c r="R85" s="309" t="s">
        <v>6841</v>
      </c>
      <c r="S85" s="350" t="s">
        <v>6755</v>
      </c>
      <c r="T85" s="286" t="s">
        <v>6763</v>
      </c>
      <c r="U85" s="286" t="s">
        <v>6870</v>
      </c>
      <c r="V85" s="299">
        <v>6000</v>
      </c>
      <c r="W85" s="299" t="s">
        <v>6364</v>
      </c>
      <c r="X85" s="299" t="s">
        <v>100</v>
      </c>
      <c r="Y85" s="299">
        <v>100</v>
      </c>
      <c r="Z85" s="299" t="s">
        <v>6364</v>
      </c>
      <c r="AA85" s="298">
        <v>0</v>
      </c>
      <c r="AB85" s="299" t="s">
        <v>6859</v>
      </c>
      <c r="AC85" s="299">
        <v>100</v>
      </c>
      <c r="AD85" s="299" t="s">
        <v>6364</v>
      </c>
      <c r="AE85" s="301" t="s">
        <v>6367</v>
      </c>
      <c r="AF85" s="351"/>
      <c r="AG85" s="351"/>
      <c r="AH85" s="351"/>
      <c r="AI85" s="351"/>
      <c r="AJ85" s="351"/>
      <c r="AK85" s="351"/>
      <c r="AL85" s="351"/>
      <c r="AM85" s="351"/>
      <c r="AN85" s="351"/>
      <c r="AO85" s="351"/>
      <c r="AP85" s="351"/>
      <c r="AQ85" s="351"/>
      <c r="AR85" s="351"/>
      <c r="AS85" s="351"/>
      <c r="AT85" s="351"/>
      <c r="AU85" s="299" t="s">
        <v>6860</v>
      </c>
    </row>
    <row r="86" spans="1:47" ht="300">
      <c r="A86" s="293" t="s">
        <v>6871</v>
      </c>
      <c r="B86" s="294" t="s">
        <v>6872</v>
      </c>
      <c r="C86" s="294" t="s">
        <v>6873</v>
      </c>
      <c r="D86" s="295" t="s">
        <v>74</v>
      </c>
      <c r="E86" s="296" t="s">
        <v>246</v>
      </c>
      <c r="F86" s="348"/>
      <c r="G86" s="296">
        <v>2</v>
      </c>
      <c r="H86" s="296" t="s">
        <v>6359</v>
      </c>
      <c r="I86" s="349"/>
      <c r="J86" s="349"/>
      <c r="K86" s="349"/>
      <c r="L86" s="349"/>
      <c r="M86" s="349"/>
      <c r="N86" s="349"/>
      <c r="O86" s="294"/>
      <c r="P86" s="349"/>
      <c r="Q86" s="309" t="s">
        <v>6874</v>
      </c>
      <c r="R86" s="309" t="s">
        <v>6841</v>
      </c>
      <c r="S86" s="350" t="s">
        <v>6755</v>
      </c>
      <c r="T86" s="286" t="s">
        <v>6763</v>
      </c>
      <c r="U86" s="286" t="s">
        <v>6875</v>
      </c>
      <c r="V86" s="299" t="s">
        <v>6876</v>
      </c>
      <c r="W86" s="299" t="s">
        <v>6364</v>
      </c>
      <c r="X86" s="299" t="s">
        <v>100</v>
      </c>
      <c r="Y86" s="299">
        <v>10</v>
      </c>
      <c r="Z86" s="299" t="s">
        <v>6364</v>
      </c>
      <c r="AA86" s="298">
        <v>0</v>
      </c>
      <c r="AB86" s="299" t="s">
        <v>6859</v>
      </c>
      <c r="AC86" s="299">
        <v>10</v>
      </c>
      <c r="AD86" s="299" t="s">
        <v>6364</v>
      </c>
      <c r="AE86" s="301" t="s">
        <v>6367</v>
      </c>
      <c r="AF86" s="351"/>
      <c r="AG86" s="351"/>
      <c r="AH86" s="351"/>
      <c r="AI86" s="351"/>
      <c r="AJ86" s="351"/>
      <c r="AK86" s="351"/>
      <c r="AL86" s="351"/>
      <c r="AM86" s="351"/>
      <c r="AN86" s="351"/>
      <c r="AO86" s="351"/>
      <c r="AP86" s="351"/>
      <c r="AQ86" s="351"/>
      <c r="AR86" s="351"/>
      <c r="AS86" s="351"/>
      <c r="AT86" s="351"/>
      <c r="AU86" s="299" t="s">
        <v>6860</v>
      </c>
    </row>
    <row r="87" spans="1:47" ht="180">
      <c r="A87" s="293" t="s">
        <v>6877</v>
      </c>
      <c r="B87" s="294" t="s">
        <v>6878</v>
      </c>
      <c r="C87" s="294" t="s">
        <v>6879</v>
      </c>
      <c r="D87" s="295" t="s">
        <v>74</v>
      </c>
      <c r="E87" s="296" t="s">
        <v>246</v>
      </c>
      <c r="F87" s="348"/>
      <c r="G87" s="296">
        <v>2</v>
      </c>
      <c r="H87" s="296" t="s">
        <v>6359</v>
      </c>
      <c r="I87" s="349"/>
      <c r="J87" s="349"/>
      <c r="K87" s="349"/>
      <c r="L87" s="349"/>
      <c r="M87" s="349"/>
      <c r="N87" s="349"/>
      <c r="O87" s="294" t="s">
        <v>6880</v>
      </c>
      <c r="P87" s="349"/>
      <c r="Q87" s="309" t="s">
        <v>6881</v>
      </c>
      <c r="R87" s="309" t="s">
        <v>6841</v>
      </c>
      <c r="S87" s="350" t="s">
        <v>6755</v>
      </c>
      <c r="T87" s="286" t="s">
        <v>6763</v>
      </c>
      <c r="U87" s="286" t="s">
        <v>6882</v>
      </c>
      <c r="V87" s="299">
        <v>500</v>
      </c>
      <c r="W87" s="299" t="s">
        <v>6364</v>
      </c>
      <c r="X87" s="299" t="s">
        <v>100</v>
      </c>
      <c r="Y87" s="299">
        <v>100</v>
      </c>
      <c r="Z87" s="299" t="s">
        <v>6364</v>
      </c>
      <c r="AA87" s="298">
        <v>0</v>
      </c>
      <c r="AB87" s="299" t="s">
        <v>6883</v>
      </c>
      <c r="AC87" s="299">
        <v>20</v>
      </c>
      <c r="AD87" s="299" t="s">
        <v>6364</v>
      </c>
      <c r="AE87" s="301" t="s">
        <v>6367</v>
      </c>
      <c r="AF87" s="351"/>
      <c r="AG87" s="351"/>
      <c r="AH87" s="351"/>
      <c r="AI87" s="351"/>
      <c r="AJ87" s="351"/>
      <c r="AK87" s="351"/>
      <c r="AL87" s="351"/>
      <c r="AM87" s="351"/>
      <c r="AN87" s="351"/>
      <c r="AO87" s="351"/>
      <c r="AP87" s="351"/>
      <c r="AQ87" s="351"/>
      <c r="AR87" s="351"/>
      <c r="AS87" s="351"/>
      <c r="AT87" s="351"/>
      <c r="AU87" s="299" t="s">
        <v>6368</v>
      </c>
    </row>
    <row r="88" spans="1:47" ht="409.6">
      <c r="A88" s="293" t="s">
        <v>6884</v>
      </c>
      <c r="B88" s="294" t="s">
        <v>2065</v>
      </c>
      <c r="C88" s="294" t="s">
        <v>6885</v>
      </c>
      <c r="D88" s="295" t="s">
        <v>74</v>
      </c>
      <c r="E88" s="296" t="s">
        <v>246</v>
      </c>
      <c r="F88" s="348"/>
      <c r="G88" s="296">
        <v>2</v>
      </c>
      <c r="H88" s="296" t="s">
        <v>6359</v>
      </c>
      <c r="I88" s="349"/>
      <c r="J88" s="349"/>
      <c r="K88" s="349"/>
      <c r="L88" s="349"/>
      <c r="M88" s="349"/>
      <c r="N88" s="349"/>
      <c r="O88" s="294"/>
      <c r="P88" s="349"/>
      <c r="Q88" s="309" t="s">
        <v>6886</v>
      </c>
      <c r="R88" s="309" t="s">
        <v>6841</v>
      </c>
      <c r="S88" s="350" t="s">
        <v>6755</v>
      </c>
      <c r="T88" s="286" t="s">
        <v>6763</v>
      </c>
      <c r="U88" s="286" t="s">
        <v>6887</v>
      </c>
      <c r="V88" s="299" t="s">
        <v>6888</v>
      </c>
      <c r="W88" s="299" t="s">
        <v>6364</v>
      </c>
      <c r="X88" s="299" t="s">
        <v>100</v>
      </c>
      <c r="Y88" s="299">
        <v>10</v>
      </c>
      <c r="Z88" s="299" t="s">
        <v>6364</v>
      </c>
      <c r="AA88" s="298">
        <v>0</v>
      </c>
      <c r="AB88" s="299" t="s">
        <v>6845</v>
      </c>
      <c r="AC88" s="299">
        <v>10</v>
      </c>
      <c r="AD88" s="299" t="s">
        <v>6364</v>
      </c>
      <c r="AE88" s="301" t="s">
        <v>6367</v>
      </c>
      <c r="AF88" s="351"/>
      <c r="AG88" s="351"/>
      <c r="AH88" s="351"/>
      <c r="AI88" s="351"/>
      <c r="AJ88" s="351"/>
      <c r="AK88" s="351"/>
      <c r="AL88" s="351"/>
      <c r="AM88" s="351"/>
      <c r="AN88" s="351"/>
      <c r="AO88" s="351"/>
      <c r="AP88" s="351"/>
      <c r="AQ88" s="351"/>
      <c r="AR88" s="351"/>
      <c r="AS88" s="351"/>
      <c r="AT88" s="351"/>
      <c r="AU88" s="299" t="s">
        <v>6368</v>
      </c>
    </row>
    <row r="89" spans="1:47" ht="197.4" customHeight="1">
      <c r="A89" s="293" t="s">
        <v>6889</v>
      </c>
      <c r="B89" s="294" t="s">
        <v>6890</v>
      </c>
      <c r="C89" s="294" t="s">
        <v>6891</v>
      </c>
      <c r="D89" s="295" t="s">
        <v>74</v>
      </c>
      <c r="E89" s="296" t="s">
        <v>246</v>
      </c>
      <c r="F89" s="348"/>
      <c r="G89" s="296">
        <v>2</v>
      </c>
      <c r="H89" s="296" t="s">
        <v>6359</v>
      </c>
      <c r="I89" s="349"/>
      <c r="J89" s="349"/>
      <c r="K89" s="349"/>
      <c r="L89" s="349"/>
      <c r="M89" s="349"/>
      <c r="N89" s="349"/>
      <c r="O89" s="294"/>
      <c r="P89" s="349"/>
      <c r="Q89" s="294" t="s">
        <v>6892</v>
      </c>
      <c r="R89" s="294" t="s">
        <v>6893</v>
      </c>
      <c r="S89" s="350" t="s">
        <v>6755</v>
      </c>
      <c r="T89" s="286" t="s">
        <v>6763</v>
      </c>
      <c r="U89" s="364" t="s">
        <v>6894</v>
      </c>
      <c r="V89" s="298">
        <v>750</v>
      </c>
      <c r="W89" s="299" t="s">
        <v>6364</v>
      </c>
      <c r="X89" s="298" t="s">
        <v>100</v>
      </c>
      <c r="Y89" s="298">
        <v>10</v>
      </c>
      <c r="Z89" s="298" t="s">
        <v>6364</v>
      </c>
      <c r="AA89" s="298">
        <v>0</v>
      </c>
      <c r="AB89" s="298" t="s">
        <v>6895</v>
      </c>
      <c r="AC89" s="298" t="s">
        <v>6366</v>
      </c>
      <c r="AD89" s="298"/>
      <c r="AE89" s="301" t="s">
        <v>6367</v>
      </c>
      <c r="AF89" s="351"/>
      <c r="AG89" s="351"/>
      <c r="AH89" s="351"/>
      <c r="AI89" s="351"/>
      <c r="AJ89" s="351"/>
      <c r="AK89" s="351"/>
      <c r="AL89" s="351"/>
      <c r="AM89" s="351"/>
      <c r="AN89" s="351"/>
      <c r="AO89" s="351"/>
      <c r="AP89" s="351"/>
      <c r="AQ89" s="351"/>
      <c r="AR89" s="351"/>
      <c r="AS89" s="351"/>
      <c r="AT89" s="351"/>
      <c r="AU89" s="299" t="s">
        <v>6860</v>
      </c>
    </row>
    <row r="90" spans="1:47" ht="255">
      <c r="A90" s="293" t="s">
        <v>6896</v>
      </c>
      <c r="B90" s="294" t="s">
        <v>6897</v>
      </c>
      <c r="C90" s="294" t="s">
        <v>6898</v>
      </c>
      <c r="D90" s="295" t="s">
        <v>74</v>
      </c>
      <c r="E90" s="296" t="s">
        <v>246</v>
      </c>
      <c r="F90" s="348"/>
      <c r="G90" s="296">
        <v>2</v>
      </c>
      <c r="H90" s="296" t="s">
        <v>6359</v>
      </c>
      <c r="I90" s="349"/>
      <c r="J90" s="349"/>
      <c r="K90" s="349"/>
      <c r="L90" s="349"/>
      <c r="M90" s="349"/>
      <c r="N90" s="349"/>
      <c r="O90" s="294"/>
      <c r="P90" s="349"/>
      <c r="Q90" s="309" t="s">
        <v>6899</v>
      </c>
      <c r="R90" s="347" t="s">
        <v>6900</v>
      </c>
      <c r="S90" s="350" t="s">
        <v>6755</v>
      </c>
      <c r="T90" s="286" t="s">
        <v>6763</v>
      </c>
      <c r="U90" s="364" t="s">
        <v>6901</v>
      </c>
      <c r="V90" s="322" t="s">
        <v>6366</v>
      </c>
      <c r="W90" s="322" t="s">
        <v>6364</v>
      </c>
      <c r="X90" s="322" t="s">
        <v>100</v>
      </c>
      <c r="Y90" s="322">
        <v>20</v>
      </c>
      <c r="Z90" s="298" t="s">
        <v>6364</v>
      </c>
      <c r="AA90" s="298">
        <v>0</v>
      </c>
      <c r="AB90" s="298" t="s">
        <v>6902</v>
      </c>
      <c r="AC90" s="298" t="s">
        <v>6366</v>
      </c>
      <c r="AD90" s="299" t="s">
        <v>6364</v>
      </c>
      <c r="AE90" s="301" t="s">
        <v>6367</v>
      </c>
      <c r="AF90" s="351"/>
      <c r="AG90" s="351"/>
      <c r="AH90" s="351"/>
      <c r="AI90" s="351"/>
      <c r="AJ90" s="351"/>
      <c r="AK90" s="351"/>
      <c r="AL90" s="351"/>
      <c r="AM90" s="351"/>
      <c r="AN90" s="351"/>
      <c r="AO90" s="351"/>
      <c r="AP90" s="351"/>
      <c r="AQ90" s="351"/>
      <c r="AR90" s="351"/>
      <c r="AS90" s="351"/>
      <c r="AT90" s="351"/>
      <c r="AU90" s="299" t="s">
        <v>6860</v>
      </c>
    </row>
    <row r="91" spans="1:47" ht="180">
      <c r="A91" s="293" t="s">
        <v>6903</v>
      </c>
      <c r="B91" s="294" t="s">
        <v>6904</v>
      </c>
      <c r="C91" s="294" t="s">
        <v>6905</v>
      </c>
      <c r="D91" s="295" t="s">
        <v>74</v>
      </c>
      <c r="E91" s="296" t="s">
        <v>246</v>
      </c>
      <c r="F91" s="348"/>
      <c r="G91" s="296">
        <v>2</v>
      </c>
      <c r="H91" s="296" t="s">
        <v>6359</v>
      </c>
      <c r="I91" s="349"/>
      <c r="J91" s="349"/>
      <c r="K91" s="349"/>
      <c r="L91" s="349"/>
      <c r="M91" s="349"/>
      <c r="N91" s="349"/>
      <c r="O91" s="294"/>
      <c r="P91" s="349"/>
      <c r="Q91" s="316" t="s">
        <v>6906</v>
      </c>
      <c r="R91" s="316" t="s">
        <v>6907</v>
      </c>
      <c r="S91" s="350" t="s">
        <v>6755</v>
      </c>
      <c r="T91" s="286" t="s">
        <v>6763</v>
      </c>
      <c r="U91" s="321" t="s">
        <v>6908</v>
      </c>
      <c r="V91" s="322" t="s">
        <v>6909</v>
      </c>
      <c r="W91" s="299" t="s">
        <v>6364</v>
      </c>
      <c r="X91" s="299" t="s">
        <v>100</v>
      </c>
      <c r="Y91" s="299">
        <v>10</v>
      </c>
      <c r="Z91" s="299" t="s">
        <v>6364</v>
      </c>
      <c r="AA91" s="298">
        <v>0</v>
      </c>
      <c r="AB91" s="322" t="s">
        <v>6910</v>
      </c>
      <c r="AC91" s="322" t="s">
        <v>6366</v>
      </c>
      <c r="AD91" s="299" t="s">
        <v>6364</v>
      </c>
      <c r="AE91" s="301" t="s">
        <v>6367</v>
      </c>
      <c r="AF91" s="351"/>
      <c r="AG91" s="351"/>
      <c r="AH91" s="351"/>
      <c r="AI91" s="351"/>
      <c r="AJ91" s="351"/>
      <c r="AK91" s="351"/>
      <c r="AL91" s="351"/>
      <c r="AM91" s="351"/>
      <c r="AN91" s="351"/>
      <c r="AO91" s="351"/>
      <c r="AP91" s="351"/>
      <c r="AQ91" s="351"/>
      <c r="AR91" s="351"/>
      <c r="AS91" s="351"/>
      <c r="AT91" s="351"/>
      <c r="AU91" s="299" t="s">
        <v>6860</v>
      </c>
    </row>
    <row r="92" spans="1:47" ht="105">
      <c r="A92" s="365" t="s">
        <v>6911</v>
      </c>
      <c r="B92" s="366" t="s">
        <v>6912</v>
      </c>
      <c r="C92" s="366" t="s">
        <v>6913</v>
      </c>
      <c r="D92" s="295" t="s">
        <v>74</v>
      </c>
      <c r="E92" s="367" t="s">
        <v>246</v>
      </c>
      <c r="F92" s="368"/>
      <c r="G92" s="367">
        <v>2</v>
      </c>
      <c r="H92" s="367" t="s">
        <v>6359</v>
      </c>
      <c r="I92" s="369"/>
      <c r="J92" s="369"/>
      <c r="K92" s="369"/>
      <c r="L92" s="369"/>
      <c r="M92" s="369"/>
      <c r="N92" s="369"/>
      <c r="O92" s="366"/>
      <c r="P92" s="369"/>
      <c r="Q92" s="370" t="s">
        <v>6914</v>
      </c>
      <c r="R92" s="371" t="s">
        <v>6915</v>
      </c>
      <c r="S92" s="372" t="s">
        <v>6755</v>
      </c>
      <c r="T92" s="373" t="s">
        <v>6916</v>
      </c>
      <c r="U92" s="374" t="s">
        <v>6917</v>
      </c>
      <c r="V92" s="375" t="s">
        <v>6918</v>
      </c>
      <c r="W92" s="283" t="s">
        <v>6364</v>
      </c>
      <c r="X92" s="283" t="s">
        <v>100</v>
      </c>
      <c r="Y92" s="283">
        <v>20</v>
      </c>
      <c r="Z92" s="283" t="s">
        <v>6364</v>
      </c>
      <c r="AA92" s="285">
        <v>0</v>
      </c>
      <c r="AB92" s="376" t="s">
        <v>6919</v>
      </c>
      <c r="AC92" s="376" t="s">
        <v>6920</v>
      </c>
      <c r="AD92" s="376"/>
      <c r="AE92" s="377" t="s">
        <v>6367</v>
      </c>
      <c r="AF92" s="378"/>
      <c r="AG92" s="378"/>
      <c r="AH92" s="378"/>
      <c r="AI92" s="378"/>
      <c r="AJ92" s="378"/>
      <c r="AK92" s="378"/>
      <c r="AL92" s="378"/>
      <c r="AM92" s="378"/>
      <c r="AN92" s="378"/>
      <c r="AO92" s="378"/>
      <c r="AP92" s="378"/>
      <c r="AQ92" s="378"/>
      <c r="AR92" s="378"/>
      <c r="AS92" s="378"/>
      <c r="AT92" s="378"/>
      <c r="AU92" s="379" t="s">
        <v>6860</v>
      </c>
    </row>
    <row r="93" spans="1:47" ht="55.95" customHeight="1">
      <c r="A93" s="380" t="s">
        <v>6921</v>
      </c>
      <c r="B93" s="381" t="s">
        <v>6922</v>
      </c>
      <c r="C93" s="381" t="s">
        <v>6923</v>
      </c>
      <c r="D93" s="382" t="s">
        <v>74</v>
      </c>
      <c r="E93" s="383" t="s">
        <v>246</v>
      </c>
      <c r="F93" s="383"/>
      <c r="G93" s="383">
        <v>2</v>
      </c>
      <c r="H93" s="383" t="s">
        <v>6359</v>
      </c>
      <c r="I93" s="383"/>
      <c r="J93" s="383"/>
      <c r="K93" s="383"/>
      <c r="L93" s="383"/>
      <c r="M93" s="383"/>
      <c r="N93" s="383"/>
      <c r="O93" s="383" t="s">
        <v>965</v>
      </c>
      <c r="P93" s="383"/>
      <c r="Q93" s="384" t="s">
        <v>965</v>
      </c>
      <c r="R93" s="385" t="s">
        <v>6924</v>
      </c>
      <c r="S93" s="385" t="s">
        <v>82</v>
      </c>
      <c r="T93" s="386" t="s">
        <v>6925</v>
      </c>
      <c r="U93" s="376" t="s">
        <v>6926</v>
      </c>
      <c r="V93" s="375">
        <v>3000</v>
      </c>
      <c r="W93" s="299" t="s">
        <v>6364</v>
      </c>
      <c r="X93" s="299" t="s">
        <v>100</v>
      </c>
      <c r="Y93" s="299">
        <v>1000</v>
      </c>
      <c r="Z93" s="299" t="s">
        <v>6364</v>
      </c>
      <c r="AA93" s="299">
        <v>0</v>
      </c>
      <c r="AB93" s="286" t="s">
        <v>6927</v>
      </c>
      <c r="AC93" s="375" t="s">
        <v>6366</v>
      </c>
      <c r="AD93" s="283" t="s">
        <v>6364</v>
      </c>
      <c r="AE93" s="301" t="s">
        <v>6367</v>
      </c>
      <c r="AF93" s="305"/>
      <c r="AG93" s="286"/>
      <c r="AH93" s="286"/>
      <c r="AI93" s="286"/>
      <c r="AJ93" s="286"/>
      <c r="AK93" s="286"/>
      <c r="AL93" s="286"/>
      <c r="AM93" s="286"/>
      <c r="AN93" s="286"/>
      <c r="AO93" s="286"/>
      <c r="AP93" s="286"/>
      <c r="AQ93" s="286"/>
      <c r="AR93" s="286"/>
      <c r="AS93" s="286"/>
      <c r="AT93" s="286"/>
      <c r="AU93" s="387" t="s">
        <v>6860</v>
      </c>
    </row>
    <row r="94" spans="1:47" ht="180">
      <c r="A94" s="380" t="s">
        <v>6928</v>
      </c>
      <c r="B94" s="381" t="s">
        <v>6929</v>
      </c>
      <c r="C94" s="381" t="s">
        <v>6930</v>
      </c>
      <c r="D94" s="382" t="s">
        <v>74</v>
      </c>
      <c r="E94" s="383" t="s">
        <v>246</v>
      </c>
      <c r="F94" s="383"/>
      <c r="G94" s="383">
        <v>2</v>
      </c>
      <c r="H94" s="383" t="s">
        <v>6359</v>
      </c>
      <c r="I94" s="383"/>
      <c r="J94" s="383"/>
      <c r="K94" s="383"/>
      <c r="L94" s="383"/>
      <c r="M94" s="383"/>
      <c r="N94" s="383"/>
      <c r="O94" s="383" t="s">
        <v>6931</v>
      </c>
      <c r="P94" s="383"/>
      <c r="Q94" s="384" t="s">
        <v>6932</v>
      </c>
      <c r="R94" s="385" t="s">
        <v>6933</v>
      </c>
      <c r="S94" s="385" t="s">
        <v>82</v>
      </c>
      <c r="T94" s="386" t="s">
        <v>6763</v>
      </c>
      <c r="U94" s="376" t="s">
        <v>6934</v>
      </c>
      <c r="V94" s="375">
        <v>150</v>
      </c>
      <c r="W94" s="299" t="s">
        <v>6364</v>
      </c>
      <c r="X94" s="299" t="s">
        <v>100</v>
      </c>
      <c r="Y94" s="299">
        <v>50</v>
      </c>
      <c r="Z94" s="299" t="s">
        <v>6364</v>
      </c>
      <c r="AA94" s="299">
        <v>0</v>
      </c>
      <c r="AB94" s="376" t="s">
        <v>6935</v>
      </c>
      <c r="AC94" s="375">
        <v>100</v>
      </c>
      <c r="AD94" s="283" t="s">
        <v>6364</v>
      </c>
      <c r="AE94" s="301" t="s">
        <v>6367</v>
      </c>
      <c r="AF94" s="305"/>
      <c r="AG94" s="286"/>
      <c r="AH94" s="286"/>
      <c r="AI94" s="286"/>
      <c r="AJ94" s="286"/>
      <c r="AK94" s="286"/>
      <c r="AL94" s="286"/>
      <c r="AM94" s="286"/>
      <c r="AN94" s="286"/>
      <c r="AO94" s="286"/>
      <c r="AP94" s="286"/>
      <c r="AQ94" s="286"/>
      <c r="AR94" s="286"/>
      <c r="AS94" s="286"/>
      <c r="AT94" s="286"/>
      <c r="AU94" s="387" t="s">
        <v>6368</v>
      </c>
    </row>
    <row r="95" spans="1:47" ht="180">
      <c r="A95" s="380" t="s">
        <v>6936</v>
      </c>
      <c r="B95" s="381" t="s">
        <v>6937</v>
      </c>
      <c r="C95" s="381" t="s">
        <v>6938</v>
      </c>
      <c r="D95" s="382" t="s">
        <v>74</v>
      </c>
      <c r="E95" s="383" t="s">
        <v>246</v>
      </c>
      <c r="F95" s="383"/>
      <c r="G95" s="383">
        <v>2</v>
      </c>
      <c r="H95" s="383" t="s">
        <v>6359</v>
      </c>
      <c r="I95" s="383"/>
      <c r="J95" s="383"/>
      <c r="K95" s="383"/>
      <c r="L95" s="383"/>
      <c r="M95" s="383"/>
      <c r="N95" s="383"/>
      <c r="O95" s="383" t="s">
        <v>6931</v>
      </c>
      <c r="P95" s="383"/>
      <c r="Q95" s="384" t="s">
        <v>6932</v>
      </c>
      <c r="R95" s="385" t="s">
        <v>6933</v>
      </c>
      <c r="S95" s="385" t="s">
        <v>82</v>
      </c>
      <c r="T95" s="386" t="s">
        <v>6763</v>
      </c>
      <c r="U95" s="376" t="s">
        <v>6939</v>
      </c>
      <c r="V95" s="375">
        <v>150</v>
      </c>
      <c r="W95" s="299" t="s">
        <v>6364</v>
      </c>
      <c r="X95" s="299" t="s">
        <v>100</v>
      </c>
      <c r="Y95" s="299">
        <v>50</v>
      </c>
      <c r="Z95" s="299" t="s">
        <v>6364</v>
      </c>
      <c r="AA95" s="299">
        <v>0</v>
      </c>
      <c r="AB95" s="376" t="s">
        <v>6940</v>
      </c>
      <c r="AC95" s="375">
        <v>100</v>
      </c>
      <c r="AD95" s="283" t="s">
        <v>6364</v>
      </c>
      <c r="AE95" s="301" t="s">
        <v>6367</v>
      </c>
      <c r="AF95" s="305"/>
      <c r="AG95" s="286"/>
      <c r="AH95" s="286"/>
      <c r="AI95" s="286"/>
      <c r="AJ95" s="286"/>
      <c r="AK95" s="286"/>
      <c r="AL95" s="286"/>
      <c r="AM95" s="286"/>
      <c r="AN95" s="286"/>
      <c r="AO95" s="286"/>
      <c r="AP95" s="286"/>
      <c r="AQ95" s="286"/>
      <c r="AR95" s="286"/>
      <c r="AS95" s="286"/>
      <c r="AT95" s="286"/>
      <c r="AU95" s="387" t="s">
        <v>6368</v>
      </c>
    </row>
    <row r="96" spans="1:47" ht="183" customHeight="1">
      <c r="A96" s="380" t="s">
        <v>6941</v>
      </c>
      <c r="B96" s="381" t="s">
        <v>6942</v>
      </c>
      <c r="C96" s="381" t="s">
        <v>6943</v>
      </c>
      <c r="D96" s="382" t="s">
        <v>74</v>
      </c>
      <c r="E96" s="383" t="s">
        <v>246</v>
      </c>
      <c r="F96" s="383"/>
      <c r="G96" s="383">
        <v>2</v>
      </c>
      <c r="H96" s="383" t="s">
        <v>6359</v>
      </c>
      <c r="I96" s="383"/>
      <c r="J96" s="383"/>
      <c r="K96" s="383"/>
      <c r="L96" s="383"/>
      <c r="M96" s="383"/>
      <c r="N96" s="383"/>
      <c r="O96" s="383" t="s">
        <v>6931</v>
      </c>
      <c r="P96" s="383"/>
      <c r="Q96" s="384" t="s">
        <v>6932</v>
      </c>
      <c r="R96" s="385" t="s">
        <v>6933</v>
      </c>
      <c r="S96" s="385" t="s">
        <v>82</v>
      </c>
      <c r="T96" s="386" t="s">
        <v>6763</v>
      </c>
      <c r="U96" s="376" t="s">
        <v>6944</v>
      </c>
      <c r="V96" s="375">
        <v>150</v>
      </c>
      <c r="W96" s="299" t="s">
        <v>6364</v>
      </c>
      <c r="X96" s="299" t="s">
        <v>100</v>
      </c>
      <c r="Y96" s="299">
        <v>50</v>
      </c>
      <c r="Z96" s="299" t="s">
        <v>6364</v>
      </c>
      <c r="AA96" s="299">
        <v>0</v>
      </c>
      <c r="AB96" s="376" t="s">
        <v>6945</v>
      </c>
      <c r="AC96" s="375">
        <v>100</v>
      </c>
      <c r="AD96" s="283" t="s">
        <v>6364</v>
      </c>
      <c r="AE96" s="301" t="s">
        <v>6367</v>
      </c>
      <c r="AF96" s="305"/>
      <c r="AG96" s="286"/>
      <c r="AH96" s="286"/>
      <c r="AI96" s="286"/>
      <c r="AJ96" s="286"/>
      <c r="AK96" s="286"/>
      <c r="AL96" s="286"/>
      <c r="AM96" s="286"/>
      <c r="AN96" s="286"/>
      <c r="AO96" s="286"/>
      <c r="AP96" s="286"/>
      <c r="AQ96" s="286"/>
      <c r="AR96" s="286"/>
      <c r="AS96" s="286"/>
      <c r="AT96" s="286"/>
      <c r="AU96" s="387" t="s">
        <v>6368</v>
      </c>
    </row>
    <row r="97" spans="1:49" ht="180">
      <c r="A97" s="388" t="s">
        <v>6946</v>
      </c>
      <c r="B97" s="389" t="s">
        <v>2502</v>
      </c>
      <c r="C97" s="389" t="s">
        <v>6947</v>
      </c>
      <c r="D97" s="302" t="s">
        <v>74</v>
      </c>
      <c r="E97" s="299" t="s">
        <v>246</v>
      </c>
      <c r="F97" s="390"/>
      <c r="G97" s="388" t="s">
        <v>6948</v>
      </c>
      <c r="H97" s="301" t="s">
        <v>6359</v>
      </c>
      <c r="I97" s="390"/>
      <c r="J97" s="390"/>
      <c r="K97" s="390"/>
      <c r="L97" s="390"/>
      <c r="M97" s="390"/>
      <c r="N97" s="390"/>
      <c r="O97" s="388" t="s">
        <v>6949</v>
      </c>
      <c r="P97" s="390"/>
      <c r="Q97" s="388" t="s">
        <v>6949</v>
      </c>
      <c r="R97" s="388" t="s">
        <v>6841</v>
      </c>
      <c r="S97" s="388" t="s">
        <v>6755</v>
      </c>
      <c r="T97" s="388" t="s">
        <v>6677</v>
      </c>
      <c r="U97" s="388" t="s">
        <v>6950</v>
      </c>
      <c r="V97" s="390">
        <v>50</v>
      </c>
      <c r="W97" s="388" t="s">
        <v>6364</v>
      </c>
      <c r="X97" s="388" t="s">
        <v>100</v>
      </c>
      <c r="Y97" s="388" t="s">
        <v>6951</v>
      </c>
      <c r="Z97" s="390" t="s">
        <v>6364</v>
      </c>
      <c r="AA97" s="390">
        <v>0</v>
      </c>
      <c r="AB97" s="388" t="s">
        <v>6952</v>
      </c>
      <c r="AC97" s="390" t="s">
        <v>6920</v>
      </c>
      <c r="AD97" s="388"/>
      <c r="AE97" s="301" t="s">
        <v>6367</v>
      </c>
      <c r="AF97" s="390"/>
      <c r="AG97" s="390"/>
      <c r="AH97" s="390"/>
      <c r="AI97" s="390"/>
      <c r="AJ97" s="390"/>
      <c r="AK97" s="390"/>
      <c r="AL97" s="390"/>
      <c r="AM97" s="390"/>
      <c r="AN97" s="390"/>
      <c r="AO97" s="390"/>
      <c r="AP97" s="390"/>
      <c r="AQ97" s="390"/>
      <c r="AR97" s="390"/>
      <c r="AS97" s="390"/>
      <c r="AT97" s="390"/>
      <c r="AU97" s="388" t="s">
        <v>6860</v>
      </c>
    </row>
    <row r="98" spans="1:49" ht="346.95" customHeight="1">
      <c r="A98" s="388" t="s">
        <v>6953</v>
      </c>
      <c r="B98" s="389" t="s">
        <v>2609</v>
      </c>
      <c r="C98" s="389" t="s">
        <v>6954</v>
      </c>
      <c r="D98" s="302" t="s">
        <v>74</v>
      </c>
      <c r="E98" s="299" t="s">
        <v>246</v>
      </c>
      <c r="F98" s="390"/>
      <c r="G98" s="390">
        <v>2</v>
      </c>
      <c r="H98" s="301" t="s">
        <v>6359</v>
      </c>
      <c r="I98" s="390"/>
      <c r="J98" s="390"/>
      <c r="K98" s="390"/>
      <c r="L98" s="390"/>
      <c r="M98" s="390"/>
      <c r="N98" s="390"/>
      <c r="O98" s="388" t="s">
        <v>6955</v>
      </c>
      <c r="P98" s="391"/>
      <c r="Q98" s="388" t="s">
        <v>6956</v>
      </c>
      <c r="R98" s="390" t="s">
        <v>6841</v>
      </c>
      <c r="S98" s="390" t="s">
        <v>6755</v>
      </c>
      <c r="T98" s="390" t="s">
        <v>6763</v>
      </c>
      <c r="U98" s="390" t="s">
        <v>6957</v>
      </c>
      <c r="V98" s="388" t="s">
        <v>6958</v>
      </c>
      <c r="W98" s="388" t="s">
        <v>6364</v>
      </c>
      <c r="X98" s="388" t="s">
        <v>100</v>
      </c>
      <c r="Y98" s="388" t="s">
        <v>6959</v>
      </c>
      <c r="Z98" s="388" t="s">
        <v>6364</v>
      </c>
      <c r="AA98" s="390">
        <v>0</v>
      </c>
      <c r="AB98" s="390" t="s">
        <v>6859</v>
      </c>
      <c r="AC98" s="388" t="s">
        <v>6920</v>
      </c>
      <c r="AD98" s="388"/>
      <c r="AE98" s="301" t="s">
        <v>6367</v>
      </c>
      <c r="AF98" s="390"/>
      <c r="AG98" s="390"/>
      <c r="AH98" s="390"/>
      <c r="AI98" s="390"/>
      <c r="AJ98" s="390"/>
      <c r="AK98" s="390"/>
      <c r="AL98" s="390"/>
      <c r="AM98" s="390"/>
      <c r="AN98" s="390"/>
      <c r="AO98" s="390"/>
      <c r="AP98" s="390"/>
      <c r="AQ98" s="390"/>
      <c r="AR98" s="390"/>
      <c r="AS98" s="390"/>
      <c r="AT98" s="390"/>
      <c r="AU98" s="388" t="s">
        <v>6860</v>
      </c>
    </row>
    <row r="99" spans="1:49" ht="180">
      <c r="A99" s="388" t="s">
        <v>6960</v>
      </c>
      <c r="B99" s="389" t="s">
        <v>1909</v>
      </c>
      <c r="C99" s="389" t="s">
        <v>6961</v>
      </c>
      <c r="D99" s="302" t="s">
        <v>74</v>
      </c>
      <c r="E99" s="299" t="s">
        <v>246</v>
      </c>
      <c r="F99" s="390"/>
      <c r="G99" s="388" t="s">
        <v>6948</v>
      </c>
      <c r="H99" s="301" t="s">
        <v>6359</v>
      </c>
      <c r="I99" s="390"/>
      <c r="J99" s="390"/>
      <c r="K99" s="390"/>
      <c r="L99" s="390"/>
      <c r="M99" s="390"/>
      <c r="N99" s="390"/>
      <c r="O99" s="388" t="s">
        <v>6962</v>
      </c>
      <c r="P99" s="390"/>
      <c r="Q99" s="388" t="s">
        <v>6961</v>
      </c>
      <c r="R99" s="388" t="s">
        <v>6841</v>
      </c>
      <c r="S99" s="388" t="s">
        <v>6755</v>
      </c>
      <c r="T99" s="388" t="s">
        <v>6677</v>
      </c>
      <c r="U99" s="388" t="s">
        <v>6963</v>
      </c>
      <c r="V99" s="390">
        <v>50</v>
      </c>
      <c r="W99" s="388" t="s">
        <v>6364</v>
      </c>
      <c r="X99" s="388" t="s">
        <v>100</v>
      </c>
      <c r="Y99" s="388" t="s">
        <v>6951</v>
      </c>
      <c r="Z99" s="390" t="s">
        <v>6364</v>
      </c>
      <c r="AA99" s="390">
        <v>0</v>
      </c>
      <c r="AB99" s="388" t="s">
        <v>6964</v>
      </c>
      <c r="AC99" s="390" t="s">
        <v>6920</v>
      </c>
      <c r="AD99" s="388"/>
      <c r="AE99" s="301" t="s">
        <v>6367</v>
      </c>
      <c r="AF99" s="390"/>
      <c r="AG99" s="390"/>
      <c r="AH99" s="390"/>
      <c r="AI99" s="390"/>
      <c r="AJ99" s="390"/>
      <c r="AK99" s="390"/>
      <c r="AL99" s="390"/>
      <c r="AM99" s="390"/>
      <c r="AN99" s="390"/>
      <c r="AO99" s="390"/>
      <c r="AP99" s="390"/>
      <c r="AQ99" s="390"/>
      <c r="AR99" s="390"/>
      <c r="AS99" s="390"/>
      <c r="AT99" s="390"/>
      <c r="AU99" s="388" t="s">
        <v>6860</v>
      </c>
    </row>
    <row r="100" spans="1:49" ht="180">
      <c r="A100" s="388" t="s">
        <v>6965</v>
      </c>
      <c r="B100" s="389" t="s">
        <v>1901</v>
      </c>
      <c r="C100" s="389" t="s">
        <v>6966</v>
      </c>
      <c r="D100" s="302" t="s">
        <v>74</v>
      </c>
      <c r="E100" s="299" t="s">
        <v>246</v>
      </c>
      <c r="F100" s="390"/>
      <c r="G100" s="388" t="s">
        <v>6948</v>
      </c>
      <c r="H100" s="301" t="s">
        <v>6359</v>
      </c>
      <c r="I100" s="390"/>
      <c r="J100" s="390"/>
      <c r="K100" s="390"/>
      <c r="L100" s="390"/>
      <c r="M100" s="390"/>
      <c r="N100" s="390"/>
      <c r="O100" s="388" t="s">
        <v>6962</v>
      </c>
      <c r="P100" s="390"/>
      <c r="Q100" s="388" t="s">
        <v>6966</v>
      </c>
      <c r="R100" s="388" t="s">
        <v>6841</v>
      </c>
      <c r="S100" s="388" t="s">
        <v>6755</v>
      </c>
      <c r="T100" s="388" t="s">
        <v>6677</v>
      </c>
      <c r="U100" s="388" t="s">
        <v>6963</v>
      </c>
      <c r="V100" s="390">
        <v>50</v>
      </c>
      <c r="W100" s="388" t="s">
        <v>6364</v>
      </c>
      <c r="X100" s="388" t="s">
        <v>100</v>
      </c>
      <c r="Y100" s="388" t="s">
        <v>6951</v>
      </c>
      <c r="Z100" s="390" t="s">
        <v>6364</v>
      </c>
      <c r="AA100" s="390">
        <v>0</v>
      </c>
      <c r="AB100" s="388" t="s">
        <v>6964</v>
      </c>
      <c r="AC100" s="390" t="s">
        <v>6920</v>
      </c>
      <c r="AD100" s="388"/>
      <c r="AE100" s="301" t="s">
        <v>6367</v>
      </c>
      <c r="AF100" s="390"/>
      <c r="AG100" s="390"/>
      <c r="AH100" s="390"/>
      <c r="AI100" s="390"/>
      <c r="AJ100" s="390"/>
      <c r="AK100" s="390"/>
      <c r="AL100" s="390"/>
      <c r="AM100" s="390"/>
      <c r="AN100" s="390"/>
      <c r="AO100" s="390"/>
      <c r="AP100" s="390"/>
      <c r="AQ100" s="390"/>
      <c r="AR100" s="390"/>
      <c r="AS100" s="390"/>
      <c r="AT100" s="390"/>
      <c r="AU100" s="388" t="s">
        <v>6860</v>
      </c>
    </row>
    <row r="101" spans="1:49" ht="180">
      <c r="A101" s="388" t="s">
        <v>6967</v>
      </c>
      <c r="B101" s="389" t="s">
        <v>6968</v>
      </c>
      <c r="C101" s="389" t="s">
        <v>6969</v>
      </c>
      <c r="D101" s="302" t="s">
        <v>74</v>
      </c>
      <c r="E101" s="299" t="s">
        <v>246</v>
      </c>
      <c r="F101" s="390"/>
      <c r="G101" s="390">
        <v>2</v>
      </c>
      <c r="H101" s="301" t="s">
        <v>6359</v>
      </c>
      <c r="I101" s="390"/>
      <c r="J101" s="390"/>
      <c r="K101" s="390"/>
      <c r="L101" s="390"/>
      <c r="M101" s="390"/>
      <c r="N101" s="390"/>
      <c r="O101" s="388" t="s">
        <v>6970</v>
      </c>
      <c r="P101" s="391"/>
      <c r="Q101" s="388" t="s">
        <v>6971</v>
      </c>
      <c r="R101" s="390" t="s">
        <v>6841</v>
      </c>
      <c r="S101" s="390" t="s">
        <v>6755</v>
      </c>
      <c r="T101" s="390" t="s">
        <v>6763</v>
      </c>
      <c r="U101" s="390" t="s">
        <v>6972</v>
      </c>
      <c r="V101" s="388" t="s">
        <v>6958</v>
      </c>
      <c r="W101" s="388" t="s">
        <v>6364</v>
      </c>
      <c r="X101" s="388" t="s">
        <v>100</v>
      </c>
      <c r="Y101" s="388" t="s">
        <v>6959</v>
      </c>
      <c r="Z101" s="388" t="s">
        <v>6364</v>
      </c>
      <c r="AA101" s="390">
        <v>0</v>
      </c>
      <c r="AB101" s="390" t="s">
        <v>6859</v>
      </c>
      <c r="AC101" s="388" t="s">
        <v>6920</v>
      </c>
      <c r="AD101" s="388"/>
      <c r="AE101" s="301" t="s">
        <v>6367</v>
      </c>
      <c r="AF101" s="390"/>
      <c r="AG101" s="390"/>
      <c r="AH101" s="390"/>
      <c r="AI101" s="390"/>
      <c r="AJ101" s="390"/>
      <c r="AK101" s="390"/>
      <c r="AL101" s="390"/>
      <c r="AM101" s="390"/>
      <c r="AN101" s="390"/>
      <c r="AO101" s="390"/>
      <c r="AP101" s="390"/>
      <c r="AQ101" s="390"/>
      <c r="AR101" s="390"/>
      <c r="AS101" s="390"/>
      <c r="AT101" s="390"/>
      <c r="AU101" s="388" t="s">
        <v>6860</v>
      </c>
    </row>
    <row r="102" spans="1:49" ht="180">
      <c r="A102" s="388" t="s">
        <v>6973</v>
      </c>
      <c r="B102" s="389" t="s">
        <v>2161</v>
      </c>
      <c r="C102" s="389" t="s">
        <v>6974</v>
      </c>
      <c r="D102" s="302" t="s">
        <v>74</v>
      </c>
      <c r="E102" s="299" t="s">
        <v>246</v>
      </c>
      <c r="F102" s="390"/>
      <c r="G102" s="390">
        <v>2</v>
      </c>
      <c r="H102" s="301" t="s">
        <v>6359</v>
      </c>
      <c r="I102" s="390"/>
      <c r="J102" s="390"/>
      <c r="K102" s="390"/>
      <c r="L102" s="390"/>
      <c r="M102" s="390"/>
      <c r="N102" s="390"/>
      <c r="O102" s="388" t="s">
        <v>6970</v>
      </c>
      <c r="P102" s="391"/>
      <c r="Q102" s="388" t="s">
        <v>6975</v>
      </c>
      <c r="R102" s="390" t="s">
        <v>6841</v>
      </c>
      <c r="S102" s="390" t="s">
        <v>6755</v>
      </c>
      <c r="T102" s="390" t="s">
        <v>6763</v>
      </c>
      <c r="U102" s="390" t="s">
        <v>6972</v>
      </c>
      <c r="V102" s="388" t="s">
        <v>6958</v>
      </c>
      <c r="W102" s="388" t="s">
        <v>6364</v>
      </c>
      <c r="X102" s="388" t="s">
        <v>100</v>
      </c>
      <c r="Y102" s="388" t="s">
        <v>6959</v>
      </c>
      <c r="Z102" s="388" t="s">
        <v>6364</v>
      </c>
      <c r="AA102" s="390">
        <v>0</v>
      </c>
      <c r="AB102" s="390" t="s">
        <v>6859</v>
      </c>
      <c r="AC102" s="388" t="s">
        <v>6920</v>
      </c>
      <c r="AD102" s="388"/>
      <c r="AE102" s="301" t="s">
        <v>6367</v>
      </c>
      <c r="AF102" s="390"/>
      <c r="AG102" s="390"/>
      <c r="AH102" s="390"/>
      <c r="AI102" s="390"/>
      <c r="AJ102" s="390"/>
      <c r="AK102" s="390"/>
      <c r="AL102" s="390"/>
      <c r="AM102" s="390"/>
      <c r="AN102" s="390"/>
      <c r="AO102" s="390"/>
      <c r="AP102" s="390"/>
      <c r="AQ102" s="390"/>
      <c r="AR102" s="390"/>
      <c r="AS102" s="390"/>
      <c r="AT102" s="390"/>
      <c r="AU102" s="388" t="s">
        <v>6860</v>
      </c>
    </row>
    <row r="103" spans="1:49" ht="283.2" customHeight="1">
      <c r="A103" s="392" t="s">
        <v>6976</v>
      </c>
      <c r="B103" s="392" t="s">
        <v>6298</v>
      </c>
      <c r="C103" s="393" t="s">
        <v>6977</v>
      </c>
      <c r="D103" s="392" t="s">
        <v>74</v>
      </c>
      <c r="E103" s="392" t="s">
        <v>246</v>
      </c>
      <c r="F103" s="392"/>
      <c r="G103" s="392">
        <v>2</v>
      </c>
      <c r="H103" s="392" t="s">
        <v>6359</v>
      </c>
      <c r="I103" s="392"/>
      <c r="J103" s="392"/>
      <c r="K103" s="392"/>
      <c r="L103" s="392"/>
      <c r="M103" s="392"/>
      <c r="N103" s="392"/>
      <c r="O103" s="392" t="s">
        <v>965</v>
      </c>
      <c r="P103" s="392"/>
      <c r="Q103" s="392" t="s">
        <v>965</v>
      </c>
      <c r="R103" s="392" t="s">
        <v>6924</v>
      </c>
      <c r="S103" s="392" t="s">
        <v>6755</v>
      </c>
      <c r="T103" s="392" t="s">
        <v>6978</v>
      </c>
      <c r="U103" s="392" t="s">
        <v>6979</v>
      </c>
      <c r="V103" s="392" t="s">
        <v>6920</v>
      </c>
      <c r="W103" s="392" t="s">
        <v>6364</v>
      </c>
      <c r="X103" s="392" t="s">
        <v>100</v>
      </c>
      <c r="Y103" s="392">
        <v>1</v>
      </c>
      <c r="Z103" s="392" t="s">
        <v>6980</v>
      </c>
      <c r="AA103" s="392">
        <v>0</v>
      </c>
      <c r="AB103" s="392" t="s">
        <v>6981</v>
      </c>
      <c r="AC103" s="392" t="s">
        <v>6920</v>
      </c>
      <c r="AD103" s="392" t="s">
        <v>6364</v>
      </c>
      <c r="AE103" s="392" t="s">
        <v>6367</v>
      </c>
      <c r="AF103" s="392"/>
      <c r="AG103" s="392"/>
      <c r="AH103" s="392"/>
      <c r="AI103" s="392"/>
      <c r="AJ103" s="392"/>
      <c r="AK103" s="392"/>
      <c r="AL103" s="392"/>
      <c r="AM103" s="392"/>
      <c r="AN103" s="392"/>
      <c r="AO103" s="392"/>
      <c r="AP103" s="392"/>
      <c r="AQ103" s="392"/>
      <c r="AR103" s="392"/>
      <c r="AS103" s="392"/>
      <c r="AT103" s="392"/>
      <c r="AU103" s="392" t="s">
        <v>6860</v>
      </c>
    </row>
    <row r="104" spans="1:49" ht="203.4" customHeight="1">
      <c r="A104" s="392" t="s">
        <v>6982</v>
      </c>
      <c r="B104" s="392" t="s">
        <v>960</v>
      </c>
      <c r="C104" s="393" t="s">
        <v>961</v>
      </c>
      <c r="D104" s="392" t="s">
        <v>74</v>
      </c>
      <c r="E104" s="392" t="s">
        <v>246</v>
      </c>
      <c r="F104" s="392"/>
      <c r="G104" s="392">
        <v>2</v>
      </c>
      <c r="H104" s="392" t="s">
        <v>6359</v>
      </c>
      <c r="I104" s="392"/>
      <c r="J104" s="392"/>
      <c r="K104" s="392"/>
      <c r="L104" s="392"/>
      <c r="M104" s="392"/>
      <c r="N104" s="392"/>
      <c r="O104" s="392" t="s">
        <v>6983</v>
      </c>
      <c r="P104" s="392"/>
      <c r="Q104" s="392" t="s">
        <v>965</v>
      </c>
      <c r="R104" s="392" t="s">
        <v>964</v>
      </c>
      <c r="S104" s="392" t="s">
        <v>82</v>
      </c>
      <c r="T104" s="392" t="s">
        <v>6763</v>
      </c>
      <c r="U104" s="392" t="s">
        <v>6984</v>
      </c>
      <c r="V104" s="392" t="s">
        <v>6985</v>
      </c>
      <c r="W104" s="392" t="s">
        <v>6364</v>
      </c>
      <c r="X104" s="392" t="s">
        <v>100</v>
      </c>
      <c r="Y104" s="392" t="s">
        <v>6985</v>
      </c>
      <c r="Z104" s="392" t="s">
        <v>6364</v>
      </c>
      <c r="AA104" s="392" t="s">
        <v>6985</v>
      </c>
      <c r="AB104" s="392" t="s">
        <v>6985</v>
      </c>
      <c r="AC104" s="392" t="s">
        <v>6985</v>
      </c>
      <c r="AD104" s="392"/>
      <c r="AE104" s="392" t="s">
        <v>6367</v>
      </c>
      <c r="AF104" s="392"/>
      <c r="AG104" s="392"/>
      <c r="AH104" s="392"/>
      <c r="AI104" s="392"/>
      <c r="AJ104" s="392"/>
      <c r="AK104" s="392"/>
      <c r="AL104" s="392"/>
      <c r="AM104" s="392"/>
      <c r="AN104" s="392"/>
      <c r="AO104" s="392"/>
      <c r="AP104" s="392"/>
      <c r="AQ104" s="392"/>
      <c r="AR104" s="392"/>
      <c r="AS104" s="392"/>
      <c r="AT104" s="392"/>
      <c r="AU104" s="392" t="s">
        <v>6368</v>
      </c>
    </row>
    <row r="105" spans="1:49" ht="203.4" customHeight="1">
      <c r="A105" s="392" t="s">
        <v>6986</v>
      </c>
      <c r="B105" s="392" t="s">
        <v>970</v>
      </c>
      <c r="C105" s="393" t="s">
        <v>971</v>
      </c>
      <c r="D105" s="392" t="s">
        <v>74</v>
      </c>
      <c r="E105" s="392" t="s">
        <v>246</v>
      </c>
      <c r="F105" s="392"/>
      <c r="G105" s="392">
        <v>2</v>
      </c>
      <c r="H105" s="392" t="s">
        <v>6359</v>
      </c>
      <c r="I105" s="392"/>
      <c r="J105" s="392"/>
      <c r="K105" s="392"/>
      <c r="L105" s="392"/>
      <c r="M105" s="392"/>
      <c r="N105" s="392"/>
      <c r="O105" s="392" t="s">
        <v>6987</v>
      </c>
      <c r="P105" s="392"/>
      <c r="Q105" s="392" t="s">
        <v>965</v>
      </c>
      <c r="R105" s="392" t="s">
        <v>972</v>
      </c>
      <c r="S105" s="392" t="s">
        <v>82</v>
      </c>
      <c r="T105" s="392" t="s">
        <v>6763</v>
      </c>
      <c r="U105" s="392" t="s">
        <v>6988</v>
      </c>
      <c r="V105" s="392" t="s">
        <v>6985</v>
      </c>
      <c r="W105" s="392" t="s">
        <v>6364</v>
      </c>
      <c r="X105" s="392" t="s">
        <v>100</v>
      </c>
      <c r="Y105" s="392" t="s">
        <v>6985</v>
      </c>
      <c r="Z105" s="392" t="s">
        <v>6364</v>
      </c>
      <c r="AA105" s="392" t="s">
        <v>6985</v>
      </c>
      <c r="AB105" s="392" t="s">
        <v>6985</v>
      </c>
      <c r="AC105" s="392" t="s">
        <v>6985</v>
      </c>
      <c r="AD105" s="392"/>
      <c r="AE105" s="392" t="s">
        <v>6367</v>
      </c>
      <c r="AF105" s="392"/>
      <c r="AG105" s="392"/>
      <c r="AH105" s="392"/>
      <c r="AI105" s="392"/>
      <c r="AJ105" s="392"/>
      <c r="AK105" s="392"/>
      <c r="AL105" s="392"/>
      <c r="AM105" s="392"/>
      <c r="AN105" s="392"/>
      <c r="AO105" s="392"/>
      <c r="AP105" s="392"/>
      <c r="AQ105" s="392"/>
      <c r="AR105" s="392"/>
      <c r="AS105" s="392"/>
      <c r="AT105" s="392"/>
      <c r="AU105" s="392" t="s">
        <v>6368</v>
      </c>
    </row>
    <row r="106" spans="1:49" ht="203.4" customHeight="1">
      <c r="A106" s="392" t="s">
        <v>6989</v>
      </c>
      <c r="B106" s="392" t="s">
        <v>975</v>
      </c>
      <c r="C106" s="393" t="s">
        <v>6990</v>
      </c>
      <c r="D106" s="392" t="s">
        <v>74</v>
      </c>
      <c r="E106" s="392" t="s">
        <v>246</v>
      </c>
      <c r="F106" s="392"/>
      <c r="G106" s="392">
        <v>2</v>
      </c>
      <c r="H106" s="392" t="s">
        <v>6359</v>
      </c>
      <c r="I106" s="392"/>
      <c r="J106" s="392"/>
      <c r="K106" s="392"/>
      <c r="L106" s="392"/>
      <c r="M106" s="392"/>
      <c r="N106" s="392"/>
      <c r="O106" s="392" t="s">
        <v>976</v>
      </c>
      <c r="P106" s="392"/>
      <c r="Q106" s="392" t="s">
        <v>965</v>
      </c>
      <c r="R106" s="392" t="s">
        <v>977</v>
      </c>
      <c r="S106" s="392" t="s">
        <v>82</v>
      </c>
      <c r="T106" s="392" t="s">
        <v>6763</v>
      </c>
      <c r="U106" s="392" t="s">
        <v>6991</v>
      </c>
      <c r="V106" s="392" t="s">
        <v>6985</v>
      </c>
      <c r="W106" s="392" t="s">
        <v>6364</v>
      </c>
      <c r="X106" s="392" t="s">
        <v>100</v>
      </c>
      <c r="Y106" s="392" t="s">
        <v>6985</v>
      </c>
      <c r="Z106" s="392" t="s">
        <v>6364</v>
      </c>
      <c r="AA106" s="392" t="s">
        <v>6985</v>
      </c>
      <c r="AB106" s="392" t="s">
        <v>6985</v>
      </c>
      <c r="AC106" s="392" t="s">
        <v>6985</v>
      </c>
      <c r="AD106" s="392"/>
      <c r="AE106" s="392" t="s">
        <v>6367</v>
      </c>
      <c r="AF106" s="392"/>
      <c r="AG106" s="392"/>
      <c r="AH106" s="392"/>
      <c r="AI106" s="392"/>
      <c r="AJ106" s="392"/>
      <c r="AK106" s="392"/>
      <c r="AL106" s="392"/>
      <c r="AM106" s="392"/>
      <c r="AN106" s="392"/>
      <c r="AO106" s="392"/>
      <c r="AP106" s="392"/>
      <c r="AQ106" s="392"/>
      <c r="AR106" s="392"/>
      <c r="AS106" s="392"/>
      <c r="AT106" s="392"/>
      <c r="AU106" s="392" t="s">
        <v>6368</v>
      </c>
    </row>
    <row r="107" spans="1:49" ht="203.4" customHeight="1">
      <c r="A107" s="392" t="s">
        <v>6992</v>
      </c>
      <c r="B107" s="392" t="s">
        <v>6993</v>
      </c>
      <c r="C107" s="393" t="s">
        <v>6994</v>
      </c>
      <c r="D107" s="392" t="s">
        <v>74</v>
      </c>
      <c r="E107" s="392" t="s">
        <v>246</v>
      </c>
      <c r="F107" s="392"/>
      <c r="G107" s="392">
        <v>2</v>
      </c>
      <c r="H107" s="392" t="s">
        <v>6359</v>
      </c>
      <c r="I107" s="392"/>
      <c r="J107" s="392"/>
      <c r="K107" s="392"/>
      <c r="L107" s="392"/>
      <c r="M107" s="392"/>
      <c r="N107" s="392"/>
      <c r="O107" s="392" t="s">
        <v>6995</v>
      </c>
      <c r="P107" s="392"/>
      <c r="Q107" s="392" t="s">
        <v>965</v>
      </c>
      <c r="R107" s="392" t="s">
        <v>6996</v>
      </c>
      <c r="S107" s="392" t="s">
        <v>82</v>
      </c>
      <c r="T107" s="392" t="s">
        <v>6763</v>
      </c>
      <c r="U107" s="392" t="s">
        <v>6997</v>
      </c>
      <c r="V107" s="392" t="s">
        <v>6985</v>
      </c>
      <c r="W107" s="392" t="s">
        <v>6364</v>
      </c>
      <c r="X107" s="392" t="s">
        <v>100</v>
      </c>
      <c r="Y107" s="392" t="s">
        <v>6985</v>
      </c>
      <c r="Z107" s="392" t="s">
        <v>6364</v>
      </c>
      <c r="AA107" s="392" t="s">
        <v>6985</v>
      </c>
      <c r="AB107" s="392" t="s">
        <v>6985</v>
      </c>
      <c r="AC107" s="392" t="s">
        <v>6985</v>
      </c>
      <c r="AD107" s="392"/>
      <c r="AE107" s="392" t="s">
        <v>6367</v>
      </c>
      <c r="AF107" s="392"/>
      <c r="AG107" s="392"/>
      <c r="AH107" s="392"/>
      <c r="AI107" s="392"/>
      <c r="AJ107" s="392"/>
      <c r="AK107" s="392"/>
      <c r="AL107" s="392"/>
      <c r="AM107" s="392"/>
      <c r="AN107" s="392"/>
      <c r="AO107" s="392"/>
      <c r="AP107" s="392"/>
      <c r="AQ107" s="392"/>
      <c r="AR107" s="392"/>
      <c r="AS107" s="392"/>
      <c r="AT107" s="392"/>
      <c r="AU107" s="392" t="s">
        <v>6368</v>
      </c>
    </row>
    <row r="108" spans="1:49" ht="203.4" customHeight="1">
      <c r="A108" s="392" t="s">
        <v>6998</v>
      </c>
      <c r="B108" s="392" t="s">
        <v>980</v>
      </c>
      <c r="C108" s="393" t="s">
        <v>981</v>
      </c>
      <c r="D108" s="392" t="s">
        <v>74</v>
      </c>
      <c r="E108" s="392" t="s">
        <v>246</v>
      </c>
      <c r="F108" s="392"/>
      <c r="G108" s="392">
        <v>2</v>
      </c>
      <c r="H108" s="392" t="s">
        <v>6359</v>
      </c>
      <c r="I108" s="392"/>
      <c r="J108" s="392"/>
      <c r="K108" s="392"/>
      <c r="L108" s="392"/>
      <c r="M108" s="392"/>
      <c r="N108" s="392"/>
      <c r="O108" s="392" t="s">
        <v>6999</v>
      </c>
      <c r="P108" s="392"/>
      <c r="Q108" s="392" t="s">
        <v>965</v>
      </c>
      <c r="R108" s="392" t="s">
        <v>982</v>
      </c>
      <c r="S108" s="392" t="s">
        <v>82</v>
      </c>
      <c r="T108" s="392" t="s">
        <v>6763</v>
      </c>
      <c r="U108" s="392" t="s">
        <v>7000</v>
      </c>
      <c r="V108" s="392" t="s">
        <v>6985</v>
      </c>
      <c r="W108" s="392" t="s">
        <v>6364</v>
      </c>
      <c r="X108" s="392" t="s">
        <v>100</v>
      </c>
      <c r="Y108" s="392" t="s">
        <v>6985</v>
      </c>
      <c r="Z108" s="392" t="s">
        <v>6364</v>
      </c>
      <c r="AA108" s="392" t="s">
        <v>6985</v>
      </c>
      <c r="AB108" s="392" t="s">
        <v>6985</v>
      </c>
      <c r="AC108" s="392" t="s">
        <v>6985</v>
      </c>
      <c r="AD108" s="392"/>
      <c r="AE108" s="392" t="s">
        <v>6367</v>
      </c>
      <c r="AF108" s="392"/>
      <c r="AG108" s="392"/>
      <c r="AH108" s="392"/>
      <c r="AI108" s="392"/>
      <c r="AJ108" s="392"/>
      <c r="AK108" s="392"/>
      <c r="AL108" s="392"/>
      <c r="AM108" s="392"/>
      <c r="AN108" s="392"/>
      <c r="AO108" s="392"/>
      <c r="AP108" s="392"/>
      <c r="AQ108" s="392"/>
      <c r="AR108" s="392"/>
      <c r="AS108" s="392"/>
      <c r="AT108" s="392"/>
      <c r="AU108" s="392" t="s">
        <v>6368</v>
      </c>
    </row>
    <row r="109" spans="1:49" ht="203.4" customHeight="1">
      <c r="A109" s="392" t="s">
        <v>7001</v>
      </c>
      <c r="B109" s="392" t="s">
        <v>985</v>
      </c>
      <c r="C109" s="393" t="s">
        <v>7002</v>
      </c>
      <c r="D109" s="392" t="s">
        <v>74</v>
      </c>
      <c r="E109" s="392" t="s">
        <v>246</v>
      </c>
      <c r="F109" s="392"/>
      <c r="G109" s="392">
        <v>2</v>
      </c>
      <c r="H109" s="392" t="s">
        <v>6359</v>
      </c>
      <c r="I109" s="392"/>
      <c r="J109" s="392"/>
      <c r="K109" s="392"/>
      <c r="L109" s="392"/>
      <c r="M109" s="392"/>
      <c r="N109" s="392"/>
      <c r="O109" s="392" t="s">
        <v>7002</v>
      </c>
      <c r="P109" s="392"/>
      <c r="Q109" s="392" t="s">
        <v>965</v>
      </c>
      <c r="R109" s="392" t="s">
        <v>987</v>
      </c>
      <c r="S109" s="392" t="s">
        <v>82</v>
      </c>
      <c r="T109" s="392" t="s">
        <v>6763</v>
      </c>
      <c r="U109" s="392" t="s">
        <v>7003</v>
      </c>
      <c r="V109" s="392" t="s">
        <v>6985</v>
      </c>
      <c r="W109" s="392" t="s">
        <v>6364</v>
      </c>
      <c r="X109" s="392" t="s">
        <v>100</v>
      </c>
      <c r="Y109" s="392" t="s">
        <v>6985</v>
      </c>
      <c r="Z109" s="392" t="s">
        <v>6364</v>
      </c>
      <c r="AA109" s="392" t="s">
        <v>6985</v>
      </c>
      <c r="AB109" s="392" t="s">
        <v>6985</v>
      </c>
      <c r="AC109" s="392" t="s">
        <v>6985</v>
      </c>
      <c r="AD109" s="392"/>
      <c r="AE109" s="392" t="s">
        <v>6367</v>
      </c>
      <c r="AF109" s="392"/>
      <c r="AG109" s="392"/>
      <c r="AH109" s="392"/>
      <c r="AI109" s="392"/>
      <c r="AJ109" s="392"/>
      <c r="AK109" s="392"/>
      <c r="AL109" s="392"/>
      <c r="AM109" s="392"/>
      <c r="AN109" s="392"/>
      <c r="AO109" s="392"/>
      <c r="AP109" s="392"/>
      <c r="AQ109" s="392"/>
      <c r="AR109" s="392"/>
      <c r="AS109" s="392"/>
      <c r="AT109" s="392"/>
      <c r="AU109" s="392" t="s">
        <v>6368</v>
      </c>
    </row>
    <row r="110" spans="1:49" ht="203.4" customHeight="1">
      <c r="A110" s="392" t="s">
        <v>7004</v>
      </c>
      <c r="B110" s="392" t="s">
        <v>2764</v>
      </c>
      <c r="C110" s="393" t="s">
        <v>7005</v>
      </c>
      <c r="D110" s="392" t="s">
        <v>74</v>
      </c>
      <c r="E110" s="392" t="s">
        <v>246</v>
      </c>
      <c r="F110" s="392"/>
      <c r="G110" s="392">
        <v>2</v>
      </c>
      <c r="H110" s="392" t="s">
        <v>6359</v>
      </c>
      <c r="I110" s="392"/>
      <c r="J110" s="392"/>
      <c r="K110" s="392"/>
      <c r="L110" s="392"/>
      <c r="M110" s="392"/>
      <c r="N110" s="392"/>
      <c r="O110" s="392" t="s">
        <v>7005</v>
      </c>
      <c r="P110" s="392"/>
      <c r="Q110" s="392" t="s">
        <v>965</v>
      </c>
      <c r="R110" s="392" t="s">
        <v>7006</v>
      </c>
      <c r="S110" s="392" t="s">
        <v>82</v>
      </c>
      <c r="T110" s="392" t="s">
        <v>6763</v>
      </c>
      <c r="U110" s="392" t="s">
        <v>7007</v>
      </c>
      <c r="V110" s="392" t="s">
        <v>6985</v>
      </c>
      <c r="W110" s="392" t="s">
        <v>6364</v>
      </c>
      <c r="X110" s="392" t="s">
        <v>100</v>
      </c>
      <c r="Y110" s="392" t="s">
        <v>6985</v>
      </c>
      <c r="Z110" s="392" t="s">
        <v>6364</v>
      </c>
      <c r="AA110" s="392" t="s">
        <v>6985</v>
      </c>
      <c r="AB110" s="392" t="s">
        <v>6985</v>
      </c>
      <c r="AC110" s="392" t="s">
        <v>6985</v>
      </c>
      <c r="AD110" s="392"/>
      <c r="AE110" s="392" t="s">
        <v>6367</v>
      </c>
      <c r="AF110" s="392"/>
      <c r="AG110" s="392"/>
      <c r="AH110" s="392"/>
      <c r="AI110" s="392"/>
      <c r="AJ110" s="392"/>
      <c r="AK110" s="392"/>
      <c r="AL110" s="392"/>
      <c r="AM110" s="392"/>
      <c r="AN110" s="392"/>
      <c r="AO110" s="392"/>
      <c r="AP110" s="392"/>
      <c r="AQ110" s="392"/>
      <c r="AR110" s="392"/>
      <c r="AS110" s="392"/>
      <c r="AT110" s="392"/>
      <c r="AU110" s="392" t="s">
        <v>6368</v>
      </c>
    </row>
    <row r="111" spans="1:49" ht="75">
      <c r="A111" s="392" t="s">
        <v>7008</v>
      </c>
      <c r="B111" s="392" t="s">
        <v>7009</v>
      </c>
      <c r="C111" s="393" t="s">
        <v>7010</v>
      </c>
      <c r="D111" s="392" t="s">
        <v>74</v>
      </c>
      <c r="E111" s="392" t="s">
        <v>246</v>
      </c>
      <c r="F111" s="392"/>
      <c r="G111" s="392">
        <v>2</v>
      </c>
      <c r="H111" s="392" t="s">
        <v>6359</v>
      </c>
      <c r="I111" s="392"/>
      <c r="J111" s="392"/>
      <c r="K111" s="392"/>
      <c r="L111" s="392"/>
      <c r="M111" s="392"/>
      <c r="N111" s="392"/>
      <c r="O111" s="392" t="s">
        <v>7011</v>
      </c>
      <c r="P111" s="392"/>
      <c r="Q111" s="392" t="s">
        <v>7012</v>
      </c>
      <c r="R111" s="392" t="s">
        <v>6711</v>
      </c>
      <c r="S111" s="392" t="s">
        <v>82</v>
      </c>
      <c r="T111" s="392" t="s">
        <v>6686</v>
      </c>
      <c r="U111" s="392" t="s">
        <v>7013</v>
      </c>
      <c r="V111" s="392">
        <v>1000</v>
      </c>
      <c r="W111" s="392" t="s">
        <v>6364</v>
      </c>
      <c r="X111" s="392" t="s">
        <v>100</v>
      </c>
      <c r="Y111" s="392">
        <v>20</v>
      </c>
      <c r="Z111" s="392"/>
      <c r="AA111" s="392">
        <v>0</v>
      </c>
      <c r="AB111" s="392" t="s">
        <v>6713</v>
      </c>
      <c r="AC111" s="392" t="s">
        <v>6920</v>
      </c>
      <c r="AD111" s="392"/>
      <c r="AE111" s="392" t="s">
        <v>6367</v>
      </c>
      <c r="AF111" s="392"/>
      <c r="AG111" s="392"/>
      <c r="AH111" s="392"/>
      <c r="AI111" s="392"/>
      <c r="AJ111" s="392"/>
      <c r="AK111" s="392"/>
      <c r="AL111" s="392"/>
      <c r="AM111" s="392"/>
      <c r="AN111" s="392"/>
      <c r="AO111" s="392"/>
      <c r="AP111" s="392"/>
      <c r="AQ111" s="392"/>
      <c r="AR111" s="392"/>
      <c r="AS111" s="392"/>
      <c r="AT111" s="392"/>
      <c r="AU111" s="392" t="s">
        <v>6368</v>
      </c>
    </row>
    <row r="112" spans="1:49" ht="256.2" hidden="1" customHeight="1">
      <c r="A112" s="293" t="s">
        <v>7014</v>
      </c>
      <c r="B112" s="294" t="s">
        <v>7015</v>
      </c>
      <c r="C112" s="294" t="s">
        <v>7016</v>
      </c>
      <c r="D112" s="295" t="s">
        <v>74</v>
      </c>
      <c r="E112" s="296" t="s">
        <v>246</v>
      </c>
      <c r="F112" s="295"/>
      <c r="G112" s="296">
        <v>2</v>
      </c>
      <c r="H112" s="296" t="s">
        <v>6359</v>
      </c>
      <c r="I112" s="295"/>
      <c r="J112" s="295"/>
      <c r="K112" s="295"/>
      <c r="L112" s="295"/>
      <c r="M112" s="295"/>
      <c r="N112" s="297"/>
      <c r="O112" s="294" t="s">
        <v>7017</v>
      </c>
      <c r="P112" s="295"/>
      <c r="Q112" s="294" t="s">
        <v>7018</v>
      </c>
      <c r="R112" s="294" t="s">
        <v>6841</v>
      </c>
      <c r="S112" s="296" t="s">
        <v>6755</v>
      </c>
      <c r="T112" s="299" t="s">
        <v>6793</v>
      </c>
      <c r="U112" s="286" t="s">
        <v>7019</v>
      </c>
      <c r="V112" s="298">
        <v>500</v>
      </c>
      <c r="W112" s="299" t="s">
        <v>6364</v>
      </c>
      <c r="X112" s="299" t="s">
        <v>100</v>
      </c>
      <c r="Y112" s="299">
        <v>100</v>
      </c>
      <c r="Z112" s="299" t="s">
        <v>6364</v>
      </c>
      <c r="AA112" s="298">
        <v>0</v>
      </c>
      <c r="AB112" s="300" t="s">
        <v>7020</v>
      </c>
      <c r="AC112" s="298" t="s">
        <v>6366</v>
      </c>
      <c r="AD112" s="299"/>
      <c r="AE112" s="301" t="s">
        <v>6367</v>
      </c>
      <c r="AF112" s="302"/>
      <c r="AG112" s="302"/>
      <c r="AH112" s="302"/>
      <c r="AI112" s="303"/>
      <c r="AJ112" s="303"/>
      <c r="AK112" s="303"/>
      <c r="AL112" s="303"/>
      <c r="AM112" s="303"/>
      <c r="AN112" s="304"/>
      <c r="AO112" s="304"/>
      <c r="AP112" s="302"/>
      <c r="AQ112" s="302"/>
      <c r="AR112" s="304"/>
      <c r="AS112" s="304"/>
      <c r="AT112" s="304"/>
      <c r="AU112" s="286" t="s">
        <v>6368</v>
      </c>
      <c r="AV112" s="306"/>
      <c r="AW112" s="306"/>
    </row>
  </sheetData>
  <sheetProtection selectLockedCells="1"/>
  <autoFilter ref="A4:BF112" xr:uid="{00000000-0001-0000-0000-000000000000}">
    <filterColumn colId="0" showButton="0"/>
    <filterColumn colId="4" showButton="0"/>
    <filterColumn colId="21" showButton="0"/>
    <filterColumn colId="24" showButton="0"/>
    <filterColumn colId="28" showButton="0"/>
  </autoFilter>
  <dataConsolidate/>
  <mergeCells count="38">
    <mergeCell ref="V4:W5"/>
    <mergeCell ref="A1:AN1"/>
    <mergeCell ref="A3:S3"/>
    <mergeCell ref="A4:B4"/>
    <mergeCell ref="C4:C5"/>
    <mergeCell ref="D4:D5"/>
    <mergeCell ref="E4:F4"/>
    <mergeCell ref="G4:G5"/>
    <mergeCell ref="H4:H5"/>
    <mergeCell ref="N4:N5"/>
    <mergeCell ref="O4:O5"/>
    <mergeCell ref="P4:P5"/>
    <mergeCell ref="Q4:Q5"/>
    <mergeCell ref="R4:R5"/>
    <mergeCell ref="S4:S5"/>
    <mergeCell ref="U4:U5"/>
    <mergeCell ref="AK4:AK5"/>
    <mergeCell ref="X4:X5"/>
    <mergeCell ref="Y4:Z5"/>
    <mergeCell ref="AA4:AA5"/>
    <mergeCell ref="AB4:AB5"/>
    <mergeCell ref="AC4:AD5"/>
    <mergeCell ref="AE4:AE5"/>
    <mergeCell ref="AF4:AF5"/>
    <mergeCell ref="AG4:AG5"/>
    <mergeCell ref="AH4:AH5"/>
    <mergeCell ref="AI4:AI5"/>
    <mergeCell ref="AJ4:AJ5"/>
    <mergeCell ref="AR4:AR5"/>
    <mergeCell ref="AS4:AS5"/>
    <mergeCell ref="AT4:AT5"/>
    <mergeCell ref="AU4:AU5"/>
    <mergeCell ref="AL4:AL5"/>
    <mergeCell ref="AM4:AM5"/>
    <mergeCell ref="AN4:AN5"/>
    <mergeCell ref="AO4:AO5"/>
    <mergeCell ref="AP4:AP5"/>
    <mergeCell ref="AQ4:AQ5"/>
  </mergeCells>
  <dataValidations count="13">
    <dataValidation type="list" allowBlank="1" showErrorMessage="1" sqref="AP7:AQ65 AP112:AQ112" xr:uid="{FF6043E0-C13F-4ED1-ABDD-0BCB875083B9}">
      <formula1>"Yes, No"</formula1>
    </dataValidation>
    <dataValidation type="list" allowBlank="1" showErrorMessage="1" sqref="AG7:AG65 AG112" xr:uid="{5597D896-7841-4AAA-A441-F324D4EF9CE3}">
      <formula1>"Required, Not Required"</formula1>
    </dataValidation>
    <dataValidation type="list" allowBlank="1" showInputMessage="1" showErrorMessage="1" sqref="AH7:AH65 AH112" xr:uid="{5BA37F1F-9293-4FC9-848C-34F5E8D5FE98}">
      <formula1>"Supported, Not Supported"</formula1>
    </dataValidation>
    <dataValidation type="list" allowBlank="1" showInputMessage="1" showErrorMessage="1" sqref="N6:N65 N112" xr:uid="{4F82B573-F7DD-41CD-954D-60DC90151FC1}">
      <formula1>"1. Ign On/Off Cycle, 2. Power Up/Down Cycle, 3. OBD Driving Cycle, 4. Enginer Warm up Cycle, 5. Operation active/Passive Cycle, 6. Accumlated Operating Time"</formula1>
    </dataValidation>
    <dataValidation type="list" allowBlank="1" showInputMessage="1" showErrorMessage="1" promptTitle="Criteria" prompt="Please select  no.of self-healing cycles from Drop-down list" sqref="J6:J65 J112" xr:uid="{CA227E50-A805-4A53-ABC1-92FDE8F2B642}">
      <formula1>"40,100"</formula1>
    </dataValidation>
    <dataValidation type="list" allowBlank="1" showInputMessage="1" showErrorMessage="1" promptTitle="Priority" prompt="Please select Priority from Drop-down list" sqref="I6:I65 I112" xr:uid="{C3B6DE27-22F5-4D2B-8D8B-F3DDB20E656A}">
      <formula1>"1,2"</formula1>
    </dataValidation>
    <dataValidation type="list" allowBlank="1" showErrorMessage="1" promptTitle="Levels" prompt="Please select a choice from drop-down box" sqref="S103" xr:uid="{834DEE46-478A-4D46-ACA3-5F8BCD677BF1}">
      <formula1>"ECU Level, Network Communication, Power Distribution, NA"</formula1>
    </dataValidation>
    <dataValidation type="list" allowBlank="1" showErrorMessage="1" promptTitle="Unit" prompt="Please select Units from drop-down list" sqref="AC103 V103" xr:uid="{15045266-433F-4ED0-A5D1-6B2B4A164B57}">
      <formula1>"ms,s"</formula1>
    </dataValidation>
    <dataValidation type="list" allowBlank="1" showErrorMessage="1" promptTitle="Enable Conditions" prompt="User can select multiple enable conditions from the drop-down box" sqref="T103" xr:uid="{28D29957-475D-403A-B621-869356513C2B}">
      <formula1>"EC1 - Ignition Status, EC2 - Local Voltage , EC3 - System Voltage, EC4 - Network Configuration Status, EC5 - Bus Physical Status, EC6 - I/O Device Configuration, EC7 - Enable Condition Timer, NA"</formula1>
    </dataValidation>
    <dataValidation type="list" allowBlank="1" showErrorMessage="1" promptTitle="Type" prompt="Please select type from Drop-down list" sqref="D104:D112 D6:D102" xr:uid="{87A5ED26-A7DE-4233-A12C-5884DE0F3F24}">
      <formula1>"Fault, Occurrence"</formula1>
    </dataValidation>
    <dataValidation type="list" allowBlank="1" showErrorMessage="1" promptTitle="Type" prompt="Please select from drop-down list" sqref="AF6:AT6 AF112 AF7:AF65" xr:uid="{D6AF8233-4FB8-4E82-B211-141079DF4FED}">
      <formula1>"Replace ECU, Check wiring connector, Check wiring, Check power Supply, Update software, No known corrective action, See special instruction"</formula1>
    </dataValidation>
    <dataValidation type="list" allowBlank="1" showErrorMessage="1" promptTitle="Type" prompt="Please select Type from Drop-down list" sqref="F103 F112 F6:F65" xr:uid="{06472AEA-FF9F-460E-B8D2-97ABD603904E}">
      <formula1>"Tell-tale Lamp,Message on Cluster,Other,N/A"</formula1>
    </dataValidation>
    <dataValidation type="list" allowBlank="1" showInputMessage="1" showErrorMessage="1" sqref="X54:X55" xr:uid="{52BEC7B0-5433-42D6-827C-555753D52955}">
      <formula1>$N$4:$N$4</formula1>
    </dataValidation>
  </dataValidations>
  <hyperlinks>
    <hyperlink ref="C4:C5" location="Definitions!B6" tooltip="Link to Definition Worksheet with explanation" display="DTC Description" xr:uid="{4CF16A0B-3BF8-4FE0-8410-830926F503EA}"/>
    <hyperlink ref="D4:D5" location="Definitions!B7" tooltip="Link to Definition Worksheet with explanation" display="OCCURRENCE_FAULT" xr:uid="{F91BB2EE-1BD9-47DB-B981-B683F87EE108}"/>
    <hyperlink ref="E4:E5" location="Definitions!B8" tooltip="Link to Definition Worksheet with explanation" display="WARNING_INDICATOR" xr:uid="{57823A82-606E-45E1-A95F-F163614CD3C5}"/>
    <hyperlink ref="G4:G5" location="Definitions!B10" tooltip="Link to Definition Worksheet with explanation" display="PRIORITY / DTC Priority" xr:uid="{A141FBEE-D3A1-471D-BD4F-5D98A375E5F1}"/>
    <hyperlink ref="Q4:Q5" location="Definitions!B14" tooltip="Link to Definition Worksheet with explanation" display="POSSIBLE_CAUSES" xr:uid="{E93304A6-439C-4770-8358-A6D0A4979A31}"/>
    <hyperlink ref="R4:R5" location="Definitions!B15" tooltip="Link to Definition Worksheet with explanation" display="REPAIR_ACTION " xr:uid="{72CFF15A-ED25-4162-8F02-9CC019AA1C36}"/>
    <hyperlink ref="U4:U5" location="Definitions!B19" tooltip="Link to Definition Worksheet with explanation" display="MATURE_THRESHOLD" xr:uid="{CBF89527-C8F2-4816-8C6D-44031E9F86F4}"/>
    <hyperlink ref="X4:X5" location="Definitions!B21" tooltip="Link to Definition Worksheet with explanation" display="MONITOR_TYPE" xr:uid="{EA2964B2-C130-4E32-A52B-B8805DBC8972}"/>
    <hyperlink ref="AA4:AA5" location="Definitions!B23" tooltip="Link to Definition Worksheet with explanation" display="NUMBER_OF_TRIPS_ACTIVE" xr:uid="{BD017100-2090-47BC-AE1F-8CAA56AD1DD9}"/>
    <hyperlink ref="AB4:AB5" location="Definitions!B25" tooltip="Link to Definition Worksheet with explanation" display="DE_MATURE_CRITERIA" xr:uid="{726809C9-5073-48F7-8635-9F9900061D87}"/>
    <hyperlink ref="AC4:AC5" location="Definitions!B26" tooltip="Link to Definition Worksheet with explanation" display="DE_MATURE_TIME_VALUE_UNIT" xr:uid="{391F6623-D240-4DCA-98DD-257CDD590D9F}"/>
    <hyperlink ref="AE4:AE5" location="Definitions!B28" tooltip="Link to Definition Worksheet with explanation" display="LIMP_IN_ACTION" xr:uid="{AF9F3E8F-48A3-49FD-8FDC-B01CA7F655F9}"/>
    <hyperlink ref="H4:H5" location="Definitions!B29" tooltip="Link to Definition Worksheet with explanation" display="STORED_DTC_SELF_HEALING_CRITERIA" xr:uid="{66B1E664-AB6B-4598-9AC1-6B2340B1E7D9}"/>
    <hyperlink ref="AU4:AU5" location="Definitions!B32" tooltip="Link to Definition Worksheet with explanation" display="DTC Severity" xr:uid="{FA599ADC-02E9-4E79-8F18-67F4795530AC}"/>
    <hyperlink ref="A5" location="Definitions!B4" display="HEX Value" xr:uid="{F4D24F29-6DEA-4528-8EB2-B52776EA2BA0}"/>
    <hyperlink ref="B5" location="Definitions!B5" display="J2012 Format" xr:uid="{8058732A-7965-4DC0-9BD3-FA277466B700}"/>
    <hyperlink ref="O4:O5" location="Definitions!B11" tooltip="Link to Definition Worksheet with explanation" display="ENGINEERING_NOTES / SPECIAL_INSTRUCTIONS" xr:uid="{A54699CA-7DB1-4E05-8720-A23B39E25530}"/>
    <hyperlink ref="AS4:AS5" location="Definitions!B48" display="Count-In step size" xr:uid="{45D33E02-9FC4-498C-84CB-BF409B470184}"/>
    <hyperlink ref="AR4:AR5" location="Definitions!B47" display="Count-out step size" xr:uid="{9B94B3CD-6C91-4F9C-B52D-5922628E57E8}"/>
    <hyperlink ref="AQ4:AQ5" location="Definitions!B46" display="Use Jump-Down (Prepassed)" xr:uid="{EB3D3A12-5C7D-488C-AA80-638DCF88E673}"/>
    <hyperlink ref="AP4:AP5" location="Definitions!B45" display="Definitions!B45" xr:uid="{4803736E-B709-41B4-A303-7B966E70718B}"/>
    <hyperlink ref="AO4:AO5" location="Definitions!B44" display="DTC Debounce Failed Timeout Value" xr:uid="{AA40C0A0-E955-4314-9123-16317CEC5994}"/>
    <hyperlink ref="AN4:AN5" location="Definitions!B43" display="DTC Debounce Passed Timeout Value" xr:uid="{0FFB789F-3AFB-4657-A1CD-D1DC280FEEDF}"/>
    <hyperlink ref="AM4:AM5" location="Definitions!B42" display=" Pre-Debounce Algorithm (ASR_DEM)" xr:uid="{C30FF851-A29D-4B1B-96BB-6D0A7A82C64D}"/>
    <hyperlink ref="AL4:AL5" location="Definitions!B41" display=" FUNCTIONAL_UNIT (ASR_DEM)" xr:uid="{D4F10BDB-876F-4F4B-995D-524F8889456B}"/>
    <hyperlink ref="AK4:AK5" location="Definitions!B39" display="Reset_Condition and Self_healing (ASR_DEM)" xr:uid="{01DAF1AA-4D69-4614-BF8A-0670D7957646}"/>
    <hyperlink ref="AT4:AT5" location="Definitions!B49" display="Healing Cycle Ref (ASM Ref)" xr:uid="{7CAEA4F7-C01C-494D-80D2-32E8D7080AA0}"/>
    <hyperlink ref="S4:S5" location="Definitions!B17" display="LEVEL-SPECIFIC ENABLE CONDITIONS" xr:uid="{DC08647B-2CD0-4B80-AB49-0658E73C91C8}"/>
    <hyperlink ref="T4" location="Definitions!B18" display="ENABLE_CONDITIONS" xr:uid="{E35E2DAA-F2F8-4464-91C2-E67E59B1278B}"/>
    <hyperlink ref="AG4:AG5" location="Definitions!B36" display="Monitor Intialization Function (ASR DEM)" xr:uid="{BCA09B50-050F-49D9-8455-8126C827B8E5}"/>
    <hyperlink ref="AF4:AF5" location="Definitions!B37" display=" CORRECTIVE_ACTION" xr:uid="{AECAF359-EA0C-40A8-9F2D-088274FF1B2F}"/>
    <hyperlink ref="AH4:AH5" location="Definitions!B40" display="Self Healing (Aging) (ASR DEM)" xr:uid="{4D464366-B561-48DD-8586-235A4D5139AC}"/>
    <hyperlink ref="AI4:AI5" location="Definitions!B11" display="Special Instructions (ASR DEM)" xr:uid="{A1B51C7F-5227-4089-A029-9879914B9952}"/>
    <hyperlink ref="AJ4:AJ5" location="Definitions!B38" display="Vehicle System Groups (ASR DEM)" xr:uid="{17EC80A1-6B56-4AB1-ACE6-CBF0B7FBF7E1}"/>
    <hyperlink ref="Y4:Y5" location="Definitions!B22" tooltip="Link to Definition Worksheet with explanation" display="MONITOR_RATE_VALUE_UNIT" xr:uid="{555AF96C-2512-428A-A3BA-19AA9AD78A7B}"/>
    <hyperlink ref="P4:P5" location="Definitions!B13" tooltip="Link to Definition Worksheet with explanation" display="CUSTOMER PERCEPTION SYMPTOM" xr:uid="{FF82A53D-DBF7-41A7-9DBD-B5C122EC8D77}"/>
    <hyperlink ref="E5" location="Definitions!C8" tooltip="Link to Definition Worksheet with explanation" display="Y/N" xr:uid="{5DAE49F2-D92B-4E8D-AE30-158C6510BF6A}"/>
    <hyperlink ref="F5" location="Definitions!C9" display="Type" xr:uid="{2821D8F1-A8B1-4CF2-9F92-B0A0B25EA746}"/>
    <hyperlink ref="N4:N5" location="Definitions!B35" display="OPERATION_CYCLE (ASR DEM)" xr:uid="{F5EB28EF-7EF5-4605-BB12-F9FD653E7FFA}"/>
    <hyperlink ref="V4:W5" location="Definitions!B20" display="MATURE_TIME_VALUE_UNIT" xr:uid="{4BB1828C-B74A-40DC-82DA-A3780038B5A8}"/>
  </hyperlinks>
  <pageMargins left="0.25" right="0.25" top="1" bottom="1" header="0.4921259845" footer="0.4921259845"/>
  <pageSetup paperSize="9" scale="18" orientation="landscape" r:id="rId1"/>
  <headerFooter alignWithMargins="0">
    <oddHeader>&amp;C&amp;"Arial,Bold"&amp;14DTC Matrix</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CFB4E-F1FB-460E-95C8-0391AFC480D4}">
  <dimension ref="A1:W605"/>
  <sheetViews>
    <sheetView zoomScale="70" zoomScaleNormal="70" workbookViewId="0">
      <pane xSplit="3" ySplit="2" topLeftCell="I3" activePane="bottomRight" state="frozen"/>
      <selection pane="topRight" activeCell="D1" sqref="D1"/>
      <selection pane="bottomLeft" activeCell="A3" sqref="A3"/>
      <selection pane="bottomRight" activeCell="J605" sqref="J605"/>
    </sheetView>
  </sheetViews>
  <sheetFormatPr defaultColWidth="6.5546875" defaultRowHeight="30" customHeight="1"/>
  <cols>
    <col min="1" max="2" width="10.6640625" style="235" customWidth="1"/>
    <col min="3" max="3" width="50.6640625" style="268" customWidth="1"/>
    <col min="4" max="8" width="10.6640625" style="235" customWidth="1"/>
    <col min="9" max="16" width="50.6640625" style="268" customWidth="1"/>
    <col min="17" max="18" width="10.6640625" style="235" customWidth="1"/>
    <col min="19" max="19" width="50.6640625" style="269" customWidth="1"/>
    <col min="20" max="20" width="50.6640625" style="244" customWidth="1"/>
    <col min="21" max="21" width="50.6640625" style="270" customWidth="1"/>
    <col min="22" max="22" width="24.33203125" customWidth="1"/>
    <col min="23" max="23" width="29" customWidth="1"/>
  </cols>
  <sheetData>
    <row r="1" spans="1:22" s="235" customFormat="1" ht="30" customHeight="1">
      <c r="A1" s="416" t="s">
        <v>2769</v>
      </c>
      <c r="B1" s="416"/>
      <c r="C1" s="415" t="s">
        <v>2770</v>
      </c>
      <c r="D1" s="415" t="s">
        <v>2771</v>
      </c>
      <c r="E1" s="415" t="s">
        <v>2772</v>
      </c>
      <c r="F1" s="415"/>
      <c r="G1" s="415" t="s">
        <v>2773</v>
      </c>
      <c r="H1" s="415" t="s">
        <v>2774</v>
      </c>
      <c r="I1" s="415" t="s">
        <v>2775</v>
      </c>
      <c r="J1" s="415" t="s">
        <v>2776</v>
      </c>
      <c r="K1" s="415" t="s">
        <v>2777</v>
      </c>
      <c r="L1" s="415" t="s">
        <v>2778</v>
      </c>
      <c r="M1" s="415" t="s">
        <v>2779</v>
      </c>
      <c r="N1" s="415" t="s">
        <v>2780</v>
      </c>
      <c r="O1" s="415" t="s">
        <v>2781</v>
      </c>
      <c r="P1" s="415" t="s">
        <v>2782</v>
      </c>
      <c r="Q1" s="415" t="s">
        <v>2783</v>
      </c>
      <c r="R1" s="415" t="s">
        <v>2784</v>
      </c>
      <c r="S1" s="415" t="s">
        <v>2785</v>
      </c>
      <c r="T1" s="415" t="s">
        <v>2786</v>
      </c>
      <c r="U1" s="415" t="s">
        <v>2787</v>
      </c>
      <c r="V1" s="415" t="s">
        <v>2788</v>
      </c>
    </row>
    <row r="2" spans="1:22" s="235" customFormat="1" ht="30" customHeight="1">
      <c r="A2" s="236" t="s">
        <v>2789</v>
      </c>
      <c r="B2" s="236" t="s">
        <v>2790</v>
      </c>
      <c r="C2" s="415"/>
      <c r="D2" s="415"/>
      <c r="E2" s="237" t="s">
        <v>22</v>
      </c>
      <c r="F2" s="238" t="s">
        <v>2791</v>
      </c>
      <c r="G2" s="415"/>
      <c r="H2" s="415"/>
      <c r="I2" s="415"/>
      <c r="J2" s="415"/>
      <c r="K2" s="415"/>
      <c r="L2" s="415"/>
      <c r="M2" s="415"/>
      <c r="N2" s="415"/>
      <c r="O2" s="415"/>
      <c r="P2" s="415"/>
      <c r="Q2" s="415"/>
      <c r="R2" s="415"/>
      <c r="S2" s="415"/>
      <c r="T2" s="415"/>
      <c r="U2" s="415"/>
      <c r="V2" s="415"/>
    </row>
    <row r="3" spans="1:22" s="244" customFormat="1" ht="30" customHeight="1">
      <c r="A3" s="239" t="s">
        <v>2792</v>
      </c>
      <c r="B3" s="239" t="s">
        <v>2793</v>
      </c>
      <c r="C3" s="240" t="s">
        <v>2794</v>
      </c>
      <c r="D3" s="239" t="s">
        <v>74</v>
      </c>
      <c r="E3" s="239" t="s">
        <v>2795</v>
      </c>
      <c r="F3" s="239" t="s">
        <v>2796</v>
      </c>
      <c r="G3" s="241"/>
      <c r="H3" s="241">
        <v>40</v>
      </c>
      <c r="I3" s="240" t="s">
        <v>2797</v>
      </c>
      <c r="J3" s="240" t="s">
        <v>2798</v>
      </c>
      <c r="K3" s="240" t="s">
        <v>2799</v>
      </c>
      <c r="L3" s="240" t="s">
        <v>2800</v>
      </c>
      <c r="M3" s="240" t="s">
        <v>2801</v>
      </c>
      <c r="N3" s="240" t="s">
        <v>2801</v>
      </c>
      <c r="O3" s="240" t="s">
        <v>2801</v>
      </c>
      <c r="P3" s="240" t="s">
        <v>2801</v>
      </c>
      <c r="Q3" s="239" t="s">
        <v>2802</v>
      </c>
      <c r="R3" s="241">
        <v>1</v>
      </c>
      <c r="S3" s="240" t="s">
        <v>2801</v>
      </c>
      <c r="T3" s="242" t="s">
        <v>2801</v>
      </c>
      <c r="U3" s="239" t="s">
        <v>2803</v>
      </c>
      <c r="V3" s="243"/>
    </row>
    <row r="4" spans="1:22" s="244" customFormat="1" ht="30" customHeight="1">
      <c r="A4" s="239" t="s">
        <v>2792</v>
      </c>
      <c r="B4" s="239" t="s">
        <v>2793</v>
      </c>
      <c r="C4" s="240" t="s">
        <v>2794</v>
      </c>
      <c r="D4" s="239" t="s">
        <v>74</v>
      </c>
      <c r="E4" s="239" t="s">
        <v>2795</v>
      </c>
      <c r="F4" s="239" t="s">
        <v>2796</v>
      </c>
      <c r="G4" s="241"/>
      <c r="H4" s="241">
        <v>40</v>
      </c>
      <c r="I4" s="240" t="s">
        <v>2804</v>
      </c>
      <c r="J4" s="240"/>
      <c r="K4" s="240"/>
      <c r="L4" s="240"/>
      <c r="M4" s="240" t="s">
        <v>2805</v>
      </c>
      <c r="N4" s="240" t="s">
        <v>2806</v>
      </c>
      <c r="O4" s="240" t="s">
        <v>1198</v>
      </c>
      <c r="P4" s="240" t="s">
        <v>2807</v>
      </c>
      <c r="Q4" s="239" t="s">
        <v>2802</v>
      </c>
      <c r="R4" s="241">
        <v>1</v>
      </c>
      <c r="S4" s="240" t="s">
        <v>2808</v>
      </c>
      <c r="T4" s="242" t="s">
        <v>1198</v>
      </c>
      <c r="U4" s="239" t="s">
        <v>2809</v>
      </c>
      <c r="V4" s="243"/>
    </row>
    <row r="5" spans="1:22" s="244" customFormat="1" ht="30" customHeight="1">
      <c r="A5" s="239" t="s">
        <v>2792</v>
      </c>
      <c r="B5" s="239" t="s">
        <v>2793</v>
      </c>
      <c r="C5" s="240" t="s">
        <v>2794</v>
      </c>
      <c r="D5" s="239" t="s">
        <v>74</v>
      </c>
      <c r="E5" s="239" t="s">
        <v>2795</v>
      </c>
      <c r="F5" s="239" t="s">
        <v>2796</v>
      </c>
      <c r="G5" s="241"/>
      <c r="H5" s="241">
        <v>40</v>
      </c>
      <c r="I5" s="240" t="s">
        <v>2810</v>
      </c>
      <c r="J5" s="240"/>
      <c r="K5" s="240"/>
      <c r="L5" s="240"/>
      <c r="M5" s="240" t="s">
        <v>2811</v>
      </c>
      <c r="N5" s="240" t="s">
        <v>2812</v>
      </c>
      <c r="O5" s="240" t="s">
        <v>1198</v>
      </c>
      <c r="P5" s="240" t="s">
        <v>2813</v>
      </c>
      <c r="Q5" s="239" t="s">
        <v>2814</v>
      </c>
      <c r="R5" s="241">
        <v>1</v>
      </c>
      <c r="S5" s="240" t="s">
        <v>2815</v>
      </c>
      <c r="T5" s="242" t="s">
        <v>1198</v>
      </c>
      <c r="U5" s="239" t="s">
        <v>2809</v>
      </c>
      <c r="V5" s="243"/>
    </row>
    <row r="6" spans="1:22" s="244" customFormat="1" ht="30" customHeight="1">
      <c r="A6" s="239" t="s">
        <v>2792</v>
      </c>
      <c r="B6" s="239" t="s">
        <v>2793</v>
      </c>
      <c r="C6" s="240" t="s">
        <v>2794</v>
      </c>
      <c r="D6" s="239" t="s">
        <v>74</v>
      </c>
      <c r="E6" s="239" t="s">
        <v>2795</v>
      </c>
      <c r="F6" s="239" t="s">
        <v>2796</v>
      </c>
      <c r="G6" s="241"/>
      <c r="H6" s="241">
        <v>40</v>
      </c>
      <c r="I6" s="240" t="s">
        <v>2816</v>
      </c>
      <c r="J6" s="240"/>
      <c r="K6" s="240"/>
      <c r="L6" s="240"/>
      <c r="M6" s="240" t="s">
        <v>2817</v>
      </c>
      <c r="N6" s="240" t="s">
        <v>2818</v>
      </c>
      <c r="O6" s="240" t="s">
        <v>2819</v>
      </c>
      <c r="P6" s="240" t="s">
        <v>2820</v>
      </c>
      <c r="Q6" s="239" t="s">
        <v>2802</v>
      </c>
      <c r="R6" s="241">
        <v>1</v>
      </c>
      <c r="S6" s="240" t="s">
        <v>2821</v>
      </c>
      <c r="T6" s="242" t="s">
        <v>2822</v>
      </c>
      <c r="U6" s="239" t="s">
        <v>2823</v>
      </c>
      <c r="V6" s="243"/>
    </row>
    <row r="7" spans="1:22" s="244" customFormat="1" ht="30" customHeight="1">
      <c r="A7" s="239" t="s">
        <v>2792</v>
      </c>
      <c r="B7" s="239" t="s">
        <v>2793</v>
      </c>
      <c r="C7" s="240" t="s">
        <v>2794</v>
      </c>
      <c r="D7" s="239" t="s">
        <v>74</v>
      </c>
      <c r="E7" s="239" t="s">
        <v>2795</v>
      </c>
      <c r="F7" s="239" t="s">
        <v>2796</v>
      </c>
      <c r="G7" s="241"/>
      <c r="H7" s="241">
        <v>40</v>
      </c>
      <c r="I7" s="240" t="s">
        <v>2824</v>
      </c>
      <c r="J7" s="240"/>
      <c r="K7" s="240"/>
      <c r="L7" s="240"/>
      <c r="M7" s="240" t="s">
        <v>2825</v>
      </c>
      <c r="N7" s="240" t="s">
        <v>2826</v>
      </c>
      <c r="O7" s="240" t="s">
        <v>1198</v>
      </c>
      <c r="P7" s="240" t="s">
        <v>2827</v>
      </c>
      <c r="Q7" s="239" t="s">
        <v>2802</v>
      </c>
      <c r="R7" s="241">
        <v>1</v>
      </c>
      <c r="S7" s="240" t="s">
        <v>2828</v>
      </c>
      <c r="T7" s="242" t="s">
        <v>1198</v>
      </c>
      <c r="U7" s="239" t="s">
        <v>2823</v>
      </c>
      <c r="V7" s="243"/>
    </row>
    <row r="8" spans="1:22" s="244" customFormat="1" ht="30" customHeight="1">
      <c r="A8" s="239" t="s">
        <v>2792</v>
      </c>
      <c r="B8" s="239" t="s">
        <v>2793</v>
      </c>
      <c r="C8" s="240" t="s">
        <v>2794</v>
      </c>
      <c r="D8" s="239" t="s">
        <v>74</v>
      </c>
      <c r="E8" s="239" t="s">
        <v>2795</v>
      </c>
      <c r="F8" s="239" t="s">
        <v>2796</v>
      </c>
      <c r="G8" s="241"/>
      <c r="H8" s="241">
        <v>40</v>
      </c>
      <c r="I8" s="240" t="s">
        <v>2829</v>
      </c>
      <c r="J8" s="240"/>
      <c r="K8" s="240"/>
      <c r="L8" s="240"/>
      <c r="M8" s="240" t="s">
        <v>2830</v>
      </c>
      <c r="N8" s="240" t="s">
        <v>2831</v>
      </c>
      <c r="O8" s="240" t="s">
        <v>1198</v>
      </c>
      <c r="P8" s="240" t="s">
        <v>2832</v>
      </c>
      <c r="Q8" s="239" t="s">
        <v>2802</v>
      </c>
      <c r="R8" s="241">
        <v>1</v>
      </c>
      <c r="S8" s="240" t="s">
        <v>2833</v>
      </c>
      <c r="T8" s="242" t="s">
        <v>1198</v>
      </c>
      <c r="U8" s="239" t="s">
        <v>2823</v>
      </c>
      <c r="V8" s="243"/>
    </row>
    <row r="9" spans="1:22" s="244" customFormat="1" ht="30" customHeight="1">
      <c r="A9" s="239" t="s">
        <v>2792</v>
      </c>
      <c r="B9" s="239" t="s">
        <v>2793</v>
      </c>
      <c r="C9" s="240" t="s">
        <v>2794</v>
      </c>
      <c r="D9" s="239" t="s">
        <v>74</v>
      </c>
      <c r="E9" s="239" t="s">
        <v>2795</v>
      </c>
      <c r="F9" s="239" t="s">
        <v>2796</v>
      </c>
      <c r="G9" s="241"/>
      <c r="H9" s="241">
        <v>40</v>
      </c>
      <c r="I9" s="240" t="s">
        <v>2834</v>
      </c>
      <c r="J9" s="240"/>
      <c r="K9" s="240"/>
      <c r="L9" s="240"/>
      <c r="M9" s="240" t="s">
        <v>2835</v>
      </c>
      <c r="N9" s="240" t="s">
        <v>2836</v>
      </c>
      <c r="O9" s="240" t="s">
        <v>1198</v>
      </c>
      <c r="P9" s="240" t="s">
        <v>2837</v>
      </c>
      <c r="Q9" s="239" t="s">
        <v>2802</v>
      </c>
      <c r="R9" s="241">
        <v>1</v>
      </c>
      <c r="S9" s="240" t="s">
        <v>2838</v>
      </c>
      <c r="T9" s="242" t="s">
        <v>1198</v>
      </c>
      <c r="U9" s="239" t="s">
        <v>2809</v>
      </c>
      <c r="V9" s="243"/>
    </row>
    <row r="10" spans="1:22" s="244" customFormat="1" ht="30" customHeight="1">
      <c r="A10" s="239" t="s">
        <v>2792</v>
      </c>
      <c r="B10" s="239" t="s">
        <v>2793</v>
      </c>
      <c r="C10" s="240" t="s">
        <v>2794</v>
      </c>
      <c r="D10" s="239" t="s">
        <v>74</v>
      </c>
      <c r="E10" s="239"/>
      <c r="F10" s="239"/>
      <c r="G10" s="241"/>
      <c r="H10" s="241">
        <v>40</v>
      </c>
      <c r="I10" s="240" t="s">
        <v>2839</v>
      </c>
      <c r="J10" s="240"/>
      <c r="K10" s="240"/>
      <c r="L10" s="240"/>
      <c r="M10" s="240" t="s">
        <v>2840</v>
      </c>
      <c r="N10" s="240" t="s">
        <v>2841</v>
      </c>
      <c r="O10" s="240" t="s">
        <v>2842</v>
      </c>
      <c r="P10" s="240" t="s">
        <v>2843</v>
      </c>
      <c r="Q10" s="239" t="s">
        <v>2802</v>
      </c>
      <c r="R10" s="241"/>
      <c r="S10" s="240" t="s">
        <v>2844</v>
      </c>
      <c r="T10" s="242" t="s">
        <v>2845</v>
      </c>
      <c r="U10" s="239" t="s">
        <v>2823</v>
      </c>
      <c r="V10" s="243"/>
    </row>
    <row r="11" spans="1:22" s="244" customFormat="1" ht="30" customHeight="1">
      <c r="A11" s="239" t="s">
        <v>2792</v>
      </c>
      <c r="B11" s="239" t="s">
        <v>2793</v>
      </c>
      <c r="C11" s="240" t="s">
        <v>2794</v>
      </c>
      <c r="D11" s="239" t="s">
        <v>74</v>
      </c>
      <c r="E11" s="239"/>
      <c r="F11" s="239"/>
      <c r="G11" s="241"/>
      <c r="H11" s="241">
        <v>40</v>
      </c>
      <c r="I11" s="240" t="s">
        <v>2846</v>
      </c>
      <c r="J11" s="240"/>
      <c r="K11" s="240"/>
      <c r="L11" s="240"/>
      <c r="M11" s="240" t="s">
        <v>2840</v>
      </c>
      <c r="N11" s="240" t="s">
        <v>2847</v>
      </c>
      <c r="O11" s="240" t="s">
        <v>2848</v>
      </c>
      <c r="P11" s="240" t="s">
        <v>2849</v>
      </c>
      <c r="Q11" s="239" t="s">
        <v>2802</v>
      </c>
      <c r="R11" s="241"/>
      <c r="S11" s="240" t="s">
        <v>2850</v>
      </c>
      <c r="T11" s="242" t="s">
        <v>2851</v>
      </c>
      <c r="U11" s="239" t="s">
        <v>2823</v>
      </c>
      <c r="V11" s="243"/>
    </row>
    <row r="12" spans="1:22" s="244" customFormat="1" ht="30" customHeight="1">
      <c r="A12" s="239" t="s">
        <v>2852</v>
      </c>
      <c r="B12" s="239" t="s">
        <v>2853</v>
      </c>
      <c r="C12" s="240" t="s">
        <v>2854</v>
      </c>
      <c r="D12" s="239" t="s">
        <v>74</v>
      </c>
      <c r="E12" s="239" t="s">
        <v>246</v>
      </c>
      <c r="F12" s="239" t="s">
        <v>2855</v>
      </c>
      <c r="G12" s="241"/>
      <c r="H12" s="241">
        <v>40</v>
      </c>
      <c r="I12" s="240" t="s">
        <v>2856</v>
      </c>
      <c r="J12" s="240" t="s">
        <v>2857</v>
      </c>
      <c r="K12" s="240" t="s">
        <v>2858</v>
      </c>
      <c r="L12" s="240" t="s">
        <v>2859</v>
      </c>
      <c r="M12" s="240" t="s">
        <v>2801</v>
      </c>
      <c r="N12" s="240" t="s">
        <v>2801</v>
      </c>
      <c r="O12" s="240" t="s">
        <v>2801</v>
      </c>
      <c r="P12" s="240" t="s">
        <v>2801</v>
      </c>
      <c r="Q12" s="239" t="s">
        <v>2801</v>
      </c>
      <c r="R12" s="241">
        <v>0</v>
      </c>
      <c r="S12" s="240" t="s">
        <v>2801</v>
      </c>
      <c r="T12" s="242" t="s">
        <v>2801</v>
      </c>
      <c r="U12" s="239" t="s">
        <v>2803</v>
      </c>
      <c r="V12" s="243"/>
    </row>
    <row r="13" spans="1:22" s="244" customFormat="1" ht="30" customHeight="1">
      <c r="A13" s="239" t="s">
        <v>2852</v>
      </c>
      <c r="B13" s="239" t="s">
        <v>2853</v>
      </c>
      <c r="C13" s="240" t="s">
        <v>2854</v>
      </c>
      <c r="D13" s="239" t="s">
        <v>74</v>
      </c>
      <c r="E13" s="239" t="s">
        <v>246</v>
      </c>
      <c r="F13" s="239" t="s">
        <v>2855</v>
      </c>
      <c r="G13" s="241"/>
      <c r="H13" s="241">
        <v>40</v>
      </c>
      <c r="I13" s="240" t="s">
        <v>2860</v>
      </c>
      <c r="J13" s="240"/>
      <c r="K13" s="240"/>
      <c r="L13" s="240"/>
      <c r="M13" s="240" t="s">
        <v>2861</v>
      </c>
      <c r="N13" s="240" t="s">
        <v>2862</v>
      </c>
      <c r="O13" s="240" t="s">
        <v>1198</v>
      </c>
      <c r="P13" s="240" t="s">
        <v>2863</v>
      </c>
      <c r="Q13" s="239" t="s">
        <v>2864</v>
      </c>
      <c r="R13" s="241">
        <v>0</v>
      </c>
      <c r="S13" s="240" t="s">
        <v>2865</v>
      </c>
      <c r="T13" s="242" t="s">
        <v>1198</v>
      </c>
      <c r="U13" s="239" t="s">
        <v>2809</v>
      </c>
      <c r="V13" s="243"/>
    </row>
    <row r="14" spans="1:22" s="244" customFormat="1" ht="30" customHeight="1">
      <c r="A14" s="239" t="s">
        <v>2852</v>
      </c>
      <c r="B14" s="239" t="s">
        <v>2853</v>
      </c>
      <c r="C14" s="240" t="s">
        <v>2854</v>
      </c>
      <c r="D14" s="239" t="s">
        <v>74</v>
      </c>
      <c r="E14" s="239" t="s">
        <v>246</v>
      </c>
      <c r="F14" s="239" t="s">
        <v>2855</v>
      </c>
      <c r="G14" s="241"/>
      <c r="H14" s="241">
        <v>40</v>
      </c>
      <c r="I14" s="240" t="s">
        <v>2866</v>
      </c>
      <c r="J14" s="240"/>
      <c r="K14" s="240"/>
      <c r="L14" s="240"/>
      <c r="M14" s="240" t="s">
        <v>2861</v>
      </c>
      <c r="N14" s="240" t="s">
        <v>2867</v>
      </c>
      <c r="O14" s="240" t="s">
        <v>1198</v>
      </c>
      <c r="P14" s="240" t="s">
        <v>2868</v>
      </c>
      <c r="Q14" s="239" t="s">
        <v>2864</v>
      </c>
      <c r="R14" s="241">
        <v>0</v>
      </c>
      <c r="S14" s="240" t="s">
        <v>2869</v>
      </c>
      <c r="T14" s="242" t="s">
        <v>1198</v>
      </c>
      <c r="U14" s="239" t="s">
        <v>2809</v>
      </c>
      <c r="V14" s="243"/>
    </row>
    <row r="15" spans="1:22" s="244" customFormat="1" ht="30" customHeight="1">
      <c r="A15" s="239" t="s">
        <v>2852</v>
      </c>
      <c r="B15" s="239" t="s">
        <v>2853</v>
      </c>
      <c r="C15" s="240" t="s">
        <v>2854</v>
      </c>
      <c r="D15" s="239" t="s">
        <v>74</v>
      </c>
      <c r="E15" s="239" t="s">
        <v>246</v>
      </c>
      <c r="F15" s="239" t="s">
        <v>2855</v>
      </c>
      <c r="G15" s="241"/>
      <c r="H15" s="241">
        <v>40</v>
      </c>
      <c r="I15" s="240" t="s">
        <v>2870</v>
      </c>
      <c r="J15" s="240"/>
      <c r="K15" s="240"/>
      <c r="L15" s="240"/>
      <c r="M15" s="240" t="s">
        <v>2861</v>
      </c>
      <c r="N15" s="240" t="s">
        <v>2871</v>
      </c>
      <c r="O15" s="240" t="s">
        <v>1198</v>
      </c>
      <c r="P15" s="240" t="s">
        <v>2872</v>
      </c>
      <c r="Q15" s="239" t="s">
        <v>2864</v>
      </c>
      <c r="R15" s="241">
        <v>0</v>
      </c>
      <c r="S15" s="240" t="s">
        <v>2873</v>
      </c>
      <c r="T15" s="242" t="s">
        <v>1198</v>
      </c>
      <c r="U15" s="239" t="s">
        <v>2809</v>
      </c>
      <c r="V15" s="243"/>
    </row>
    <row r="16" spans="1:22" s="244" customFormat="1" ht="30" customHeight="1">
      <c r="A16" s="239" t="s">
        <v>2874</v>
      </c>
      <c r="B16" s="239" t="s">
        <v>2875</v>
      </c>
      <c r="C16" s="240" t="s">
        <v>2876</v>
      </c>
      <c r="D16" s="239" t="s">
        <v>74</v>
      </c>
      <c r="E16" s="239" t="s">
        <v>246</v>
      </c>
      <c r="F16" s="239" t="s">
        <v>2855</v>
      </c>
      <c r="G16" s="241"/>
      <c r="H16" s="241">
        <v>40</v>
      </c>
      <c r="I16" s="240" t="s">
        <v>2877</v>
      </c>
      <c r="J16" s="240" t="s">
        <v>2857</v>
      </c>
      <c r="K16" s="240" t="s">
        <v>2878</v>
      </c>
      <c r="L16" s="240" t="s">
        <v>2859</v>
      </c>
      <c r="M16" s="240" t="s">
        <v>2801</v>
      </c>
      <c r="N16" s="240" t="s">
        <v>2801</v>
      </c>
      <c r="O16" s="240" t="s">
        <v>2801</v>
      </c>
      <c r="P16" s="240" t="s">
        <v>2801</v>
      </c>
      <c r="Q16" s="239" t="s">
        <v>2801</v>
      </c>
      <c r="R16" s="241">
        <v>0</v>
      </c>
      <c r="S16" s="240"/>
      <c r="T16" s="242"/>
      <c r="U16" s="239" t="s">
        <v>2803</v>
      </c>
      <c r="V16" s="243"/>
    </row>
    <row r="17" spans="1:23" s="244" customFormat="1" ht="30" customHeight="1">
      <c r="A17" s="239" t="s">
        <v>2874</v>
      </c>
      <c r="B17" s="239" t="s">
        <v>2875</v>
      </c>
      <c r="C17" s="240" t="s">
        <v>2876</v>
      </c>
      <c r="D17" s="239" t="s">
        <v>74</v>
      </c>
      <c r="E17" s="239" t="s">
        <v>246</v>
      </c>
      <c r="F17" s="239" t="s">
        <v>2855</v>
      </c>
      <c r="G17" s="241"/>
      <c r="H17" s="241">
        <v>40</v>
      </c>
      <c r="I17" s="240" t="s">
        <v>2879</v>
      </c>
      <c r="J17" s="240"/>
      <c r="K17" s="240"/>
      <c r="L17" s="240"/>
      <c r="M17" s="240" t="s">
        <v>2861</v>
      </c>
      <c r="N17" s="240" t="s">
        <v>2880</v>
      </c>
      <c r="O17" s="240" t="s">
        <v>1198</v>
      </c>
      <c r="P17" s="240" t="s">
        <v>2881</v>
      </c>
      <c r="Q17" s="239" t="s">
        <v>2864</v>
      </c>
      <c r="R17" s="241">
        <v>0</v>
      </c>
      <c r="S17" s="240" t="s">
        <v>2882</v>
      </c>
      <c r="T17" s="242" t="s">
        <v>1198</v>
      </c>
      <c r="U17" s="239" t="s">
        <v>2809</v>
      </c>
      <c r="V17" s="243"/>
    </row>
    <row r="18" spans="1:23" s="244" customFormat="1" ht="30" customHeight="1">
      <c r="A18" s="239" t="s">
        <v>2874</v>
      </c>
      <c r="B18" s="239" t="s">
        <v>2875</v>
      </c>
      <c r="C18" s="240" t="s">
        <v>2876</v>
      </c>
      <c r="D18" s="239" t="s">
        <v>74</v>
      </c>
      <c r="E18" s="239" t="s">
        <v>246</v>
      </c>
      <c r="F18" s="239" t="s">
        <v>2855</v>
      </c>
      <c r="G18" s="241"/>
      <c r="H18" s="241">
        <v>40</v>
      </c>
      <c r="I18" s="240" t="s">
        <v>2883</v>
      </c>
      <c r="J18" s="240"/>
      <c r="K18" s="240"/>
      <c r="L18" s="240"/>
      <c r="M18" s="240" t="s">
        <v>2861</v>
      </c>
      <c r="N18" s="240" t="s">
        <v>2884</v>
      </c>
      <c r="O18" s="240" t="s">
        <v>1198</v>
      </c>
      <c r="P18" s="240" t="s">
        <v>2885</v>
      </c>
      <c r="Q18" s="239" t="s">
        <v>2864</v>
      </c>
      <c r="R18" s="241">
        <v>0</v>
      </c>
      <c r="S18" s="240" t="s">
        <v>2886</v>
      </c>
      <c r="T18" s="242" t="s">
        <v>1198</v>
      </c>
      <c r="U18" s="239" t="s">
        <v>2809</v>
      </c>
      <c r="V18" s="243"/>
    </row>
    <row r="19" spans="1:23" s="244" customFormat="1" ht="30" customHeight="1">
      <c r="A19" s="239" t="s">
        <v>2874</v>
      </c>
      <c r="B19" s="239" t="s">
        <v>2875</v>
      </c>
      <c r="C19" s="240" t="s">
        <v>2876</v>
      </c>
      <c r="D19" s="239" t="s">
        <v>74</v>
      </c>
      <c r="E19" s="239" t="s">
        <v>246</v>
      </c>
      <c r="F19" s="239" t="s">
        <v>2855</v>
      </c>
      <c r="G19" s="241"/>
      <c r="H19" s="241">
        <v>40</v>
      </c>
      <c r="I19" s="240" t="s">
        <v>2887</v>
      </c>
      <c r="J19" s="240"/>
      <c r="K19" s="240"/>
      <c r="L19" s="240"/>
      <c r="M19" s="240" t="s">
        <v>2861</v>
      </c>
      <c r="N19" s="240" t="s">
        <v>2888</v>
      </c>
      <c r="O19" s="240" t="s">
        <v>1198</v>
      </c>
      <c r="P19" s="240" t="s">
        <v>2889</v>
      </c>
      <c r="Q19" s="239" t="s">
        <v>2864</v>
      </c>
      <c r="R19" s="241">
        <v>0</v>
      </c>
      <c r="S19" s="240" t="s">
        <v>2890</v>
      </c>
      <c r="T19" s="242" t="s">
        <v>1198</v>
      </c>
      <c r="U19" s="239" t="s">
        <v>2809</v>
      </c>
      <c r="V19" s="243"/>
    </row>
    <row r="20" spans="1:23" s="244" customFormat="1" ht="30" customHeight="1">
      <c r="A20" s="239" t="s">
        <v>2891</v>
      </c>
      <c r="B20" s="239" t="s">
        <v>2892</v>
      </c>
      <c r="C20" s="240" t="s">
        <v>2893</v>
      </c>
      <c r="D20" s="239" t="s">
        <v>74</v>
      </c>
      <c r="E20" s="239"/>
      <c r="F20" s="239"/>
      <c r="G20" s="241"/>
      <c r="H20" s="241">
        <v>40</v>
      </c>
      <c r="I20" s="240" t="s">
        <v>2894</v>
      </c>
      <c r="J20" s="240" t="s">
        <v>2857</v>
      </c>
      <c r="K20" s="240" t="s">
        <v>2895</v>
      </c>
      <c r="L20" s="240" t="s">
        <v>2896</v>
      </c>
      <c r="M20" s="240" t="s">
        <v>2897</v>
      </c>
      <c r="N20" s="240" t="s">
        <v>2898</v>
      </c>
      <c r="O20" s="240" t="s">
        <v>2899</v>
      </c>
      <c r="P20" s="240" t="s">
        <v>2900</v>
      </c>
      <c r="Q20" s="239" t="s">
        <v>2864</v>
      </c>
      <c r="R20" s="241"/>
      <c r="S20" s="240" t="s">
        <v>2901</v>
      </c>
      <c r="T20" s="242" t="s">
        <v>2902</v>
      </c>
      <c r="U20" s="239" t="s">
        <v>2823</v>
      </c>
      <c r="V20" s="243"/>
    </row>
    <row r="21" spans="1:23" s="244" customFormat="1" ht="30" customHeight="1">
      <c r="A21" s="239" t="s">
        <v>2903</v>
      </c>
      <c r="B21" s="239" t="s">
        <v>2904</v>
      </c>
      <c r="C21" s="240" t="s">
        <v>2905</v>
      </c>
      <c r="D21" s="239" t="s">
        <v>74</v>
      </c>
      <c r="E21" s="239" t="s">
        <v>246</v>
      </c>
      <c r="F21" s="239" t="s">
        <v>2855</v>
      </c>
      <c r="G21" s="241"/>
      <c r="H21" s="241">
        <v>40</v>
      </c>
      <c r="I21" s="240" t="s">
        <v>2906</v>
      </c>
      <c r="J21" s="240" t="s">
        <v>2857</v>
      </c>
      <c r="K21" s="240" t="s">
        <v>2907</v>
      </c>
      <c r="L21" s="240" t="s">
        <v>2896</v>
      </c>
      <c r="M21" s="240" t="s">
        <v>2908</v>
      </c>
      <c r="N21" s="240" t="s">
        <v>2909</v>
      </c>
      <c r="O21" s="240" t="s">
        <v>1198</v>
      </c>
      <c r="P21" s="240" t="s">
        <v>2910</v>
      </c>
      <c r="Q21" s="239" t="s">
        <v>2864</v>
      </c>
      <c r="R21" s="241">
        <v>0</v>
      </c>
      <c r="S21" s="240" t="s">
        <v>2911</v>
      </c>
      <c r="T21" s="242" t="s">
        <v>1198</v>
      </c>
      <c r="U21" s="239" t="s">
        <v>2809</v>
      </c>
      <c r="V21" s="243"/>
    </row>
    <row r="22" spans="1:23" s="244" customFormat="1" ht="30" customHeight="1">
      <c r="A22" s="239" t="s">
        <v>2912</v>
      </c>
      <c r="B22" s="239" t="s">
        <v>2913</v>
      </c>
      <c r="C22" s="240" t="s">
        <v>2914</v>
      </c>
      <c r="D22" s="239" t="s">
        <v>74</v>
      </c>
      <c r="E22" s="239" t="s">
        <v>246</v>
      </c>
      <c r="F22" s="239" t="s">
        <v>2855</v>
      </c>
      <c r="G22" s="241"/>
      <c r="H22" s="241">
        <v>40</v>
      </c>
      <c r="I22" s="240" t="s">
        <v>2915</v>
      </c>
      <c r="J22" s="240" t="s">
        <v>2857</v>
      </c>
      <c r="K22" s="240" t="s">
        <v>2916</v>
      </c>
      <c r="L22" s="240" t="s">
        <v>2917</v>
      </c>
      <c r="M22" s="240" t="s">
        <v>2908</v>
      </c>
      <c r="N22" s="240" t="s">
        <v>2918</v>
      </c>
      <c r="O22" s="240" t="s">
        <v>1198</v>
      </c>
      <c r="P22" s="240" t="s">
        <v>2919</v>
      </c>
      <c r="Q22" s="239" t="s">
        <v>2864</v>
      </c>
      <c r="R22" s="241">
        <v>0</v>
      </c>
      <c r="S22" s="240" t="s">
        <v>2920</v>
      </c>
      <c r="T22" s="242" t="s">
        <v>1198</v>
      </c>
      <c r="U22" s="239" t="s">
        <v>2809</v>
      </c>
      <c r="V22" s="243"/>
    </row>
    <row r="23" spans="1:23" s="244" customFormat="1" ht="30" customHeight="1">
      <c r="A23" s="239" t="s">
        <v>2921</v>
      </c>
      <c r="B23" s="239" t="s">
        <v>2922</v>
      </c>
      <c r="C23" s="240" t="s">
        <v>2923</v>
      </c>
      <c r="D23" s="239" t="s">
        <v>74</v>
      </c>
      <c r="E23" s="239" t="s">
        <v>2795</v>
      </c>
      <c r="F23" s="239" t="s">
        <v>2924</v>
      </c>
      <c r="G23" s="241"/>
      <c r="H23" s="241">
        <v>40</v>
      </c>
      <c r="I23" s="240" t="s">
        <v>2925</v>
      </c>
      <c r="J23" s="240" t="s">
        <v>2926</v>
      </c>
      <c r="K23" s="240" t="s">
        <v>2927</v>
      </c>
      <c r="L23" s="240" t="s">
        <v>2928</v>
      </c>
      <c r="M23" s="240" t="s">
        <v>2801</v>
      </c>
      <c r="N23" s="240" t="s">
        <v>2801</v>
      </c>
      <c r="O23" s="240" t="s">
        <v>2801</v>
      </c>
      <c r="P23" s="240" t="s">
        <v>2801</v>
      </c>
      <c r="Q23" s="239" t="s">
        <v>2802</v>
      </c>
      <c r="R23" s="241">
        <v>2</v>
      </c>
      <c r="S23" s="240" t="s">
        <v>2801</v>
      </c>
      <c r="T23" s="242" t="s">
        <v>2801</v>
      </c>
      <c r="U23" s="239" t="s">
        <v>2803</v>
      </c>
      <c r="V23" s="243"/>
    </row>
    <row r="24" spans="1:23" s="244" customFormat="1" ht="30" customHeight="1">
      <c r="A24" s="239" t="s">
        <v>2921</v>
      </c>
      <c r="B24" s="239" t="s">
        <v>2922</v>
      </c>
      <c r="C24" s="240" t="s">
        <v>2923</v>
      </c>
      <c r="D24" s="239" t="s">
        <v>74</v>
      </c>
      <c r="E24" s="239" t="s">
        <v>2795</v>
      </c>
      <c r="F24" s="239" t="s">
        <v>2924</v>
      </c>
      <c r="G24" s="241"/>
      <c r="H24" s="241">
        <v>40</v>
      </c>
      <c r="I24" s="240" t="s">
        <v>2929</v>
      </c>
      <c r="J24" s="240"/>
      <c r="K24" s="240"/>
      <c r="L24" s="240"/>
      <c r="M24" s="240" t="s">
        <v>2930</v>
      </c>
      <c r="N24" s="240" t="s">
        <v>2931</v>
      </c>
      <c r="O24" s="240" t="s">
        <v>2932</v>
      </c>
      <c r="P24" s="240" t="s">
        <v>2933</v>
      </c>
      <c r="Q24" s="239" t="s">
        <v>2802</v>
      </c>
      <c r="R24" s="241">
        <v>2</v>
      </c>
      <c r="S24" s="240" t="s">
        <v>2934</v>
      </c>
      <c r="T24" s="242" t="s">
        <v>1198</v>
      </c>
      <c r="U24" s="239" t="s">
        <v>2935</v>
      </c>
      <c r="V24" s="243"/>
    </row>
    <row r="25" spans="1:23" s="244" customFormat="1" ht="30" customHeight="1">
      <c r="A25" s="239" t="s">
        <v>2921</v>
      </c>
      <c r="B25" s="239" t="s">
        <v>2922</v>
      </c>
      <c r="C25" s="240" t="s">
        <v>2923</v>
      </c>
      <c r="D25" s="239" t="s">
        <v>74</v>
      </c>
      <c r="E25" s="239" t="s">
        <v>2795</v>
      </c>
      <c r="F25" s="239" t="s">
        <v>2924</v>
      </c>
      <c r="G25" s="241"/>
      <c r="H25" s="241">
        <v>40</v>
      </c>
      <c r="I25" s="240" t="s">
        <v>2936</v>
      </c>
      <c r="J25" s="240"/>
      <c r="K25" s="240"/>
      <c r="L25" s="240"/>
      <c r="M25" s="240" t="s">
        <v>2930</v>
      </c>
      <c r="N25" s="240" t="s">
        <v>2937</v>
      </c>
      <c r="O25" s="240" t="s">
        <v>2938</v>
      </c>
      <c r="P25" s="240" t="s">
        <v>2939</v>
      </c>
      <c r="Q25" s="239" t="s">
        <v>2802</v>
      </c>
      <c r="R25" s="241">
        <v>2</v>
      </c>
      <c r="S25" s="240" t="s">
        <v>2940</v>
      </c>
      <c r="T25" s="242" t="s">
        <v>1198</v>
      </c>
      <c r="U25" s="239" t="s">
        <v>2935</v>
      </c>
      <c r="V25" s="243"/>
    </row>
    <row r="26" spans="1:23" s="244" customFormat="1" ht="30" customHeight="1">
      <c r="A26" s="239" t="s">
        <v>2921</v>
      </c>
      <c r="B26" s="239" t="s">
        <v>2922</v>
      </c>
      <c r="C26" s="240" t="s">
        <v>2923</v>
      </c>
      <c r="D26" s="239" t="s">
        <v>74</v>
      </c>
      <c r="E26" s="239" t="s">
        <v>2795</v>
      </c>
      <c r="F26" s="239" t="s">
        <v>2924</v>
      </c>
      <c r="G26" s="241"/>
      <c r="H26" s="241">
        <v>40</v>
      </c>
      <c r="I26" s="240" t="s">
        <v>2941</v>
      </c>
      <c r="J26" s="240"/>
      <c r="K26" s="240"/>
      <c r="L26" s="240"/>
      <c r="M26" s="240" t="s">
        <v>2942</v>
      </c>
      <c r="N26" s="240" t="s">
        <v>2943</v>
      </c>
      <c r="O26" s="240" t="s">
        <v>2944</v>
      </c>
      <c r="P26" s="240" t="s">
        <v>2945</v>
      </c>
      <c r="Q26" s="239" t="s">
        <v>2946</v>
      </c>
      <c r="R26" s="241">
        <v>2</v>
      </c>
      <c r="S26" s="240" t="s">
        <v>2947</v>
      </c>
      <c r="T26" s="242" t="s">
        <v>2948</v>
      </c>
      <c r="U26" s="239" t="s">
        <v>2823</v>
      </c>
      <c r="V26" s="243"/>
    </row>
    <row r="27" spans="1:23" s="244" customFormat="1" ht="30" customHeight="1">
      <c r="A27" s="239" t="s">
        <v>2949</v>
      </c>
      <c r="B27" s="239" t="s">
        <v>2950</v>
      </c>
      <c r="C27" s="240" t="s">
        <v>2951</v>
      </c>
      <c r="D27" s="239" t="s">
        <v>74</v>
      </c>
      <c r="E27" s="239"/>
      <c r="F27" s="239"/>
      <c r="G27" s="241"/>
      <c r="H27" s="241">
        <v>40</v>
      </c>
      <c r="I27" s="240" t="s">
        <v>2952</v>
      </c>
      <c r="J27" s="240" t="s">
        <v>2798</v>
      </c>
      <c r="K27" s="240" t="s">
        <v>2953</v>
      </c>
      <c r="L27" s="240" t="s">
        <v>2954</v>
      </c>
      <c r="M27" s="240" t="s">
        <v>2801</v>
      </c>
      <c r="N27" s="240" t="s">
        <v>2801</v>
      </c>
      <c r="O27" s="240" t="s">
        <v>2801</v>
      </c>
      <c r="P27" s="240" t="s">
        <v>2801</v>
      </c>
      <c r="Q27" s="239" t="s">
        <v>2801</v>
      </c>
      <c r="R27" s="241"/>
      <c r="S27" s="240" t="s">
        <v>2801</v>
      </c>
      <c r="T27" s="242" t="s">
        <v>2801</v>
      </c>
      <c r="U27" s="239" t="s">
        <v>2823</v>
      </c>
      <c r="V27" s="243"/>
    </row>
    <row r="28" spans="1:23" s="244" customFormat="1" ht="30" customHeight="1">
      <c r="A28" s="239" t="s">
        <v>2949</v>
      </c>
      <c r="B28" s="239" t="s">
        <v>2950</v>
      </c>
      <c r="C28" s="240" t="s">
        <v>2951</v>
      </c>
      <c r="D28" s="239" t="s">
        <v>74</v>
      </c>
      <c r="E28" s="239"/>
      <c r="F28" s="239"/>
      <c r="G28" s="241"/>
      <c r="H28" s="241">
        <v>40</v>
      </c>
      <c r="I28" s="240" t="s">
        <v>2955</v>
      </c>
      <c r="J28" s="240"/>
      <c r="K28" s="240"/>
      <c r="L28" s="240"/>
      <c r="M28" s="240" t="s">
        <v>2956</v>
      </c>
      <c r="N28" s="240" t="s">
        <v>2957</v>
      </c>
      <c r="O28" s="240" t="s">
        <v>2958</v>
      </c>
      <c r="P28" s="240" t="s">
        <v>2959</v>
      </c>
      <c r="Q28" s="239" t="s">
        <v>2802</v>
      </c>
      <c r="R28" s="241"/>
      <c r="S28" s="240" t="s">
        <v>2960</v>
      </c>
      <c r="T28" s="242" t="s">
        <v>2961</v>
      </c>
      <c r="U28" s="239" t="s">
        <v>2823</v>
      </c>
      <c r="V28" s="243"/>
    </row>
    <row r="29" spans="1:23" s="244" customFormat="1" ht="30" customHeight="1">
      <c r="A29" s="239" t="s">
        <v>2949</v>
      </c>
      <c r="B29" s="239" t="s">
        <v>2950</v>
      </c>
      <c r="C29" s="240" t="s">
        <v>2951</v>
      </c>
      <c r="D29" s="239" t="s">
        <v>74</v>
      </c>
      <c r="E29" s="239"/>
      <c r="F29" s="239"/>
      <c r="G29" s="241"/>
      <c r="H29" s="241">
        <v>40</v>
      </c>
      <c r="I29" s="240" t="s">
        <v>2962</v>
      </c>
      <c r="J29" s="240"/>
      <c r="K29" s="240"/>
      <c r="L29" s="240"/>
      <c r="M29" s="240" t="s">
        <v>2956</v>
      </c>
      <c r="N29" s="240" t="s">
        <v>2963</v>
      </c>
      <c r="O29" s="240" t="s">
        <v>2964</v>
      </c>
      <c r="P29" s="240" t="s">
        <v>2965</v>
      </c>
      <c r="Q29" s="239" t="s">
        <v>2802</v>
      </c>
      <c r="R29" s="241"/>
      <c r="S29" s="240" t="s">
        <v>2966</v>
      </c>
      <c r="T29" s="242" t="s">
        <v>2967</v>
      </c>
      <c r="U29" s="239" t="s">
        <v>2823</v>
      </c>
      <c r="V29" s="243"/>
      <c r="W29" s="245"/>
    </row>
    <row r="30" spans="1:23" s="244" customFormat="1" ht="30" customHeight="1">
      <c r="A30" s="239" t="s">
        <v>2949</v>
      </c>
      <c r="B30" s="239" t="s">
        <v>2950</v>
      </c>
      <c r="C30" s="240" t="s">
        <v>2951</v>
      </c>
      <c r="D30" s="239" t="s">
        <v>74</v>
      </c>
      <c r="E30" s="239"/>
      <c r="F30" s="239"/>
      <c r="G30" s="241"/>
      <c r="H30" s="241">
        <v>40</v>
      </c>
      <c r="I30" s="240" t="s">
        <v>2968</v>
      </c>
      <c r="J30" s="240"/>
      <c r="K30" s="240"/>
      <c r="L30" s="240"/>
      <c r="M30" s="240" t="s">
        <v>2956</v>
      </c>
      <c r="N30" s="240" t="s">
        <v>2969</v>
      </c>
      <c r="O30" s="240" t="s">
        <v>2970</v>
      </c>
      <c r="P30" s="240" t="s">
        <v>2971</v>
      </c>
      <c r="Q30" s="239" t="s">
        <v>2972</v>
      </c>
      <c r="R30" s="241"/>
      <c r="S30" s="240" t="s">
        <v>2973</v>
      </c>
      <c r="T30" s="242" t="s">
        <v>2974</v>
      </c>
      <c r="U30" s="239" t="s">
        <v>2823</v>
      </c>
      <c r="V30" s="243"/>
    </row>
    <row r="31" spans="1:23" s="244" customFormat="1" ht="30" customHeight="1">
      <c r="A31" s="239" t="s">
        <v>2975</v>
      </c>
      <c r="B31" s="239" t="s">
        <v>2976</v>
      </c>
      <c r="C31" s="240" t="s">
        <v>2977</v>
      </c>
      <c r="D31" s="239" t="s">
        <v>74</v>
      </c>
      <c r="E31" s="239"/>
      <c r="F31" s="239"/>
      <c r="G31" s="241"/>
      <c r="H31" s="241">
        <v>40</v>
      </c>
      <c r="I31" s="240" t="s">
        <v>2978</v>
      </c>
      <c r="J31" s="240" t="s">
        <v>2798</v>
      </c>
      <c r="K31" s="240" t="s">
        <v>2953</v>
      </c>
      <c r="L31" s="240" t="s">
        <v>2954</v>
      </c>
      <c r="M31" s="240" t="s">
        <v>2979</v>
      </c>
      <c r="N31" s="240" t="s">
        <v>2980</v>
      </c>
      <c r="O31" s="240" t="s">
        <v>2981</v>
      </c>
      <c r="P31" s="240" t="s">
        <v>2982</v>
      </c>
      <c r="Q31" s="239" t="s">
        <v>2802</v>
      </c>
      <c r="R31" s="241"/>
      <c r="S31" s="240" t="s">
        <v>2983</v>
      </c>
      <c r="T31" s="242" t="s">
        <v>2984</v>
      </c>
      <c r="U31" s="239" t="s">
        <v>2823</v>
      </c>
      <c r="V31" s="243"/>
    </row>
    <row r="32" spans="1:23" s="244" customFormat="1" ht="30" customHeight="1">
      <c r="A32" s="239" t="s">
        <v>2985</v>
      </c>
      <c r="B32" s="239" t="s">
        <v>2986</v>
      </c>
      <c r="C32" s="240" t="s">
        <v>2987</v>
      </c>
      <c r="D32" s="239" t="s">
        <v>74</v>
      </c>
      <c r="E32" s="239"/>
      <c r="F32" s="239"/>
      <c r="G32" s="241"/>
      <c r="H32" s="241">
        <v>40</v>
      </c>
      <c r="I32" s="240" t="s">
        <v>2988</v>
      </c>
      <c r="J32" s="240" t="s">
        <v>2798</v>
      </c>
      <c r="K32" s="240" t="s">
        <v>2953</v>
      </c>
      <c r="L32" s="240" t="s">
        <v>2954</v>
      </c>
      <c r="M32" s="240" t="s">
        <v>2979</v>
      </c>
      <c r="N32" s="240" t="s">
        <v>2989</v>
      </c>
      <c r="O32" s="240" t="s">
        <v>2990</v>
      </c>
      <c r="P32" s="240" t="s">
        <v>2991</v>
      </c>
      <c r="Q32" s="239" t="s">
        <v>2802</v>
      </c>
      <c r="R32" s="241"/>
      <c r="S32" s="240" t="s">
        <v>2992</v>
      </c>
      <c r="T32" s="242" t="s">
        <v>2993</v>
      </c>
      <c r="U32" s="239" t="s">
        <v>2823</v>
      </c>
      <c r="V32" s="243"/>
    </row>
    <row r="33" spans="1:22" s="244" customFormat="1" ht="30" customHeight="1">
      <c r="A33" s="239" t="s">
        <v>2994</v>
      </c>
      <c r="B33" s="239" t="s">
        <v>2995</v>
      </c>
      <c r="C33" s="240" t="s">
        <v>2996</v>
      </c>
      <c r="D33" s="239" t="s">
        <v>74</v>
      </c>
      <c r="E33" s="239" t="s">
        <v>246</v>
      </c>
      <c r="F33" s="239" t="s">
        <v>2855</v>
      </c>
      <c r="G33" s="241"/>
      <c r="H33" s="241">
        <v>40</v>
      </c>
      <c r="I33" s="240" t="s">
        <v>2997</v>
      </c>
      <c r="J33" s="240" t="s">
        <v>2998</v>
      </c>
      <c r="K33" s="240" t="s">
        <v>2999</v>
      </c>
      <c r="L33" s="240" t="s">
        <v>3000</v>
      </c>
      <c r="M33" s="240" t="s">
        <v>2801</v>
      </c>
      <c r="N33" s="240" t="s">
        <v>2801</v>
      </c>
      <c r="O33" s="240" t="s">
        <v>2801</v>
      </c>
      <c r="P33" s="240" t="s">
        <v>2801</v>
      </c>
      <c r="Q33" s="239" t="s">
        <v>2864</v>
      </c>
      <c r="R33" s="241">
        <v>0</v>
      </c>
      <c r="S33" s="240" t="s">
        <v>2801</v>
      </c>
      <c r="T33" s="242" t="s">
        <v>2801</v>
      </c>
      <c r="U33" s="239" t="s">
        <v>2803</v>
      </c>
      <c r="V33" s="243"/>
    </row>
    <row r="34" spans="1:22" s="244" customFormat="1" ht="30" customHeight="1">
      <c r="A34" s="239" t="s">
        <v>2994</v>
      </c>
      <c r="B34" s="239" t="s">
        <v>2995</v>
      </c>
      <c r="C34" s="240" t="s">
        <v>2996</v>
      </c>
      <c r="D34" s="239" t="s">
        <v>74</v>
      </c>
      <c r="E34" s="239" t="s">
        <v>246</v>
      </c>
      <c r="F34" s="239" t="s">
        <v>2855</v>
      </c>
      <c r="G34" s="241"/>
      <c r="H34" s="241">
        <v>40</v>
      </c>
      <c r="I34" s="240" t="s">
        <v>3001</v>
      </c>
      <c r="J34" s="240"/>
      <c r="K34" s="240"/>
      <c r="L34" s="240"/>
      <c r="M34" s="240" t="s">
        <v>3002</v>
      </c>
      <c r="N34" s="240" t="s">
        <v>3003</v>
      </c>
      <c r="O34" s="240" t="s">
        <v>3004</v>
      </c>
      <c r="P34" s="240" t="s">
        <v>3005</v>
      </c>
      <c r="Q34" s="239" t="s">
        <v>2864</v>
      </c>
      <c r="R34" s="241">
        <v>0</v>
      </c>
      <c r="S34" s="240" t="s">
        <v>3006</v>
      </c>
      <c r="T34" s="242" t="s">
        <v>3007</v>
      </c>
      <c r="U34" s="239" t="s">
        <v>3008</v>
      </c>
      <c r="V34" s="243"/>
    </row>
    <row r="35" spans="1:22" s="244" customFormat="1" ht="30" customHeight="1">
      <c r="A35" s="239" t="s">
        <v>2994</v>
      </c>
      <c r="B35" s="239" t="s">
        <v>2995</v>
      </c>
      <c r="C35" s="240" t="s">
        <v>2996</v>
      </c>
      <c r="D35" s="239" t="s">
        <v>74</v>
      </c>
      <c r="E35" s="239" t="s">
        <v>246</v>
      </c>
      <c r="F35" s="239" t="s">
        <v>2855</v>
      </c>
      <c r="G35" s="241"/>
      <c r="H35" s="241">
        <v>40</v>
      </c>
      <c r="I35" s="240" t="s">
        <v>3009</v>
      </c>
      <c r="J35" s="240"/>
      <c r="K35" s="240"/>
      <c r="L35" s="240"/>
      <c r="M35" s="240" t="s">
        <v>3002</v>
      </c>
      <c r="N35" s="240" t="s">
        <v>3010</v>
      </c>
      <c r="O35" s="240" t="s">
        <v>3011</v>
      </c>
      <c r="P35" s="240" t="s">
        <v>3012</v>
      </c>
      <c r="Q35" s="239" t="s">
        <v>2864</v>
      </c>
      <c r="R35" s="241">
        <v>0</v>
      </c>
      <c r="S35" s="240" t="s">
        <v>3013</v>
      </c>
      <c r="T35" s="242" t="s">
        <v>3014</v>
      </c>
      <c r="U35" s="239" t="s">
        <v>3008</v>
      </c>
      <c r="V35" s="243"/>
    </row>
    <row r="36" spans="1:22" s="244" customFormat="1" ht="30" customHeight="1">
      <c r="A36" s="239" t="s">
        <v>3015</v>
      </c>
      <c r="B36" s="239" t="s">
        <v>3016</v>
      </c>
      <c r="C36" s="240" t="s">
        <v>3017</v>
      </c>
      <c r="D36" s="239" t="s">
        <v>74</v>
      </c>
      <c r="E36" s="239" t="s">
        <v>246</v>
      </c>
      <c r="F36" s="239" t="s">
        <v>2855</v>
      </c>
      <c r="G36" s="241"/>
      <c r="H36" s="241">
        <v>40</v>
      </c>
      <c r="I36" s="240" t="s">
        <v>3018</v>
      </c>
      <c r="J36" s="240" t="s">
        <v>2998</v>
      </c>
      <c r="K36" s="240" t="s">
        <v>2999</v>
      </c>
      <c r="L36" s="240" t="s">
        <v>3000</v>
      </c>
      <c r="M36" s="240" t="s">
        <v>2801</v>
      </c>
      <c r="N36" s="240" t="s">
        <v>2801</v>
      </c>
      <c r="O36" s="240" t="s">
        <v>2801</v>
      </c>
      <c r="P36" s="240" t="s">
        <v>2801</v>
      </c>
      <c r="Q36" s="239" t="s">
        <v>2864</v>
      </c>
      <c r="R36" s="241">
        <v>0</v>
      </c>
      <c r="S36" s="240" t="s">
        <v>2801</v>
      </c>
      <c r="T36" s="242" t="s">
        <v>2801</v>
      </c>
      <c r="U36" s="239" t="s">
        <v>2803</v>
      </c>
      <c r="V36" s="243"/>
    </row>
    <row r="37" spans="1:22" s="244" customFormat="1" ht="30" customHeight="1">
      <c r="A37" s="239" t="s">
        <v>3015</v>
      </c>
      <c r="B37" s="239" t="s">
        <v>3016</v>
      </c>
      <c r="C37" s="240" t="s">
        <v>3017</v>
      </c>
      <c r="D37" s="239" t="s">
        <v>74</v>
      </c>
      <c r="E37" s="239" t="s">
        <v>246</v>
      </c>
      <c r="F37" s="239" t="s">
        <v>2855</v>
      </c>
      <c r="G37" s="241"/>
      <c r="H37" s="241">
        <v>40</v>
      </c>
      <c r="I37" s="240" t="s">
        <v>3019</v>
      </c>
      <c r="J37" s="240"/>
      <c r="K37" s="240"/>
      <c r="L37" s="240"/>
      <c r="M37" s="240" t="s">
        <v>3002</v>
      </c>
      <c r="N37" s="240" t="s">
        <v>3020</v>
      </c>
      <c r="O37" s="240" t="s">
        <v>3021</v>
      </c>
      <c r="P37" s="240" t="s">
        <v>3022</v>
      </c>
      <c r="Q37" s="239" t="s">
        <v>2864</v>
      </c>
      <c r="R37" s="241">
        <v>0</v>
      </c>
      <c r="S37" s="240" t="s">
        <v>3023</v>
      </c>
      <c r="T37" s="242" t="s">
        <v>3024</v>
      </c>
      <c r="U37" s="239" t="s">
        <v>3008</v>
      </c>
      <c r="V37" s="243"/>
    </row>
    <row r="38" spans="1:22" s="244" customFormat="1" ht="30" customHeight="1">
      <c r="A38" s="239" t="s">
        <v>3015</v>
      </c>
      <c r="B38" s="239" t="s">
        <v>3016</v>
      </c>
      <c r="C38" s="240" t="s">
        <v>3017</v>
      </c>
      <c r="D38" s="239" t="s">
        <v>74</v>
      </c>
      <c r="E38" s="239" t="s">
        <v>246</v>
      </c>
      <c r="F38" s="239" t="s">
        <v>2855</v>
      </c>
      <c r="G38" s="241"/>
      <c r="H38" s="241">
        <v>40</v>
      </c>
      <c r="I38" s="240" t="s">
        <v>3025</v>
      </c>
      <c r="J38" s="240"/>
      <c r="K38" s="240"/>
      <c r="L38" s="240"/>
      <c r="M38" s="240" t="s">
        <v>3002</v>
      </c>
      <c r="N38" s="240" t="s">
        <v>3026</v>
      </c>
      <c r="O38" s="240" t="s">
        <v>3027</v>
      </c>
      <c r="P38" s="240" t="s">
        <v>3028</v>
      </c>
      <c r="Q38" s="239" t="s">
        <v>2864</v>
      </c>
      <c r="R38" s="241">
        <v>0</v>
      </c>
      <c r="S38" s="240" t="s">
        <v>3029</v>
      </c>
      <c r="T38" s="242" t="s">
        <v>3030</v>
      </c>
      <c r="U38" s="239" t="s">
        <v>3008</v>
      </c>
      <c r="V38" s="243"/>
    </row>
    <row r="39" spans="1:22" s="244" customFormat="1" ht="30" customHeight="1">
      <c r="A39" s="239" t="s">
        <v>3031</v>
      </c>
      <c r="B39" s="239" t="s">
        <v>3032</v>
      </c>
      <c r="C39" s="240" t="s">
        <v>3033</v>
      </c>
      <c r="D39" s="239" t="s">
        <v>74</v>
      </c>
      <c r="E39" s="239" t="s">
        <v>246</v>
      </c>
      <c r="F39" s="239" t="s">
        <v>2855</v>
      </c>
      <c r="G39" s="241"/>
      <c r="H39" s="241">
        <v>40</v>
      </c>
      <c r="I39" s="240" t="s">
        <v>3034</v>
      </c>
      <c r="J39" s="240" t="s">
        <v>2998</v>
      </c>
      <c r="K39" s="240" t="s">
        <v>2999</v>
      </c>
      <c r="L39" s="240" t="s">
        <v>3000</v>
      </c>
      <c r="M39" s="240" t="s">
        <v>2801</v>
      </c>
      <c r="N39" s="240" t="s">
        <v>2801</v>
      </c>
      <c r="O39" s="240" t="s">
        <v>2801</v>
      </c>
      <c r="P39" s="240" t="s">
        <v>2801</v>
      </c>
      <c r="Q39" s="239" t="s">
        <v>2864</v>
      </c>
      <c r="R39" s="241">
        <v>0</v>
      </c>
      <c r="S39" s="240" t="s">
        <v>2801</v>
      </c>
      <c r="T39" s="242" t="s">
        <v>2801</v>
      </c>
      <c r="U39" s="239" t="s">
        <v>2803</v>
      </c>
      <c r="V39" s="243"/>
    </row>
    <row r="40" spans="1:22" s="244" customFormat="1" ht="30" customHeight="1">
      <c r="A40" s="239" t="s">
        <v>3031</v>
      </c>
      <c r="B40" s="239" t="s">
        <v>3032</v>
      </c>
      <c r="C40" s="240" t="s">
        <v>3033</v>
      </c>
      <c r="D40" s="239" t="s">
        <v>74</v>
      </c>
      <c r="E40" s="239" t="s">
        <v>246</v>
      </c>
      <c r="F40" s="239" t="s">
        <v>2855</v>
      </c>
      <c r="G40" s="241"/>
      <c r="H40" s="241">
        <v>40</v>
      </c>
      <c r="I40" s="240" t="s">
        <v>3035</v>
      </c>
      <c r="J40" s="240"/>
      <c r="K40" s="240"/>
      <c r="L40" s="240"/>
      <c r="M40" s="240" t="s">
        <v>3036</v>
      </c>
      <c r="N40" s="240" t="s">
        <v>3037</v>
      </c>
      <c r="O40" s="240" t="s">
        <v>3038</v>
      </c>
      <c r="P40" s="240" t="s">
        <v>3039</v>
      </c>
      <c r="Q40" s="239" t="s">
        <v>2864</v>
      </c>
      <c r="R40" s="241">
        <v>0</v>
      </c>
      <c r="S40" s="240" t="s">
        <v>3040</v>
      </c>
      <c r="T40" s="242" t="s">
        <v>3041</v>
      </c>
      <c r="U40" s="239" t="s">
        <v>3008</v>
      </c>
      <c r="V40" s="243"/>
    </row>
    <row r="41" spans="1:22" s="244" customFormat="1" ht="30" customHeight="1">
      <c r="A41" s="239" t="s">
        <v>3031</v>
      </c>
      <c r="B41" s="239" t="s">
        <v>3032</v>
      </c>
      <c r="C41" s="240" t="s">
        <v>3033</v>
      </c>
      <c r="D41" s="239" t="s">
        <v>74</v>
      </c>
      <c r="E41" s="239" t="s">
        <v>246</v>
      </c>
      <c r="F41" s="239" t="s">
        <v>2855</v>
      </c>
      <c r="G41" s="241"/>
      <c r="H41" s="241">
        <v>40</v>
      </c>
      <c r="I41" s="240" t="s">
        <v>3042</v>
      </c>
      <c r="J41" s="240"/>
      <c r="K41" s="240"/>
      <c r="L41" s="240"/>
      <c r="M41" s="240" t="s">
        <v>3036</v>
      </c>
      <c r="N41" s="240" t="s">
        <v>3043</v>
      </c>
      <c r="O41" s="240" t="s">
        <v>3044</v>
      </c>
      <c r="P41" s="240" t="s">
        <v>3045</v>
      </c>
      <c r="Q41" s="239" t="s">
        <v>2864</v>
      </c>
      <c r="R41" s="241">
        <v>0</v>
      </c>
      <c r="S41" s="240" t="s">
        <v>3046</v>
      </c>
      <c r="T41" s="242" t="s">
        <v>3047</v>
      </c>
      <c r="U41" s="239" t="s">
        <v>3008</v>
      </c>
      <c r="V41" s="243"/>
    </row>
    <row r="42" spans="1:22" s="244" customFormat="1" ht="30" customHeight="1">
      <c r="A42" s="239" t="s">
        <v>3048</v>
      </c>
      <c r="B42" s="239" t="s">
        <v>3049</v>
      </c>
      <c r="C42" s="240" t="s">
        <v>3050</v>
      </c>
      <c r="D42" s="239" t="s">
        <v>74</v>
      </c>
      <c r="E42" s="239" t="s">
        <v>246</v>
      </c>
      <c r="F42" s="239" t="s">
        <v>2855</v>
      </c>
      <c r="G42" s="241"/>
      <c r="H42" s="241">
        <v>40</v>
      </c>
      <c r="I42" s="240" t="s">
        <v>3051</v>
      </c>
      <c r="J42" s="246" t="s">
        <v>2998</v>
      </c>
      <c r="K42" s="247" t="s">
        <v>2999</v>
      </c>
      <c r="L42" s="247" t="s">
        <v>3000</v>
      </c>
      <c r="M42" s="240" t="s">
        <v>2801</v>
      </c>
      <c r="N42" s="240" t="s">
        <v>2801</v>
      </c>
      <c r="O42" s="240" t="s">
        <v>2801</v>
      </c>
      <c r="P42" s="240" t="s">
        <v>2801</v>
      </c>
      <c r="Q42" s="239" t="s">
        <v>2864</v>
      </c>
      <c r="R42" s="241">
        <v>0</v>
      </c>
      <c r="S42" s="240" t="s">
        <v>2801</v>
      </c>
      <c r="T42" s="242" t="s">
        <v>2801</v>
      </c>
      <c r="U42" s="239" t="s">
        <v>2803</v>
      </c>
      <c r="V42" s="243"/>
    </row>
    <row r="43" spans="1:22" s="244" customFormat="1" ht="30" customHeight="1">
      <c r="A43" s="239" t="s">
        <v>3048</v>
      </c>
      <c r="B43" s="239" t="s">
        <v>3049</v>
      </c>
      <c r="C43" s="240" t="s">
        <v>3050</v>
      </c>
      <c r="D43" s="239" t="s">
        <v>74</v>
      </c>
      <c r="E43" s="239" t="s">
        <v>246</v>
      </c>
      <c r="F43" s="239" t="s">
        <v>2855</v>
      </c>
      <c r="G43" s="241"/>
      <c r="H43" s="241">
        <v>40</v>
      </c>
      <c r="I43" s="240" t="s">
        <v>3052</v>
      </c>
      <c r="J43" s="240"/>
      <c r="K43" s="240"/>
      <c r="L43" s="240"/>
      <c r="M43" s="240" t="s">
        <v>3053</v>
      </c>
      <c r="N43" s="240" t="s">
        <v>3054</v>
      </c>
      <c r="O43" s="240" t="s">
        <v>3055</v>
      </c>
      <c r="P43" s="240" t="s">
        <v>3056</v>
      </c>
      <c r="Q43" s="239" t="s">
        <v>2864</v>
      </c>
      <c r="R43" s="241">
        <v>0</v>
      </c>
      <c r="S43" s="240" t="s">
        <v>3057</v>
      </c>
      <c r="T43" s="242" t="s">
        <v>3058</v>
      </c>
      <c r="U43" s="239" t="s">
        <v>3008</v>
      </c>
      <c r="V43" s="243"/>
    </row>
    <row r="44" spans="1:22" s="244" customFormat="1" ht="30" customHeight="1">
      <c r="A44" s="239" t="s">
        <v>3048</v>
      </c>
      <c r="B44" s="239" t="s">
        <v>3049</v>
      </c>
      <c r="C44" s="240" t="s">
        <v>3050</v>
      </c>
      <c r="D44" s="239" t="s">
        <v>74</v>
      </c>
      <c r="E44" s="239" t="s">
        <v>246</v>
      </c>
      <c r="F44" s="239" t="s">
        <v>2855</v>
      </c>
      <c r="G44" s="241"/>
      <c r="H44" s="241">
        <v>40</v>
      </c>
      <c r="I44" s="240" t="s">
        <v>3059</v>
      </c>
      <c r="J44" s="240"/>
      <c r="K44" s="240"/>
      <c r="L44" s="240"/>
      <c r="M44" s="240" t="s">
        <v>3053</v>
      </c>
      <c r="N44" s="240" t="s">
        <v>3060</v>
      </c>
      <c r="O44" s="240" t="s">
        <v>3061</v>
      </c>
      <c r="P44" s="240" t="s">
        <v>3062</v>
      </c>
      <c r="Q44" s="239" t="s">
        <v>2864</v>
      </c>
      <c r="R44" s="241">
        <v>0</v>
      </c>
      <c r="S44" s="240" t="s">
        <v>3063</v>
      </c>
      <c r="T44" s="242" t="s">
        <v>3064</v>
      </c>
      <c r="U44" s="239" t="s">
        <v>3008</v>
      </c>
      <c r="V44" s="243"/>
    </row>
    <row r="45" spans="1:22" s="244" customFormat="1" ht="30" customHeight="1">
      <c r="A45" s="239" t="s">
        <v>3065</v>
      </c>
      <c r="B45" s="239" t="s">
        <v>3066</v>
      </c>
      <c r="C45" s="240" t="s">
        <v>3067</v>
      </c>
      <c r="D45" s="239" t="s">
        <v>74</v>
      </c>
      <c r="E45" s="239"/>
      <c r="F45" s="239"/>
      <c r="G45" s="241"/>
      <c r="H45" s="241">
        <v>40</v>
      </c>
      <c r="I45" s="240" t="s">
        <v>3068</v>
      </c>
      <c r="J45" s="240" t="s">
        <v>2998</v>
      </c>
      <c r="K45" s="240" t="s">
        <v>2999</v>
      </c>
      <c r="L45" s="240" t="s">
        <v>3000</v>
      </c>
      <c r="M45" s="240" t="s">
        <v>2801</v>
      </c>
      <c r="N45" s="240" t="s">
        <v>2801</v>
      </c>
      <c r="O45" s="240" t="s">
        <v>2801</v>
      </c>
      <c r="P45" s="240" t="s">
        <v>2801</v>
      </c>
      <c r="Q45" s="239" t="s">
        <v>2864</v>
      </c>
      <c r="R45" s="241"/>
      <c r="S45" s="240" t="s">
        <v>2801</v>
      </c>
      <c r="T45" s="242" t="s">
        <v>2801</v>
      </c>
      <c r="U45" s="239" t="s">
        <v>2803</v>
      </c>
      <c r="V45" s="243"/>
    </row>
    <row r="46" spans="1:22" s="244" customFormat="1" ht="30" customHeight="1">
      <c r="A46" s="239" t="s">
        <v>3065</v>
      </c>
      <c r="B46" s="239" t="s">
        <v>3066</v>
      </c>
      <c r="C46" s="240" t="s">
        <v>3067</v>
      </c>
      <c r="D46" s="239" t="s">
        <v>74</v>
      </c>
      <c r="E46" s="239"/>
      <c r="F46" s="239"/>
      <c r="G46" s="241"/>
      <c r="H46" s="241">
        <v>40</v>
      </c>
      <c r="I46" s="240" t="s">
        <v>3069</v>
      </c>
      <c r="J46" s="240"/>
      <c r="K46" s="240"/>
      <c r="L46" s="240"/>
      <c r="M46" s="240" t="s">
        <v>3070</v>
      </c>
      <c r="N46" s="240" t="s">
        <v>3071</v>
      </c>
      <c r="O46" s="240" t="s">
        <v>3072</v>
      </c>
      <c r="P46" s="240" t="s">
        <v>3073</v>
      </c>
      <c r="Q46" s="239" t="s">
        <v>2864</v>
      </c>
      <c r="R46" s="241"/>
      <c r="S46" s="240" t="s">
        <v>3074</v>
      </c>
      <c r="T46" s="242" t="s">
        <v>3075</v>
      </c>
      <c r="U46" s="239" t="s">
        <v>3008</v>
      </c>
      <c r="V46" s="243"/>
    </row>
    <row r="47" spans="1:22" s="244" customFormat="1" ht="30" customHeight="1">
      <c r="A47" s="239" t="s">
        <v>3065</v>
      </c>
      <c r="B47" s="239" t="s">
        <v>3066</v>
      </c>
      <c r="C47" s="240" t="s">
        <v>3067</v>
      </c>
      <c r="D47" s="239" t="s">
        <v>74</v>
      </c>
      <c r="E47" s="239"/>
      <c r="F47" s="239"/>
      <c r="G47" s="241"/>
      <c r="H47" s="241">
        <v>40</v>
      </c>
      <c r="I47" s="240" t="s">
        <v>3076</v>
      </c>
      <c r="J47" s="240"/>
      <c r="K47" s="240"/>
      <c r="L47" s="240"/>
      <c r="M47" s="240" t="s">
        <v>3070</v>
      </c>
      <c r="N47" s="240" t="s">
        <v>3077</v>
      </c>
      <c r="O47" s="240" t="s">
        <v>3078</v>
      </c>
      <c r="P47" s="240" t="s">
        <v>3079</v>
      </c>
      <c r="Q47" s="239" t="s">
        <v>2864</v>
      </c>
      <c r="R47" s="241"/>
      <c r="S47" s="240" t="s">
        <v>3080</v>
      </c>
      <c r="T47" s="242" t="s">
        <v>3081</v>
      </c>
      <c r="U47" s="239" t="s">
        <v>3008</v>
      </c>
      <c r="V47" s="243"/>
    </row>
    <row r="48" spans="1:22" s="244" customFormat="1" ht="30" customHeight="1">
      <c r="A48" s="239" t="s">
        <v>3082</v>
      </c>
      <c r="B48" s="239" t="s">
        <v>3083</v>
      </c>
      <c r="C48" s="240" t="s">
        <v>3084</v>
      </c>
      <c r="D48" s="239" t="s">
        <v>74</v>
      </c>
      <c r="E48" s="239"/>
      <c r="F48" s="239"/>
      <c r="G48" s="241"/>
      <c r="H48" s="241">
        <v>40</v>
      </c>
      <c r="I48" s="240" t="s">
        <v>3085</v>
      </c>
      <c r="J48" s="240" t="s">
        <v>2998</v>
      </c>
      <c r="K48" s="240" t="s">
        <v>2999</v>
      </c>
      <c r="L48" s="240" t="s">
        <v>3000</v>
      </c>
      <c r="M48" s="240" t="s">
        <v>2801</v>
      </c>
      <c r="N48" s="240" t="s">
        <v>2801</v>
      </c>
      <c r="O48" s="240" t="s">
        <v>2801</v>
      </c>
      <c r="P48" s="240" t="s">
        <v>2801</v>
      </c>
      <c r="Q48" s="239" t="s">
        <v>2864</v>
      </c>
      <c r="R48" s="241"/>
      <c r="S48" s="240" t="s">
        <v>2801</v>
      </c>
      <c r="T48" s="242" t="s">
        <v>2801</v>
      </c>
      <c r="U48" s="239" t="s">
        <v>2803</v>
      </c>
      <c r="V48" s="243"/>
    </row>
    <row r="49" spans="1:22" s="244" customFormat="1" ht="30" customHeight="1">
      <c r="A49" s="239" t="s">
        <v>3082</v>
      </c>
      <c r="B49" s="239" t="s">
        <v>3083</v>
      </c>
      <c r="C49" s="240" t="s">
        <v>3084</v>
      </c>
      <c r="D49" s="239" t="s">
        <v>74</v>
      </c>
      <c r="E49" s="239"/>
      <c r="F49" s="239"/>
      <c r="G49" s="241"/>
      <c r="H49" s="241">
        <v>40</v>
      </c>
      <c r="I49" s="240" t="s">
        <v>3086</v>
      </c>
      <c r="J49" s="240"/>
      <c r="K49" s="240"/>
      <c r="L49" s="240"/>
      <c r="M49" s="240" t="s">
        <v>3070</v>
      </c>
      <c r="N49" s="240" t="s">
        <v>3087</v>
      </c>
      <c r="O49" s="240" t="s">
        <v>3088</v>
      </c>
      <c r="P49" s="240" t="s">
        <v>3089</v>
      </c>
      <c r="Q49" s="239" t="s">
        <v>2864</v>
      </c>
      <c r="R49" s="241"/>
      <c r="S49" s="240" t="s">
        <v>3090</v>
      </c>
      <c r="T49" s="242" t="s">
        <v>3091</v>
      </c>
      <c r="U49" s="239" t="s">
        <v>3008</v>
      </c>
      <c r="V49" s="243"/>
    </row>
    <row r="50" spans="1:22" s="244" customFormat="1" ht="30" customHeight="1">
      <c r="A50" s="239" t="s">
        <v>3082</v>
      </c>
      <c r="B50" s="239" t="s">
        <v>3083</v>
      </c>
      <c r="C50" s="240" t="s">
        <v>3084</v>
      </c>
      <c r="D50" s="239" t="s">
        <v>74</v>
      </c>
      <c r="E50" s="239"/>
      <c r="F50" s="239"/>
      <c r="G50" s="241"/>
      <c r="H50" s="241">
        <v>40</v>
      </c>
      <c r="I50" s="240" t="s">
        <v>3092</v>
      </c>
      <c r="J50" s="240"/>
      <c r="K50" s="240"/>
      <c r="L50" s="240"/>
      <c r="M50" s="240" t="s">
        <v>3070</v>
      </c>
      <c r="N50" s="240" t="s">
        <v>3093</v>
      </c>
      <c r="O50" s="240" t="s">
        <v>3094</v>
      </c>
      <c r="P50" s="240" t="s">
        <v>3095</v>
      </c>
      <c r="Q50" s="239" t="s">
        <v>2864</v>
      </c>
      <c r="R50" s="241"/>
      <c r="S50" s="240" t="s">
        <v>3096</v>
      </c>
      <c r="T50" s="242" t="s">
        <v>3097</v>
      </c>
      <c r="U50" s="239" t="s">
        <v>3008</v>
      </c>
      <c r="V50" s="243"/>
    </row>
    <row r="51" spans="1:22" s="244" customFormat="1" ht="30" customHeight="1">
      <c r="A51" s="239" t="s">
        <v>3098</v>
      </c>
      <c r="B51" s="239" t="s">
        <v>3099</v>
      </c>
      <c r="C51" s="240" t="s">
        <v>3100</v>
      </c>
      <c r="D51" s="239" t="s">
        <v>74</v>
      </c>
      <c r="E51" s="239"/>
      <c r="F51" s="239"/>
      <c r="G51" s="241"/>
      <c r="H51" s="241">
        <v>40</v>
      </c>
      <c r="I51" s="240" t="s">
        <v>3101</v>
      </c>
      <c r="J51" s="240" t="s">
        <v>2998</v>
      </c>
      <c r="K51" s="240" t="s">
        <v>2999</v>
      </c>
      <c r="L51" s="240" t="s">
        <v>3000</v>
      </c>
      <c r="M51" s="240" t="s">
        <v>2801</v>
      </c>
      <c r="N51" s="240" t="s">
        <v>2801</v>
      </c>
      <c r="O51" s="240" t="s">
        <v>2801</v>
      </c>
      <c r="P51" s="240" t="s">
        <v>2801</v>
      </c>
      <c r="Q51" s="239" t="s">
        <v>2864</v>
      </c>
      <c r="R51" s="241"/>
      <c r="S51" s="240" t="s">
        <v>2801</v>
      </c>
      <c r="T51" s="242" t="s">
        <v>2801</v>
      </c>
      <c r="U51" s="239" t="s">
        <v>2823</v>
      </c>
      <c r="V51" s="243"/>
    </row>
    <row r="52" spans="1:22" s="244" customFormat="1" ht="30" customHeight="1">
      <c r="A52" s="239" t="s">
        <v>3098</v>
      </c>
      <c r="B52" s="239" t="s">
        <v>3099</v>
      </c>
      <c r="C52" s="240" t="s">
        <v>3100</v>
      </c>
      <c r="D52" s="239" t="s">
        <v>74</v>
      </c>
      <c r="E52" s="239"/>
      <c r="F52" s="239"/>
      <c r="G52" s="241"/>
      <c r="H52" s="241">
        <v>40</v>
      </c>
      <c r="I52" s="240" t="s">
        <v>3102</v>
      </c>
      <c r="J52" s="240"/>
      <c r="K52" s="240"/>
      <c r="L52" s="240"/>
      <c r="M52" s="240" t="s">
        <v>3103</v>
      </c>
      <c r="N52" s="240" t="s">
        <v>3104</v>
      </c>
      <c r="O52" s="240" t="s">
        <v>3105</v>
      </c>
      <c r="P52" s="240" t="s">
        <v>3106</v>
      </c>
      <c r="Q52" s="239" t="s">
        <v>2864</v>
      </c>
      <c r="R52" s="241"/>
      <c r="S52" s="240" t="s">
        <v>3107</v>
      </c>
      <c r="T52" s="242" t="s">
        <v>3108</v>
      </c>
      <c r="U52" s="239" t="s">
        <v>2823</v>
      </c>
      <c r="V52" s="243"/>
    </row>
    <row r="53" spans="1:22" s="244" customFormat="1" ht="30" customHeight="1">
      <c r="A53" s="239" t="s">
        <v>3098</v>
      </c>
      <c r="B53" s="239" t="s">
        <v>3099</v>
      </c>
      <c r="C53" s="240" t="s">
        <v>3100</v>
      </c>
      <c r="D53" s="239" t="s">
        <v>74</v>
      </c>
      <c r="E53" s="239"/>
      <c r="F53" s="239"/>
      <c r="G53" s="241"/>
      <c r="H53" s="241">
        <v>40</v>
      </c>
      <c r="I53" s="240" t="s">
        <v>3109</v>
      </c>
      <c r="J53" s="240"/>
      <c r="K53" s="240"/>
      <c r="L53" s="240"/>
      <c r="M53" s="240" t="s">
        <v>3103</v>
      </c>
      <c r="N53" s="240" t="s">
        <v>3110</v>
      </c>
      <c r="O53" s="240" t="s">
        <v>3111</v>
      </c>
      <c r="P53" s="240" t="s">
        <v>3112</v>
      </c>
      <c r="Q53" s="239" t="s">
        <v>2864</v>
      </c>
      <c r="R53" s="241"/>
      <c r="S53" s="240" t="s">
        <v>3113</v>
      </c>
      <c r="T53" s="242" t="s">
        <v>3114</v>
      </c>
      <c r="U53" s="239" t="s">
        <v>2823</v>
      </c>
      <c r="V53" s="243"/>
    </row>
    <row r="54" spans="1:22" s="244" customFormat="1" ht="30" customHeight="1">
      <c r="A54" s="239" t="s">
        <v>3115</v>
      </c>
      <c r="B54" s="239" t="s">
        <v>3116</v>
      </c>
      <c r="C54" s="240" t="s">
        <v>3117</v>
      </c>
      <c r="D54" s="239" t="s">
        <v>74</v>
      </c>
      <c r="E54" s="239"/>
      <c r="F54" s="239"/>
      <c r="G54" s="241"/>
      <c r="H54" s="241">
        <v>40</v>
      </c>
      <c r="I54" s="240" t="s">
        <v>3118</v>
      </c>
      <c r="J54" s="240" t="s">
        <v>2998</v>
      </c>
      <c r="K54" s="240" t="s">
        <v>2999</v>
      </c>
      <c r="L54" s="240" t="s">
        <v>3000</v>
      </c>
      <c r="M54" s="240" t="s">
        <v>2801</v>
      </c>
      <c r="N54" s="240" t="s">
        <v>2801</v>
      </c>
      <c r="O54" s="240" t="s">
        <v>2801</v>
      </c>
      <c r="P54" s="240" t="s">
        <v>2801</v>
      </c>
      <c r="Q54" s="239" t="s">
        <v>2864</v>
      </c>
      <c r="R54" s="241"/>
      <c r="S54" s="240" t="s">
        <v>2801</v>
      </c>
      <c r="T54" s="242" t="s">
        <v>2801</v>
      </c>
      <c r="U54" s="239" t="s">
        <v>2823</v>
      </c>
      <c r="V54" s="243"/>
    </row>
    <row r="55" spans="1:22" s="244" customFormat="1" ht="30" customHeight="1">
      <c r="A55" s="239" t="s">
        <v>3115</v>
      </c>
      <c r="B55" s="239" t="s">
        <v>3116</v>
      </c>
      <c r="C55" s="240" t="s">
        <v>3117</v>
      </c>
      <c r="D55" s="239" t="s">
        <v>74</v>
      </c>
      <c r="E55" s="239"/>
      <c r="F55" s="239"/>
      <c r="G55" s="241"/>
      <c r="H55" s="241">
        <v>40</v>
      </c>
      <c r="I55" s="240" t="s">
        <v>3119</v>
      </c>
      <c r="J55" s="240"/>
      <c r="K55" s="240"/>
      <c r="L55" s="240"/>
      <c r="M55" s="240" t="s">
        <v>3103</v>
      </c>
      <c r="N55" s="240" t="s">
        <v>3120</v>
      </c>
      <c r="O55" s="240" t="s">
        <v>3121</v>
      </c>
      <c r="P55" s="240" t="s">
        <v>3122</v>
      </c>
      <c r="Q55" s="239" t="s">
        <v>2864</v>
      </c>
      <c r="R55" s="241"/>
      <c r="S55" s="240" t="s">
        <v>3123</v>
      </c>
      <c r="T55" s="242" t="s">
        <v>3124</v>
      </c>
      <c r="U55" s="239" t="s">
        <v>2823</v>
      </c>
      <c r="V55" s="243"/>
    </row>
    <row r="56" spans="1:22" s="244" customFormat="1" ht="30" customHeight="1">
      <c r="A56" s="239" t="s">
        <v>3115</v>
      </c>
      <c r="B56" s="239" t="s">
        <v>3116</v>
      </c>
      <c r="C56" s="240" t="s">
        <v>3117</v>
      </c>
      <c r="D56" s="239" t="s">
        <v>74</v>
      </c>
      <c r="E56" s="239"/>
      <c r="F56" s="239"/>
      <c r="G56" s="241"/>
      <c r="H56" s="241">
        <v>40</v>
      </c>
      <c r="I56" s="240" t="s">
        <v>3125</v>
      </c>
      <c r="J56" s="240"/>
      <c r="K56" s="240"/>
      <c r="L56" s="240"/>
      <c r="M56" s="240" t="s">
        <v>3103</v>
      </c>
      <c r="N56" s="240" t="s">
        <v>3126</v>
      </c>
      <c r="O56" s="240" t="s">
        <v>3127</v>
      </c>
      <c r="P56" s="240" t="s">
        <v>3128</v>
      </c>
      <c r="Q56" s="239" t="s">
        <v>2864</v>
      </c>
      <c r="R56" s="241"/>
      <c r="S56" s="240" t="s">
        <v>3129</v>
      </c>
      <c r="T56" s="242" t="s">
        <v>3130</v>
      </c>
      <c r="U56" s="239" t="s">
        <v>2823</v>
      </c>
      <c r="V56" s="243"/>
    </row>
    <row r="57" spans="1:22" s="244" customFormat="1" ht="30" customHeight="1">
      <c r="A57" s="239" t="s">
        <v>3131</v>
      </c>
      <c r="B57" s="239" t="s">
        <v>3132</v>
      </c>
      <c r="C57" s="240" t="s">
        <v>3133</v>
      </c>
      <c r="D57" s="239" t="s">
        <v>74</v>
      </c>
      <c r="E57" s="239"/>
      <c r="F57" s="239"/>
      <c r="G57" s="241"/>
      <c r="H57" s="241">
        <v>40</v>
      </c>
      <c r="I57" s="240" t="s">
        <v>3134</v>
      </c>
      <c r="J57" s="240" t="s">
        <v>2998</v>
      </c>
      <c r="K57" s="240" t="s">
        <v>2999</v>
      </c>
      <c r="L57" s="240" t="s">
        <v>3000</v>
      </c>
      <c r="M57" s="240" t="s">
        <v>2801</v>
      </c>
      <c r="N57" s="240" t="s">
        <v>2801</v>
      </c>
      <c r="O57" s="240" t="s">
        <v>2801</v>
      </c>
      <c r="P57" s="240" t="s">
        <v>2801</v>
      </c>
      <c r="Q57" s="239" t="s">
        <v>2864</v>
      </c>
      <c r="R57" s="241"/>
      <c r="S57" s="240" t="s">
        <v>2801</v>
      </c>
      <c r="T57" s="242" t="s">
        <v>2801</v>
      </c>
      <c r="U57" s="239" t="s">
        <v>2823</v>
      </c>
      <c r="V57" s="243"/>
    </row>
    <row r="58" spans="1:22" s="244" customFormat="1" ht="30" customHeight="1">
      <c r="A58" s="239" t="s">
        <v>3131</v>
      </c>
      <c r="B58" s="239" t="s">
        <v>3132</v>
      </c>
      <c r="C58" s="240" t="s">
        <v>3133</v>
      </c>
      <c r="D58" s="239" t="s">
        <v>74</v>
      </c>
      <c r="E58" s="239"/>
      <c r="F58" s="239"/>
      <c r="G58" s="241"/>
      <c r="H58" s="241">
        <v>40</v>
      </c>
      <c r="I58" s="240" t="s">
        <v>3135</v>
      </c>
      <c r="J58" s="240"/>
      <c r="K58" s="240"/>
      <c r="L58" s="240"/>
      <c r="M58" s="240" t="s">
        <v>3136</v>
      </c>
      <c r="N58" s="240" t="s">
        <v>3137</v>
      </c>
      <c r="O58" s="240" t="s">
        <v>3138</v>
      </c>
      <c r="P58" s="240" t="s">
        <v>3139</v>
      </c>
      <c r="Q58" s="239" t="s">
        <v>2864</v>
      </c>
      <c r="R58" s="241"/>
      <c r="S58" s="240" t="s">
        <v>3140</v>
      </c>
      <c r="T58" s="242" t="s">
        <v>3141</v>
      </c>
      <c r="U58" s="239" t="s">
        <v>2823</v>
      </c>
      <c r="V58" s="243"/>
    </row>
    <row r="59" spans="1:22" s="244" customFormat="1" ht="30" customHeight="1">
      <c r="A59" s="239" t="s">
        <v>3131</v>
      </c>
      <c r="B59" s="239" t="s">
        <v>3132</v>
      </c>
      <c r="C59" s="240" t="s">
        <v>3133</v>
      </c>
      <c r="D59" s="239" t="s">
        <v>74</v>
      </c>
      <c r="E59" s="239"/>
      <c r="F59" s="239"/>
      <c r="G59" s="241"/>
      <c r="H59" s="241">
        <v>40</v>
      </c>
      <c r="I59" s="240" t="s">
        <v>3142</v>
      </c>
      <c r="J59" s="240"/>
      <c r="K59" s="240"/>
      <c r="L59" s="240"/>
      <c r="M59" s="240" t="s">
        <v>3136</v>
      </c>
      <c r="N59" s="240" t="s">
        <v>3143</v>
      </c>
      <c r="O59" s="240" t="s">
        <v>3144</v>
      </c>
      <c r="P59" s="240" t="s">
        <v>3145</v>
      </c>
      <c r="Q59" s="239" t="s">
        <v>2864</v>
      </c>
      <c r="R59" s="241"/>
      <c r="S59" s="240" t="s">
        <v>3146</v>
      </c>
      <c r="T59" s="242" t="s">
        <v>3147</v>
      </c>
      <c r="U59" s="239" t="s">
        <v>2823</v>
      </c>
      <c r="V59" s="243"/>
    </row>
    <row r="60" spans="1:22" s="244" customFormat="1" ht="30" customHeight="1">
      <c r="A60" s="239" t="s">
        <v>3148</v>
      </c>
      <c r="B60" s="239" t="s">
        <v>3149</v>
      </c>
      <c r="C60" s="240" t="s">
        <v>3150</v>
      </c>
      <c r="D60" s="239" t="s">
        <v>74</v>
      </c>
      <c r="E60" s="239"/>
      <c r="F60" s="239"/>
      <c r="G60" s="241"/>
      <c r="H60" s="241">
        <v>40</v>
      </c>
      <c r="I60" s="240" t="s">
        <v>3151</v>
      </c>
      <c r="J60" s="240" t="s">
        <v>2998</v>
      </c>
      <c r="K60" s="240" t="s">
        <v>2999</v>
      </c>
      <c r="L60" s="240" t="s">
        <v>3000</v>
      </c>
      <c r="M60" s="240" t="s">
        <v>2801</v>
      </c>
      <c r="N60" s="240" t="s">
        <v>2801</v>
      </c>
      <c r="O60" s="240" t="s">
        <v>2801</v>
      </c>
      <c r="P60" s="240" t="s">
        <v>2801</v>
      </c>
      <c r="Q60" s="239" t="s">
        <v>2864</v>
      </c>
      <c r="R60" s="241"/>
      <c r="S60" s="240" t="s">
        <v>2801</v>
      </c>
      <c r="T60" s="242" t="s">
        <v>2801</v>
      </c>
      <c r="U60" s="239" t="s">
        <v>2823</v>
      </c>
      <c r="V60" s="243"/>
    </row>
    <row r="61" spans="1:22" s="244" customFormat="1" ht="30" customHeight="1">
      <c r="A61" s="239" t="s">
        <v>3148</v>
      </c>
      <c r="B61" s="239" t="s">
        <v>3149</v>
      </c>
      <c r="C61" s="240" t="s">
        <v>3150</v>
      </c>
      <c r="D61" s="239" t="s">
        <v>74</v>
      </c>
      <c r="E61" s="239"/>
      <c r="F61" s="239"/>
      <c r="G61" s="241"/>
      <c r="H61" s="241">
        <v>40</v>
      </c>
      <c r="I61" s="240" t="s">
        <v>3152</v>
      </c>
      <c r="J61" s="240"/>
      <c r="K61" s="240"/>
      <c r="L61" s="240"/>
      <c r="M61" s="240" t="s">
        <v>3136</v>
      </c>
      <c r="N61" s="240" t="s">
        <v>3153</v>
      </c>
      <c r="O61" s="240" t="s">
        <v>3154</v>
      </c>
      <c r="P61" s="240" t="s">
        <v>3155</v>
      </c>
      <c r="Q61" s="239" t="s">
        <v>2864</v>
      </c>
      <c r="R61" s="241"/>
      <c r="S61" s="240" t="s">
        <v>3156</v>
      </c>
      <c r="T61" s="242" t="s">
        <v>3157</v>
      </c>
      <c r="U61" s="239" t="s">
        <v>2823</v>
      </c>
      <c r="V61" s="243"/>
    </row>
    <row r="62" spans="1:22" s="244" customFormat="1" ht="30" customHeight="1">
      <c r="A62" s="239" t="s">
        <v>3148</v>
      </c>
      <c r="B62" s="239" t="s">
        <v>3149</v>
      </c>
      <c r="C62" s="240" t="s">
        <v>3150</v>
      </c>
      <c r="D62" s="239" t="s">
        <v>74</v>
      </c>
      <c r="E62" s="239"/>
      <c r="F62" s="239"/>
      <c r="G62" s="241"/>
      <c r="H62" s="241">
        <v>40</v>
      </c>
      <c r="I62" s="240" t="s">
        <v>3158</v>
      </c>
      <c r="J62" s="240"/>
      <c r="K62" s="240"/>
      <c r="L62" s="240"/>
      <c r="M62" s="240" t="s">
        <v>3136</v>
      </c>
      <c r="N62" s="240" t="s">
        <v>3159</v>
      </c>
      <c r="O62" s="240" t="s">
        <v>3160</v>
      </c>
      <c r="P62" s="240" t="s">
        <v>3161</v>
      </c>
      <c r="Q62" s="239" t="s">
        <v>2864</v>
      </c>
      <c r="R62" s="241"/>
      <c r="S62" s="240" t="s">
        <v>3162</v>
      </c>
      <c r="T62" s="242" t="s">
        <v>3163</v>
      </c>
      <c r="U62" s="239" t="s">
        <v>2823</v>
      </c>
      <c r="V62" s="243"/>
    </row>
    <row r="63" spans="1:22" s="244" customFormat="1" ht="30" customHeight="1">
      <c r="A63" s="239" t="s">
        <v>3164</v>
      </c>
      <c r="B63" s="239" t="s">
        <v>3165</v>
      </c>
      <c r="C63" s="240" t="s">
        <v>3166</v>
      </c>
      <c r="D63" s="239" t="s">
        <v>74</v>
      </c>
      <c r="E63" s="239" t="s">
        <v>2795</v>
      </c>
      <c r="F63" s="239" t="s">
        <v>2924</v>
      </c>
      <c r="G63" s="241"/>
      <c r="H63" s="241">
        <v>40</v>
      </c>
      <c r="I63" s="240" t="s">
        <v>3167</v>
      </c>
      <c r="J63" s="240" t="s">
        <v>3168</v>
      </c>
      <c r="K63" s="240" t="s">
        <v>3169</v>
      </c>
      <c r="L63" s="240" t="s">
        <v>3170</v>
      </c>
      <c r="M63" s="240" t="s">
        <v>2801</v>
      </c>
      <c r="N63" s="240" t="s">
        <v>2801</v>
      </c>
      <c r="O63" s="240" t="s">
        <v>2801</v>
      </c>
      <c r="P63" s="240" t="s">
        <v>2801</v>
      </c>
      <c r="Q63" s="239" t="s">
        <v>2802</v>
      </c>
      <c r="R63" s="241">
        <v>1</v>
      </c>
      <c r="S63" s="240" t="s">
        <v>2801</v>
      </c>
      <c r="T63" s="242" t="s">
        <v>2801</v>
      </c>
      <c r="U63" s="239" t="s">
        <v>2803</v>
      </c>
      <c r="V63" s="243"/>
    </row>
    <row r="64" spans="1:22" s="244" customFormat="1" ht="30" customHeight="1">
      <c r="A64" s="239" t="s">
        <v>3164</v>
      </c>
      <c r="B64" s="239" t="s">
        <v>3165</v>
      </c>
      <c r="C64" s="240" t="s">
        <v>3166</v>
      </c>
      <c r="D64" s="239" t="s">
        <v>74</v>
      </c>
      <c r="E64" s="239" t="s">
        <v>2795</v>
      </c>
      <c r="F64" s="239" t="s">
        <v>2924</v>
      </c>
      <c r="G64" s="241"/>
      <c r="H64" s="241">
        <v>40</v>
      </c>
      <c r="I64" s="240" t="s">
        <v>3171</v>
      </c>
      <c r="J64" s="240"/>
      <c r="K64" s="240"/>
      <c r="L64" s="240"/>
      <c r="M64" s="240" t="s">
        <v>3172</v>
      </c>
      <c r="N64" s="240" t="s">
        <v>3173</v>
      </c>
      <c r="O64" s="240" t="s">
        <v>3174</v>
      </c>
      <c r="P64" s="240" t="s">
        <v>3175</v>
      </c>
      <c r="Q64" s="239" t="s">
        <v>2802</v>
      </c>
      <c r="R64" s="241">
        <v>1</v>
      </c>
      <c r="S64" s="240" t="s">
        <v>3176</v>
      </c>
      <c r="T64" s="242" t="s">
        <v>1198</v>
      </c>
      <c r="U64" s="239" t="s">
        <v>2935</v>
      </c>
      <c r="V64" s="243"/>
    </row>
    <row r="65" spans="1:23" s="244" customFormat="1" ht="30" customHeight="1">
      <c r="A65" s="239" t="s">
        <v>3164</v>
      </c>
      <c r="B65" s="239" t="s">
        <v>3165</v>
      </c>
      <c r="C65" s="240" t="s">
        <v>3166</v>
      </c>
      <c r="D65" s="239" t="s">
        <v>74</v>
      </c>
      <c r="E65" s="239" t="s">
        <v>2795</v>
      </c>
      <c r="F65" s="239" t="s">
        <v>2924</v>
      </c>
      <c r="G65" s="241"/>
      <c r="H65" s="241">
        <v>40</v>
      </c>
      <c r="I65" s="240" t="s">
        <v>3177</v>
      </c>
      <c r="J65" s="240"/>
      <c r="K65" s="240"/>
      <c r="L65" s="240"/>
      <c r="M65" s="240" t="s">
        <v>3172</v>
      </c>
      <c r="N65" s="240" t="s">
        <v>3178</v>
      </c>
      <c r="O65" s="240" t="s">
        <v>3179</v>
      </c>
      <c r="P65" s="240" t="s">
        <v>3180</v>
      </c>
      <c r="Q65" s="239" t="s">
        <v>2802</v>
      </c>
      <c r="R65" s="241">
        <v>1</v>
      </c>
      <c r="S65" s="240" t="s">
        <v>3181</v>
      </c>
      <c r="T65" s="242" t="s">
        <v>1198</v>
      </c>
      <c r="U65" s="239" t="s">
        <v>2935</v>
      </c>
      <c r="V65" s="243"/>
    </row>
    <row r="66" spans="1:23" s="244" customFormat="1" ht="30" customHeight="1">
      <c r="A66" s="239" t="s">
        <v>3164</v>
      </c>
      <c r="B66" s="239" t="s">
        <v>3165</v>
      </c>
      <c r="C66" s="240" t="s">
        <v>3166</v>
      </c>
      <c r="D66" s="239" t="s">
        <v>74</v>
      </c>
      <c r="E66" s="239" t="s">
        <v>2795</v>
      </c>
      <c r="F66" s="239" t="s">
        <v>2924</v>
      </c>
      <c r="G66" s="241"/>
      <c r="H66" s="241">
        <v>40</v>
      </c>
      <c r="I66" s="240" t="s">
        <v>3182</v>
      </c>
      <c r="J66" s="240"/>
      <c r="K66" s="240"/>
      <c r="L66" s="240"/>
      <c r="M66" s="240" t="s">
        <v>3172</v>
      </c>
      <c r="N66" s="240" t="s">
        <v>3183</v>
      </c>
      <c r="O66" s="240" t="s">
        <v>3184</v>
      </c>
      <c r="P66" s="240" t="s">
        <v>3185</v>
      </c>
      <c r="Q66" s="239" t="s">
        <v>2802</v>
      </c>
      <c r="R66" s="241">
        <v>1</v>
      </c>
      <c r="S66" s="240" t="s">
        <v>3186</v>
      </c>
      <c r="T66" s="242" t="s">
        <v>1198</v>
      </c>
      <c r="U66" s="239" t="s">
        <v>2935</v>
      </c>
      <c r="V66" s="243"/>
    </row>
    <row r="67" spans="1:23" s="244" customFormat="1" ht="30" customHeight="1">
      <c r="A67" s="239" t="s">
        <v>3164</v>
      </c>
      <c r="B67" s="239" t="s">
        <v>3165</v>
      </c>
      <c r="C67" s="240" t="s">
        <v>3166</v>
      </c>
      <c r="D67" s="239" t="s">
        <v>74</v>
      </c>
      <c r="E67" s="239" t="s">
        <v>2795</v>
      </c>
      <c r="F67" s="239" t="s">
        <v>2924</v>
      </c>
      <c r="G67" s="241"/>
      <c r="H67" s="241">
        <v>40</v>
      </c>
      <c r="I67" s="240" t="s">
        <v>3187</v>
      </c>
      <c r="J67" s="240"/>
      <c r="K67" s="240"/>
      <c r="L67" s="240"/>
      <c r="M67" s="240" t="s">
        <v>3172</v>
      </c>
      <c r="N67" s="240" t="s">
        <v>3188</v>
      </c>
      <c r="O67" s="240" t="s">
        <v>3189</v>
      </c>
      <c r="P67" s="240" t="s">
        <v>3190</v>
      </c>
      <c r="Q67" s="239" t="s">
        <v>2802</v>
      </c>
      <c r="R67" s="241">
        <v>1</v>
      </c>
      <c r="S67" s="240" t="s">
        <v>3191</v>
      </c>
      <c r="T67" s="242" t="s">
        <v>1198</v>
      </c>
      <c r="U67" s="239" t="s">
        <v>2935</v>
      </c>
      <c r="V67" s="243"/>
    </row>
    <row r="68" spans="1:23" s="244" customFormat="1" ht="30" customHeight="1">
      <c r="A68" s="239" t="s">
        <v>3164</v>
      </c>
      <c r="B68" s="239" t="s">
        <v>3165</v>
      </c>
      <c r="C68" s="240" t="s">
        <v>3166</v>
      </c>
      <c r="D68" s="239" t="s">
        <v>74</v>
      </c>
      <c r="E68" s="239" t="s">
        <v>2795</v>
      </c>
      <c r="F68" s="239" t="s">
        <v>2924</v>
      </c>
      <c r="G68" s="241"/>
      <c r="H68" s="241">
        <v>40</v>
      </c>
      <c r="I68" s="240" t="s">
        <v>3192</v>
      </c>
      <c r="J68" s="240"/>
      <c r="K68" s="240"/>
      <c r="L68" s="240"/>
      <c r="M68" s="240" t="s">
        <v>3172</v>
      </c>
      <c r="N68" s="240" t="s">
        <v>3193</v>
      </c>
      <c r="O68" s="240" t="s">
        <v>3194</v>
      </c>
      <c r="P68" s="240" t="s">
        <v>3195</v>
      </c>
      <c r="Q68" s="239" t="s">
        <v>2802</v>
      </c>
      <c r="R68" s="241">
        <v>1</v>
      </c>
      <c r="S68" s="240" t="s">
        <v>3196</v>
      </c>
      <c r="T68" s="242" t="s">
        <v>1198</v>
      </c>
      <c r="U68" s="239" t="s">
        <v>2935</v>
      </c>
      <c r="V68" s="243"/>
    </row>
    <row r="69" spans="1:23" s="244" customFormat="1" ht="30" customHeight="1">
      <c r="A69" s="239" t="s">
        <v>3164</v>
      </c>
      <c r="B69" s="239" t="s">
        <v>3165</v>
      </c>
      <c r="C69" s="240" t="s">
        <v>3166</v>
      </c>
      <c r="D69" s="239" t="s">
        <v>74</v>
      </c>
      <c r="E69" s="239" t="s">
        <v>2795</v>
      </c>
      <c r="F69" s="239" t="s">
        <v>2924</v>
      </c>
      <c r="G69" s="241"/>
      <c r="H69" s="241">
        <v>40</v>
      </c>
      <c r="I69" s="240" t="s">
        <v>3197</v>
      </c>
      <c r="J69" s="240"/>
      <c r="K69" s="240"/>
      <c r="L69" s="240"/>
      <c r="M69" s="240" t="s">
        <v>3172</v>
      </c>
      <c r="N69" s="240" t="s">
        <v>3198</v>
      </c>
      <c r="O69" s="240" t="s">
        <v>3199</v>
      </c>
      <c r="P69" s="240" t="s">
        <v>3200</v>
      </c>
      <c r="Q69" s="239" t="s">
        <v>2802</v>
      </c>
      <c r="R69" s="241">
        <v>1</v>
      </c>
      <c r="S69" s="240" t="s">
        <v>3201</v>
      </c>
      <c r="T69" s="242" t="s">
        <v>1198</v>
      </c>
      <c r="U69" s="239" t="s">
        <v>2935</v>
      </c>
      <c r="V69" s="243"/>
    </row>
    <row r="70" spans="1:23" s="244" customFormat="1" ht="30" customHeight="1">
      <c r="A70" s="239" t="s">
        <v>3164</v>
      </c>
      <c r="B70" s="239" t="s">
        <v>3165</v>
      </c>
      <c r="C70" s="240" t="s">
        <v>3166</v>
      </c>
      <c r="D70" s="239" t="s">
        <v>74</v>
      </c>
      <c r="E70" s="239" t="s">
        <v>2795</v>
      </c>
      <c r="F70" s="239" t="s">
        <v>2924</v>
      </c>
      <c r="G70" s="241"/>
      <c r="H70" s="241">
        <v>40</v>
      </c>
      <c r="I70" s="240" t="s">
        <v>3202</v>
      </c>
      <c r="J70" s="240"/>
      <c r="K70" s="240"/>
      <c r="L70" s="240"/>
      <c r="M70" s="240" t="s">
        <v>3172</v>
      </c>
      <c r="N70" s="240" t="s">
        <v>3203</v>
      </c>
      <c r="O70" s="240" t="s">
        <v>3204</v>
      </c>
      <c r="P70" s="240" t="s">
        <v>3205</v>
      </c>
      <c r="Q70" s="239" t="s">
        <v>2802</v>
      </c>
      <c r="R70" s="241">
        <v>1</v>
      </c>
      <c r="S70" s="240" t="s">
        <v>3206</v>
      </c>
      <c r="T70" s="242" t="s">
        <v>1198</v>
      </c>
      <c r="U70" s="239" t="s">
        <v>2935</v>
      </c>
      <c r="V70" s="243"/>
    </row>
    <row r="71" spans="1:23" s="244" customFormat="1" ht="30" customHeight="1">
      <c r="A71" s="239" t="s">
        <v>3164</v>
      </c>
      <c r="B71" s="239" t="s">
        <v>3165</v>
      </c>
      <c r="C71" s="240" t="s">
        <v>3166</v>
      </c>
      <c r="D71" s="239" t="s">
        <v>74</v>
      </c>
      <c r="E71" s="239" t="s">
        <v>2795</v>
      </c>
      <c r="F71" s="239" t="s">
        <v>2924</v>
      </c>
      <c r="G71" s="241"/>
      <c r="H71" s="241">
        <v>40</v>
      </c>
      <c r="I71" s="240" t="s">
        <v>3207</v>
      </c>
      <c r="J71" s="240"/>
      <c r="K71" s="240"/>
      <c r="L71" s="240"/>
      <c r="M71" s="240" t="s">
        <v>3172</v>
      </c>
      <c r="N71" s="240" t="s">
        <v>3208</v>
      </c>
      <c r="O71" s="240" t="s">
        <v>3209</v>
      </c>
      <c r="P71" s="240" t="s">
        <v>3210</v>
      </c>
      <c r="Q71" s="239" t="s">
        <v>2802</v>
      </c>
      <c r="R71" s="241">
        <v>1</v>
      </c>
      <c r="S71" s="240" t="s">
        <v>3211</v>
      </c>
      <c r="T71" s="242" t="s">
        <v>1198</v>
      </c>
      <c r="U71" s="239" t="s">
        <v>2935</v>
      </c>
      <c r="V71" s="243"/>
    </row>
    <row r="72" spans="1:23" s="244" customFormat="1" ht="30" customHeight="1">
      <c r="A72" s="239" t="s">
        <v>3164</v>
      </c>
      <c r="B72" s="239" t="s">
        <v>3165</v>
      </c>
      <c r="C72" s="240" t="s">
        <v>3166</v>
      </c>
      <c r="D72" s="239" t="s">
        <v>74</v>
      </c>
      <c r="E72" s="239" t="s">
        <v>2795</v>
      </c>
      <c r="F72" s="239" t="s">
        <v>2924</v>
      </c>
      <c r="G72" s="241"/>
      <c r="H72" s="241">
        <v>40</v>
      </c>
      <c r="I72" s="240" t="s">
        <v>3212</v>
      </c>
      <c r="J72" s="240"/>
      <c r="K72" s="240"/>
      <c r="L72" s="240"/>
      <c r="M72" s="240" t="s">
        <v>3172</v>
      </c>
      <c r="N72" s="240" t="s">
        <v>3213</v>
      </c>
      <c r="O72" s="240" t="s">
        <v>3214</v>
      </c>
      <c r="P72" s="240" t="s">
        <v>3215</v>
      </c>
      <c r="Q72" s="239" t="s">
        <v>2802</v>
      </c>
      <c r="R72" s="241">
        <v>1</v>
      </c>
      <c r="S72" s="240" t="s">
        <v>3216</v>
      </c>
      <c r="T72" s="242" t="s">
        <v>1198</v>
      </c>
      <c r="U72" s="239" t="s">
        <v>2935</v>
      </c>
      <c r="V72" s="243"/>
    </row>
    <row r="73" spans="1:23" s="244" customFormat="1" ht="30" customHeight="1">
      <c r="A73" s="239" t="s">
        <v>3164</v>
      </c>
      <c r="B73" s="239" t="s">
        <v>3165</v>
      </c>
      <c r="C73" s="240" t="s">
        <v>3166</v>
      </c>
      <c r="D73" s="239" t="s">
        <v>74</v>
      </c>
      <c r="E73" s="239" t="s">
        <v>2795</v>
      </c>
      <c r="F73" s="239" t="s">
        <v>2924</v>
      </c>
      <c r="G73" s="241"/>
      <c r="H73" s="241">
        <v>40</v>
      </c>
      <c r="I73" s="240" t="s">
        <v>3217</v>
      </c>
      <c r="J73" s="240"/>
      <c r="K73" s="240"/>
      <c r="L73" s="240"/>
      <c r="M73" s="240" t="s">
        <v>3172</v>
      </c>
      <c r="N73" s="240" t="s">
        <v>3218</v>
      </c>
      <c r="O73" s="240" t="s">
        <v>3219</v>
      </c>
      <c r="P73" s="240" t="s">
        <v>3220</v>
      </c>
      <c r="Q73" s="239" t="s">
        <v>2802</v>
      </c>
      <c r="R73" s="241">
        <v>1</v>
      </c>
      <c r="S73" s="240" t="s">
        <v>3221</v>
      </c>
      <c r="T73" s="242" t="s">
        <v>1198</v>
      </c>
      <c r="U73" s="239" t="s">
        <v>2935</v>
      </c>
      <c r="V73" s="243"/>
    </row>
    <row r="74" spans="1:23" s="244" customFormat="1" ht="30" customHeight="1">
      <c r="A74" s="239" t="s">
        <v>3164</v>
      </c>
      <c r="B74" s="239" t="s">
        <v>3165</v>
      </c>
      <c r="C74" s="240" t="s">
        <v>3166</v>
      </c>
      <c r="D74" s="239" t="s">
        <v>74</v>
      </c>
      <c r="E74" s="239" t="s">
        <v>2795</v>
      </c>
      <c r="F74" s="239" t="s">
        <v>2924</v>
      </c>
      <c r="G74" s="241"/>
      <c r="H74" s="241">
        <v>40</v>
      </c>
      <c r="I74" s="240" t="s">
        <v>3222</v>
      </c>
      <c r="J74" s="240"/>
      <c r="K74" s="240"/>
      <c r="L74" s="240"/>
      <c r="M74" s="240" t="s">
        <v>3172</v>
      </c>
      <c r="N74" s="240" t="s">
        <v>3223</v>
      </c>
      <c r="O74" s="240" t="s">
        <v>3224</v>
      </c>
      <c r="P74" s="240" t="s">
        <v>3225</v>
      </c>
      <c r="Q74" s="239" t="s">
        <v>2802</v>
      </c>
      <c r="R74" s="241">
        <v>1</v>
      </c>
      <c r="S74" s="240" t="s">
        <v>3226</v>
      </c>
      <c r="T74" s="242" t="s">
        <v>1198</v>
      </c>
      <c r="U74" s="239" t="s">
        <v>2935</v>
      </c>
      <c r="V74" s="1"/>
    </row>
    <row r="75" spans="1:23" s="244" customFormat="1" ht="30" customHeight="1">
      <c r="A75" s="239" t="s">
        <v>3164</v>
      </c>
      <c r="B75" s="239" t="s">
        <v>3165</v>
      </c>
      <c r="C75" s="240" t="s">
        <v>3166</v>
      </c>
      <c r="D75" s="239" t="s">
        <v>74</v>
      </c>
      <c r="E75" s="239" t="s">
        <v>2795</v>
      </c>
      <c r="F75" s="239" t="s">
        <v>2924</v>
      </c>
      <c r="G75" s="241"/>
      <c r="H75" s="241">
        <v>40</v>
      </c>
      <c r="I75" s="240" t="s">
        <v>3227</v>
      </c>
      <c r="J75" s="240"/>
      <c r="K75" s="240"/>
      <c r="L75" s="240"/>
      <c r="M75" s="240" t="s">
        <v>3172</v>
      </c>
      <c r="N75" s="240" t="s">
        <v>3228</v>
      </c>
      <c r="O75" s="240" t="s">
        <v>3229</v>
      </c>
      <c r="P75" s="240" t="s">
        <v>3230</v>
      </c>
      <c r="Q75" s="239" t="s">
        <v>2802</v>
      </c>
      <c r="R75" s="241">
        <v>1</v>
      </c>
      <c r="S75" s="240" t="s">
        <v>3231</v>
      </c>
      <c r="T75" s="242" t="s">
        <v>1198</v>
      </c>
      <c r="U75" s="239" t="s">
        <v>2935</v>
      </c>
      <c r="V75" s="1"/>
    </row>
    <row r="76" spans="1:23" s="244" customFormat="1" ht="30" customHeight="1">
      <c r="A76" s="239" t="s">
        <v>3164</v>
      </c>
      <c r="B76" s="239" t="s">
        <v>3165</v>
      </c>
      <c r="C76" s="240" t="s">
        <v>3166</v>
      </c>
      <c r="D76" s="239" t="s">
        <v>74</v>
      </c>
      <c r="E76" s="239" t="s">
        <v>2795</v>
      </c>
      <c r="F76" s="239" t="s">
        <v>2924</v>
      </c>
      <c r="G76" s="241"/>
      <c r="H76" s="241">
        <v>40</v>
      </c>
      <c r="I76" s="240" t="s">
        <v>3232</v>
      </c>
      <c r="J76" s="240"/>
      <c r="K76" s="240"/>
      <c r="L76" s="240"/>
      <c r="M76" s="240" t="s">
        <v>3172</v>
      </c>
      <c r="N76" s="240" t="s">
        <v>3233</v>
      </c>
      <c r="O76" s="240" t="s">
        <v>3234</v>
      </c>
      <c r="P76" s="240" t="s">
        <v>3235</v>
      </c>
      <c r="Q76" s="239" t="s">
        <v>2802</v>
      </c>
      <c r="R76" s="241">
        <v>1</v>
      </c>
      <c r="S76" s="240" t="s">
        <v>3236</v>
      </c>
      <c r="T76" s="242" t="s">
        <v>1198</v>
      </c>
      <c r="U76" s="239" t="s">
        <v>2935</v>
      </c>
      <c r="V76" s="1"/>
    </row>
    <row r="77" spans="1:23" s="244" customFormat="1" ht="30" customHeight="1">
      <c r="A77" s="239" t="s">
        <v>3164</v>
      </c>
      <c r="B77" s="239" t="s">
        <v>3165</v>
      </c>
      <c r="C77" s="240" t="s">
        <v>3166</v>
      </c>
      <c r="D77" s="239" t="s">
        <v>74</v>
      </c>
      <c r="E77" s="239" t="s">
        <v>2795</v>
      </c>
      <c r="F77" s="239" t="s">
        <v>2924</v>
      </c>
      <c r="G77" s="241"/>
      <c r="H77" s="241">
        <v>40</v>
      </c>
      <c r="I77" s="240" t="s">
        <v>3237</v>
      </c>
      <c r="J77" s="240"/>
      <c r="K77" s="240"/>
      <c r="L77" s="240"/>
      <c r="M77" s="240" t="s">
        <v>3172</v>
      </c>
      <c r="N77" s="240" t="s">
        <v>3238</v>
      </c>
      <c r="O77" s="240" t="s">
        <v>3239</v>
      </c>
      <c r="P77" s="240" t="s">
        <v>3240</v>
      </c>
      <c r="Q77" s="239" t="s">
        <v>2802</v>
      </c>
      <c r="R77" s="241">
        <v>1</v>
      </c>
      <c r="S77" s="240" t="s">
        <v>3241</v>
      </c>
      <c r="T77" s="242" t="s">
        <v>1198</v>
      </c>
      <c r="U77" s="239" t="s">
        <v>2935</v>
      </c>
      <c r="V77" s="1"/>
    </row>
    <row r="78" spans="1:23" s="244" customFormat="1" ht="30" customHeight="1">
      <c r="A78" s="239" t="s">
        <v>3164</v>
      </c>
      <c r="B78" s="239" t="s">
        <v>3165</v>
      </c>
      <c r="C78" s="240" t="s">
        <v>3166</v>
      </c>
      <c r="D78" s="239" t="s">
        <v>74</v>
      </c>
      <c r="E78" s="239" t="s">
        <v>2795</v>
      </c>
      <c r="F78" s="239" t="s">
        <v>2924</v>
      </c>
      <c r="G78" s="241"/>
      <c r="H78" s="241">
        <v>40</v>
      </c>
      <c r="I78" s="240" t="s">
        <v>3242</v>
      </c>
      <c r="J78" s="240"/>
      <c r="K78" s="240"/>
      <c r="L78" s="240"/>
      <c r="M78" s="240" t="s">
        <v>3172</v>
      </c>
      <c r="N78" s="240" t="s">
        <v>3243</v>
      </c>
      <c r="O78" s="240" t="s">
        <v>3244</v>
      </c>
      <c r="P78" s="240" t="s">
        <v>3245</v>
      </c>
      <c r="Q78" s="239" t="s">
        <v>2802</v>
      </c>
      <c r="R78" s="241">
        <v>1</v>
      </c>
      <c r="S78" s="240" t="s">
        <v>3246</v>
      </c>
      <c r="T78" s="242" t="s">
        <v>1198</v>
      </c>
      <c r="U78" s="239" t="s">
        <v>2935</v>
      </c>
      <c r="V78" s="1"/>
    </row>
    <row r="79" spans="1:23" s="244" customFormat="1" ht="30" customHeight="1">
      <c r="A79" s="239" t="s">
        <v>3164</v>
      </c>
      <c r="B79" s="239" t="s">
        <v>3165</v>
      </c>
      <c r="C79" s="240" t="s">
        <v>3166</v>
      </c>
      <c r="D79" s="239" t="s">
        <v>74</v>
      </c>
      <c r="E79" s="239" t="s">
        <v>2795</v>
      </c>
      <c r="F79" s="239" t="s">
        <v>2924</v>
      </c>
      <c r="G79" s="241"/>
      <c r="H79" s="241">
        <v>40</v>
      </c>
      <c r="I79" s="240" t="s">
        <v>3247</v>
      </c>
      <c r="J79" s="240"/>
      <c r="K79" s="240"/>
      <c r="L79" s="240"/>
      <c r="M79" s="240" t="s">
        <v>3172</v>
      </c>
      <c r="N79" s="240" t="s">
        <v>3248</v>
      </c>
      <c r="O79" s="240" t="s">
        <v>3249</v>
      </c>
      <c r="P79" s="240" t="s">
        <v>3250</v>
      </c>
      <c r="Q79" s="239" t="s">
        <v>2802</v>
      </c>
      <c r="R79" s="241">
        <v>1</v>
      </c>
      <c r="S79" s="240" t="s">
        <v>3251</v>
      </c>
      <c r="T79" s="242" t="s">
        <v>1198</v>
      </c>
      <c r="U79" s="239" t="s">
        <v>2935</v>
      </c>
      <c r="V79" s="1"/>
    </row>
    <row r="80" spans="1:23" s="244" customFormat="1" ht="30" customHeight="1">
      <c r="A80" s="239" t="s">
        <v>3164</v>
      </c>
      <c r="B80" s="239" t="s">
        <v>3165</v>
      </c>
      <c r="C80" s="240" t="s">
        <v>3166</v>
      </c>
      <c r="D80" s="239" t="s">
        <v>74</v>
      </c>
      <c r="E80" s="239" t="s">
        <v>2795</v>
      </c>
      <c r="F80" s="239" t="s">
        <v>2924</v>
      </c>
      <c r="G80" s="241"/>
      <c r="H80" s="241">
        <v>40</v>
      </c>
      <c r="I80" s="240" t="s">
        <v>3252</v>
      </c>
      <c r="J80" s="240"/>
      <c r="K80" s="240"/>
      <c r="L80" s="240"/>
      <c r="M80" s="240" t="s">
        <v>3172</v>
      </c>
      <c r="N80" s="240" t="s">
        <v>3253</v>
      </c>
      <c r="O80" s="240" t="s">
        <v>3254</v>
      </c>
      <c r="P80" s="240" t="s">
        <v>3255</v>
      </c>
      <c r="Q80" s="239" t="s">
        <v>2802</v>
      </c>
      <c r="R80" s="241">
        <v>1</v>
      </c>
      <c r="S80" s="240" t="s">
        <v>3256</v>
      </c>
      <c r="T80" s="242" t="s">
        <v>1198</v>
      </c>
      <c r="U80" s="239" t="s">
        <v>2935</v>
      </c>
      <c r="V80" s="1"/>
      <c r="W80" s="248"/>
    </row>
    <row r="81" spans="1:22" s="244" customFormat="1" ht="30" customHeight="1">
      <c r="A81" s="239" t="s">
        <v>3164</v>
      </c>
      <c r="B81" s="239" t="s">
        <v>3165</v>
      </c>
      <c r="C81" s="240" t="s">
        <v>3166</v>
      </c>
      <c r="D81" s="239" t="s">
        <v>74</v>
      </c>
      <c r="E81" s="239" t="s">
        <v>2795</v>
      </c>
      <c r="F81" s="239" t="s">
        <v>2924</v>
      </c>
      <c r="G81" s="241"/>
      <c r="H81" s="241">
        <v>40</v>
      </c>
      <c r="I81" s="240" t="s">
        <v>3257</v>
      </c>
      <c r="J81" s="240"/>
      <c r="K81" s="240"/>
      <c r="L81" s="240"/>
      <c r="M81" s="240" t="s">
        <v>3172</v>
      </c>
      <c r="N81" s="240" t="s">
        <v>3258</v>
      </c>
      <c r="O81" s="240" t="s">
        <v>3259</v>
      </c>
      <c r="P81" s="240" t="s">
        <v>3260</v>
      </c>
      <c r="Q81" s="239" t="s">
        <v>2802</v>
      </c>
      <c r="R81" s="241">
        <v>1</v>
      </c>
      <c r="S81" s="240" t="s">
        <v>3261</v>
      </c>
      <c r="T81" s="242" t="s">
        <v>1198</v>
      </c>
      <c r="U81" s="239" t="s">
        <v>2935</v>
      </c>
      <c r="V81" s="1"/>
    </row>
    <row r="82" spans="1:22" s="244" customFormat="1" ht="30" customHeight="1">
      <c r="A82" s="239" t="s">
        <v>3164</v>
      </c>
      <c r="B82" s="239" t="s">
        <v>3165</v>
      </c>
      <c r="C82" s="240" t="s">
        <v>3166</v>
      </c>
      <c r="D82" s="239" t="s">
        <v>74</v>
      </c>
      <c r="E82" s="239" t="s">
        <v>2795</v>
      </c>
      <c r="F82" s="239" t="s">
        <v>2924</v>
      </c>
      <c r="G82" s="241"/>
      <c r="H82" s="241">
        <v>40</v>
      </c>
      <c r="I82" s="240" t="s">
        <v>3262</v>
      </c>
      <c r="J82" s="240"/>
      <c r="K82" s="240"/>
      <c r="L82" s="240"/>
      <c r="M82" s="240" t="s">
        <v>3172</v>
      </c>
      <c r="N82" s="240" t="s">
        <v>3263</v>
      </c>
      <c r="O82" s="240" t="s">
        <v>3264</v>
      </c>
      <c r="P82" s="240" t="s">
        <v>3265</v>
      </c>
      <c r="Q82" s="239" t="s">
        <v>2802</v>
      </c>
      <c r="R82" s="241">
        <v>1</v>
      </c>
      <c r="S82" s="240" t="s">
        <v>3266</v>
      </c>
      <c r="T82" s="242" t="s">
        <v>1198</v>
      </c>
      <c r="U82" s="239" t="s">
        <v>2935</v>
      </c>
      <c r="V82" s="1"/>
    </row>
    <row r="83" spans="1:22" s="244" customFormat="1" ht="30" customHeight="1">
      <c r="A83" s="239" t="s">
        <v>3164</v>
      </c>
      <c r="B83" s="239" t="s">
        <v>3165</v>
      </c>
      <c r="C83" s="240" t="s">
        <v>3166</v>
      </c>
      <c r="D83" s="239" t="s">
        <v>74</v>
      </c>
      <c r="E83" s="239" t="s">
        <v>2795</v>
      </c>
      <c r="F83" s="239" t="s">
        <v>2924</v>
      </c>
      <c r="G83" s="241"/>
      <c r="H83" s="241">
        <v>40</v>
      </c>
      <c r="I83" s="240" t="s">
        <v>3267</v>
      </c>
      <c r="J83" s="240"/>
      <c r="K83" s="240"/>
      <c r="L83" s="240"/>
      <c r="M83" s="240" t="s">
        <v>3172</v>
      </c>
      <c r="N83" s="240" t="s">
        <v>3268</v>
      </c>
      <c r="O83" s="240" t="s">
        <v>3269</v>
      </c>
      <c r="P83" s="240" t="s">
        <v>3270</v>
      </c>
      <c r="Q83" s="239" t="s">
        <v>2802</v>
      </c>
      <c r="R83" s="241">
        <v>1</v>
      </c>
      <c r="S83" s="240" t="s">
        <v>3271</v>
      </c>
      <c r="T83" s="242" t="s">
        <v>1198</v>
      </c>
      <c r="U83" s="239" t="s">
        <v>2935</v>
      </c>
      <c r="V83" s="1"/>
    </row>
    <row r="84" spans="1:22" s="244" customFormat="1" ht="30" customHeight="1">
      <c r="A84" s="239" t="s">
        <v>3164</v>
      </c>
      <c r="B84" s="239" t="s">
        <v>3165</v>
      </c>
      <c r="C84" s="240" t="s">
        <v>3166</v>
      </c>
      <c r="D84" s="239" t="s">
        <v>74</v>
      </c>
      <c r="E84" s="239" t="s">
        <v>2795</v>
      </c>
      <c r="F84" s="239" t="s">
        <v>2924</v>
      </c>
      <c r="G84" s="241"/>
      <c r="H84" s="241">
        <v>40</v>
      </c>
      <c r="I84" s="240" t="s">
        <v>3272</v>
      </c>
      <c r="J84" s="240"/>
      <c r="K84" s="240"/>
      <c r="L84" s="240"/>
      <c r="M84" s="240" t="s">
        <v>3172</v>
      </c>
      <c r="N84" s="240" t="s">
        <v>3273</v>
      </c>
      <c r="O84" s="240" t="s">
        <v>3274</v>
      </c>
      <c r="P84" s="240" t="s">
        <v>3275</v>
      </c>
      <c r="Q84" s="239" t="s">
        <v>2802</v>
      </c>
      <c r="R84" s="241">
        <v>1</v>
      </c>
      <c r="S84" s="240" t="s">
        <v>3276</v>
      </c>
      <c r="T84" s="242" t="s">
        <v>1198</v>
      </c>
      <c r="U84" s="239" t="s">
        <v>2935</v>
      </c>
      <c r="V84" s="1"/>
    </row>
    <row r="85" spans="1:22" s="244" customFormat="1" ht="30" customHeight="1">
      <c r="A85" s="239" t="s">
        <v>3164</v>
      </c>
      <c r="B85" s="239" t="s">
        <v>3165</v>
      </c>
      <c r="C85" s="240" t="s">
        <v>3166</v>
      </c>
      <c r="D85" s="239" t="s">
        <v>74</v>
      </c>
      <c r="E85" s="239" t="s">
        <v>2795</v>
      </c>
      <c r="F85" s="239" t="s">
        <v>2924</v>
      </c>
      <c r="G85" s="241"/>
      <c r="H85" s="241">
        <v>40</v>
      </c>
      <c r="I85" s="240" t="s">
        <v>3277</v>
      </c>
      <c r="J85" s="240"/>
      <c r="K85" s="240"/>
      <c r="L85" s="240"/>
      <c r="M85" s="240" t="s">
        <v>3172</v>
      </c>
      <c r="N85" s="240" t="s">
        <v>3278</v>
      </c>
      <c r="O85" s="240" t="s">
        <v>3279</v>
      </c>
      <c r="P85" s="240" t="s">
        <v>3280</v>
      </c>
      <c r="Q85" s="239" t="s">
        <v>2802</v>
      </c>
      <c r="R85" s="241">
        <v>1</v>
      </c>
      <c r="S85" s="240" t="s">
        <v>3281</v>
      </c>
      <c r="T85" s="242" t="s">
        <v>1198</v>
      </c>
      <c r="U85" s="239" t="s">
        <v>2935</v>
      </c>
      <c r="V85" s="1"/>
    </row>
    <row r="86" spans="1:22" s="244" customFormat="1" ht="30" customHeight="1">
      <c r="A86" s="239" t="s">
        <v>3164</v>
      </c>
      <c r="B86" s="239" t="s">
        <v>3165</v>
      </c>
      <c r="C86" s="240" t="s">
        <v>3166</v>
      </c>
      <c r="D86" s="239" t="s">
        <v>74</v>
      </c>
      <c r="E86" s="239" t="s">
        <v>2795</v>
      </c>
      <c r="F86" s="239" t="s">
        <v>2924</v>
      </c>
      <c r="G86" s="241"/>
      <c r="H86" s="241">
        <v>40</v>
      </c>
      <c r="I86" s="240" t="s">
        <v>3282</v>
      </c>
      <c r="J86" s="240"/>
      <c r="K86" s="240"/>
      <c r="L86" s="240"/>
      <c r="M86" s="240" t="s">
        <v>3172</v>
      </c>
      <c r="N86" s="240" t="s">
        <v>3283</v>
      </c>
      <c r="O86" s="240" t="s">
        <v>3284</v>
      </c>
      <c r="P86" s="240" t="s">
        <v>3285</v>
      </c>
      <c r="Q86" s="239" t="s">
        <v>2802</v>
      </c>
      <c r="R86" s="241">
        <v>1</v>
      </c>
      <c r="S86" s="240" t="s">
        <v>3286</v>
      </c>
      <c r="T86" s="242" t="s">
        <v>1198</v>
      </c>
      <c r="U86" s="239" t="s">
        <v>2935</v>
      </c>
      <c r="V86" s="1"/>
    </row>
    <row r="87" spans="1:22" s="244" customFormat="1" ht="30" customHeight="1">
      <c r="A87" s="239" t="s">
        <v>3164</v>
      </c>
      <c r="B87" s="239" t="s">
        <v>3165</v>
      </c>
      <c r="C87" s="240" t="s">
        <v>3166</v>
      </c>
      <c r="D87" s="239" t="s">
        <v>74</v>
      </c>
      <c r="E87" s="239" t="s">
        <v>2795</v>
      </c>
      <c r="F87" s="239" t="s">
        <v>2924</v>
      </c>
      <c r="G87" s="241"/>
      <c r="H87" s="241">
        <v>40</v>
      </c>
      <c r="I87" s="240" t="s">
        <v>3287</v>
      </c>
      <c r="J87" s="240"/>
      <c r="K87" s="240"/>
      <c r="L87" s="240"/>
      <c r="M87" s="240" t="s">
        <v>3172</v>
      </c>
      <c r="N87" s="240" t="s">
        <v>3288</v>
      </c>
      <c r="O87" s="240" t="s">
        <v>3289</v>
      </c>
      <c r="P87" s="240" t="s">
        <v>3290</v>
      </c>
      <c r="Q87" s="239" t="s">
        <v>2802</v>
      </c>
      <c r="R87" s="241">
        <v>1</v>
      </c>
      <c r="S87" s="240" t="s">
        <v>3291</v>
      </c>
      <c r="T87" s="242" t="s">
        <v>1198</v>
      </c>
      <c r="U87" s="239" t="s">
        <v>2935</v>
      </c>
      <c r="V87" s="1"/>
    </row>
    <row r="88" spans="1:22" s="244" customFormat="1" ht="30" customHeight="1">
      <c r="A88" s="239" t="s">
        <v>3164</v>
      </c>
      <c r="B88" s="239" t="s">
        <v>3165</v>
      </c>
      <c r="C88" s="240" t="s">
        <v>3166</v>
      </c>
      <c r="D88" s="239" t="s">
        <v>74</v>
      </c>
      <c r="E88" s="239" t="s">
        <v>2795</v>
      </c>
      <c r="F88" s="239" t="s">
        <v>2924</v>
      </c>
      <c r="G88" s="241"/>
      <c r="H88" s="241">
        <v>40</v>
      </c>
      <c r="I88" s="240" t="s">
        <v>3292</v>
      </c>
      <c r="J88" s="240"/>
      <c r="K88" s="240"/>
      <c r="L88" s="240"/>
      <c r="M88" s="240" t="s">
        <v>3293</v>
      </c>
      <c r="N88" s="240" t="s">
        <v>3294</v>
      </c>
      <c r="O88" s="240" t="s">
        <v>1198</v>
      </c>
      <c r="P88" s="240" t="s">
        <v>3295</v>
      </c>
      <c r="Q88" s="239" t="s">
        <v>2802</v>
      </c>
      <c r="R88" s="241">
        <v>1</v>
      </c>
      <c r="S88" s="240" t="s">
        <v>3296</v>
      </c>
      <c r="T88" s="242" t="s">
        <v>1198</v>
      </c>
      <c r="U88" s="239" t="s">
        <v>2935</v>
      </c>
      <c r="V88" s="1"/>
    </row>
    <row r="89" spans="1:22" s="244" customFormat="1" ht="30" customHeight="1">
      <c r="A89" s="239" t="s">
        <v>3164</v>
      </c>
      <c r="B89" s="239" t="s">
        <v>3165</v>
      </c>
      <c r="C89" s="240" t="s">
        <v>3166</v>
      </c>
      <c r="D89" s="239" t="s">
        <v>74</v>
      </c>
      <c r="E89" s="239" t="s">
        <v>2795</v>
      </c>
      <c r="F89" s="239" t="s">
        <v>2924</v>
      </c>
      <c r="G89" s="241"/>
      <c r="H89" s="241">
        <v>40</v>
      </c>
      <c r="I89" s="240" t="s">
        <v>3297</v>
      </c>
      <c r="J89" s="240"/>
      <c r="K89" s="240"/>
      <c r="L89" s="240"/>
      <c r="M89" s="240" t="s">
        <v>3172</v>
      </c>
      <c r="N89" s="240" t="s">
        <v>3298</v>
      </c>
      <c r="O89" s="240" t="s">
        <v>3299</v>
      </c>
      <c r="P89" s="240" t="s">
        <v>3300</v>
      </c>
      <c r="Q89" s="239" t="s">
        <v>2802</v>
      </c>
      <c r="R89" s="241">
        <v>1</v>
      </c>
      <c r="S89" s="240" t="s">
        <v>3301</v>
      </c>
      <c r="T89" s="242" t="s">
        <v>1198</v>
      </c>
      <c r="U89" s="239" t="s">
        <v>2935</v>
      </c>
      <c r="V89" s="1"/>
    </row>
    <row r="90" spans="1:22" s="244" customFormat="1" ht="30" customHeight="1">
      <c r="A90" s="239" t="s">
        <v>3164</v>
      </c>
      <c r="B90" s="239" t="s">
        <v>3165</v>
      </c>
      <c r="C90" s="240" t="s">
        <v>3166</v>
      </c>
      <c r="D90" s="239" t="s">
        <v>74</v>
      </c>
      <c r="E90" s="239" t="s">
        <v>2795</v>
      </c>
      <c r="F90" s="239" t="s">
        <v>2924</v>
      </c>
      <c r="G90" s="241"/>
      <c r="H90" s="241">
        <v>40</v>
      </c>
      <c r="I90" s="240" t="s">
        <v>3302</v>
      </c>
      <c r="J90" s="240"/>
      <c r="K90" s="240"/>
      <c r="L90" s="240"/>
      <c r="M90" s="240" t="s">
        <v>3172</v>
      </c>
      <c r="N90" s="240" t="s">
        <v>3303</v>
      </c>
      <c r="O90" s="240" t="s">
        <v>3304</v>
      </c>
      <c r="P90" s="240" t="s">
        <v>3305</v>
      </c>
      <c r="Q90" s="239" t="s">
        <v>2802</v>
      </c>
      <c r="R90" s="241">
        <v>1</v>
      </c>
      <c r="S90" s="240" t="s">
        <v>3306</v>
      </c>
      <c r="T90" s="242" t="s">
        <v>1198</v>
      </c>
      <c r="U90" s="239" t="s">
        <v>2935</v>
      </c>
      <c r="V90" s="1"/>
    </row>
    <row r="91" spans="1:22" s="244" customFormat="1" ht="30" customHeight="1">
      <c r="A91" s="239" t="s">
        <v>3164</v>
      </c>
      <c r="B91" s="239" t="s">
        <v>3165</v>
      </c>
      <c r="C91" s="240" t="s">
        <v>3166</v>
      </c>
      <c r="D91" s="239" t="s">
        <v>74</v>
      </c>
      <c r="E91" s="239" t="s">
        <v>2795</v>
      </c>
      <c r="F91" s="239" t="s">
        <v>2924</v>
      </c>
      <c r="G91" s="241"/>
      <c r="H91" s="241">
        <v>40</v>
      </c>
      <c r="I91" s="240" t="s">
        <v>3307</v>
      </c>
      <c r="J91" s="240"/>
      <c r="K91" s="240"/>
      <c r="L91" s="240"/>
      <c r="M91" s="240" t="s">
        <v>3172</v>
      </c>
      <c r="N91" s="240" t="s">
        <v>3308</v>
      </c>
      <c r="O91" s="240" t="s">
        <v>3309</v>
      </c>
      <c r="P91" s="240" t="s">
        <v>3310</v>
      </c>
      <c r="Q91" s="239" t="s">
        <v>2802</v>
      </c>
      <c r="R91" s="241">
        <v>1</v>
      </c>
      <c r="S91" s="240" t="s">
        <v>3311</v>
      </c>
      <c r="T91" s="242" t="s">
        <v>1198</v>
      </c>
      <c r="U91" s="239" t="s">
        <v>2935</v>
      </c>
      <c r="V91" s="242"/>
    </row>
    <row r="92" spans="1:22" s="244" customFormat="1" ht="30" customHeight="1">
      <c r="A92" s="239" t="s">
        <v>3164</v>
      </c>
      <c r="B92" s="239" t="s">
        <v>3165</v>
      </c>
      <c r="C92" s="240" t="s">
        <v>3166</v>
      </c>
      <c r="D92" s="239" t="s">
        <v>74</v>
      </c>
      <c r="E92" s="239" t="s">
        <v>2795</v>
      </c>
      <c r="F92" s="239" t="s">
        <v>2924</v>
      </c>
      <c r="G92" s="241"/>
      <c r="H92" s="241">
        <v>40</v>
      </c>
      <c r="I92" s="240" t="s">
        <v>3312</v>
      </c>
      <c r="J92" s="240"/>
      <c r="K92" s="240"/>
      <c r="L92" s="240"/>
      <c r="M92" s="240" t="s">
        <v>3172</v>
      </c>
      <c r="N92" s="240" t="s">
        <v>3313</v>
      </c>
      <c r="O92" s="240" t="s">
        <v>3314</v>
      </c>
      <c r="P92" s="240" t="s">
        <v>3315</v>
      </c>
      <c r="Q92" s="239" t="s">
        <v>2802</v>
      </c>
      <c r="R92" s="241">
        <v>1</v>
      </c>
      <c r="S92" s="240" t="s">
        <v>3316</v>
      </c>
      <c r="T92" s="242" t="s">
        <v>1198</v>
      </c>
      <c r="U92" s="239" t="s">
        <v>2935</v>
      </c>
      <c r="V92" s="242"/>
    </row>
    <row r="93" spans="1:22" s="244" customFormat="1" ht="30" customHeight="1">
      <c r="A93" s="239" t="s">
        <v>3164</v>
      </c>
      <c r="B93" s="239" t="s">
        <v>3165</v>
      </c>
      <c r="C93" s="240" t="s">
        <v>3166</v>
      </c>
      <c r="D93" s="239" t="s">
        <v>74</v>
      </c>
      <c r="E93" s="239" t="s">
        <v>2795</v>
      </c>
      <c r="F93" s="239" t="s">
        <v>2924</v>
      </c>
      <c r="G93" s="241"/>
      <c r="H93" s="241">
        <v>40</v>
      </c>
      <c r="I93" s="240" t="s">
        <v>3317</v>
      </c>
      <c r="J93" s="240"/>
      <c r="K93" s="240"/>
      <c r="L93" s="240"/>
      <c r="M93" s="240" t="s">
        <v>3172</v>
      </c>
      <c r="N93" s="240" t="s">
        <v>3318</v>
      </c>
      <c r="O93" s="240" t="s">
        <v>3319</v>
      </c>
      <c r="P93" s="240" t="s">
        <v>3320</v>
      </c>
      <c r="Q93" s="239" t="s">
        <v>2802</v>
      </c>
      <c r="R93" s="241">
        <v>1</v>
      </c>
      <c r="S93" s="240" t="s">
        <v>3321</v>
      </c>
      <c r="T93" s="242" t="s">
        <v>1198</v>
      </c>
      <c r="U93" s="239" t="s">
        <v>2935</v>
      </c>
      <c r="V93" s="242"/>
    </row>
    <row r="94" spans="1:22" s="244" customFormat="1" ht="30" customHeight="1">
      <c r="A94" s="239" t="s">
        <v>3164</v>
      </c>
      <c r="B94" s="239" t="s">
        <v>3165</v>
      </c>
      <c r="C94" s="240" t="s">
        <v>3166</v>
      </c>
      <c r="D94" s="239" t="s">
        <v>74</v>
      </c>
      <c r="E94" s="239" t="s">
        <v>2795</v>
      </c>
      <c r="F94" s="239" t="s">
        <v>2924</v>
      </c>
      <c r="G94" s="241"/>
      <c r="H94" s="241">
        <v>40</v>
      </c>
      <c r="I94" s="240" t="s">
        <v>3322</v>
      </c>
      <c r="J94" s="240"/>
      <c r="K94" s="240"/>
      <c r="L94" s="240"/>
      <c r="M94" s="240" t="s">
        <v>3172</v>
      </c>
      <c r="N94" s="240" t="s">
        <v>3323</v>
      </c>
      <c r="O94" s="240" t="s">
        <v>3324</v>
      </c>
      <c r="P94" s="240" t="s">
        <v>3325</v>
      </c>
      <c r="Q94" s="239" t="s">
        <v>2802</v>
      </c>
      <c r="R94" s="241">
        <v>1</v>
      </c>
      <c r="S94" s="240" t="s">
        <v>3326</v>
      </c>
      <c r="T94" s="242" t="s">
        <v>1198</v>
      </c>
      <c r="U94" s="239" t="s">
        <v>2935</v>
      </c>
      <c r="V94" s="242"/>
    </row>
    <row r="95" spans="1:22" s="244" customFormat="1" ht="30" customHeight="1">
      <c r="A95" s="239" t="s">
        <v>3164</v>
      </c>
      <c r="B95" s="239" t="s">
        <v>3165</v>
      </c>
      <c r="C95" s="240" t="s">
        <v>3166</v>
      </c>
      <c r="D95" s="239" t="s">
        <v>74</v>
      </c>
      <c r="E95" s="239" t="s">
        <v>2795</v>
      </c>
      <c r="F95" s="239" t="s">
        <v>2924</v>
      </c>
      <c r="G95" s="241"/>
      <c r="H95" s="241">
        <v>40</v>
      </c>
      <c r="I95" s="240" t="s">
        <v>3327</v>
      </c>
      <c r="J95" s="240"/>
      <c r="K95" s="240"/>
      <c r="L95" s="240"/>
      <c r="M95" s="240" t="s">
        <v>3172</v>
      </c>
      <c r="N95" s="240" t="s">
        <v>3328</v>
      </c>
      <c r="O95" s="240" t="s">
        <v>3329</v>
      </c>
      <c r="P95" s="240" t="s">
        <v>3330</v>
      </c>
      <c r="Q95" s="239" t="s">
        <v>2802</v>
      </c>
      <c r="R95" s="241">
        <v>1</v>
      </c>
      <c r="S95" s="240" t="s">
        <v>3331</v>
      </c>
      <c r="T95" s="242" t="s">
        <v>1198</v>
      </c>
      <c r="U95" s="239" t="s">
        <v>2935</v>
      </c>
      <c r="V95" s="242"/>
    </row>
    <row r="96" spans="1:22" s="244" customFormat="1" ht="30" customHeight="1">
      <c r="A96" s="239" t="s">
        <v>3164</v>
      </c>
      <c r="B96" s="239" t="s">
        <v>3165</v>
      </c>
      <c r="C96" s="240" t="s">
        <v>3166</v>
      </c>
      <c r="D96" s="239" t="s">
        <v>74</v>
      </c>
      <c r="E96" s="239" t="s">
        <v>2795</v>
      </c>
      <c r="F96" s="239" t="s">
        <v>2924</v>
      </c>
      <c r="G96" s="241"/>
      <c r="H96" s="241">
        <v>40</v>
      </c>
      <c r="I96" s="240" t="s">
        <v>3332</v>
      </c>
      <c r="J96" s="240"/>
      <c r="K96" s="240"/>
      <c r="L96" s="240"/>
      <c r="M96" s="240" t="s">
        <v>3333</v>
      </c>
      <c r="N96" s="240" t="s">
        <v>3334</v>
      </c>
      <c r="O96" s="240" t="s">
        <v>3335</v>
      </c>
      <c r="P96" s="240" t="s">
        <v>3336</v>
      </c>
      <c r="Q96" s="239" t="s">
        <v>2802</v>
      </c>
      <c r="R96" s="241">
        <v>1</v>
      </c>
      <c r="S96" s="240" t="s">
        <v>3337</v>
      </c>
      <c r="T96" s="242" t="s">
        <v>1198</v>
      </c>
      <c r="U96" s="239" t="s">
        <v>2935</v>
      </c>
      <c r="V96" s="242"/>
    </row>
    <row r="97" spans="1:22" s="244" customFormat="1" ht="30" customHeight="1">
      <c r="A97" s="239" t="s">
        <v>3164</v>
      </c>
      <c r="B97" s="239" t="s">
        <v>3165</v>
      </c>
      <c r="C97" s="240" t="s">
        <v>3166</v>
      </c>
      <c r="D97" s="239" t="s">
        <v>74</v>
      </c>
      <c r="E97" s="239" t="s">
        <v>2795</v>
      </c>
      <c r="F97" s="239" t="s">
        <v>2924</v>
      </c>
      <c r="G97" s="241"/>
      <c r="H97" s="241">
        <v>40</v>
      </c>
      <c r="I97" s="240" t="s">
        <v>3338</v>
      </c>
      <c r="J97" s="240"/>
      <c r="K97" s="240"/>
      <c r="L97" s="240"/>
      <c r="M97" s="240" t="s">
        <v>3172</v>
      </c>
      <c r="N97" s="240" t="s">
        <v>3339</v>
      </c>
      <c r="O97" s="240" t="s">
        <v>3340</v>
      </c>
      <c r="P97" s="240" t="s">
        <v>3341</v>
      </c>
      <c r="Q97" s="239" t="s">
        <v>2802</v>
      </c>
      <c r="R97" s="241">
        <v>1</v>
      </c>
      <c r="S97" s="240" t="s">
        <v>3342</v>
      </c>
      <c r="T97" s="242" t="s">
        <v>1198</v>
      </c>
      <c r="U97" s="239" t="s">
        <v>2809</v>
      </c>
      <c r="V97" s="242"/>
    </row>
    <row r="98" spans="1:22" s="244" customFormat="1" ht="30" customHeight="1">
      <c r="A98" s="239" t="s">
        <v>3164</v>
      </c>
      <c r="B98" s="239" t="s">
        <v>3165</v>
      </c>
      <c r="C98" s="240" t="s">
        <v>3166</v>
      </c>
      <c r="D98" s="239" t="s">
        <v>74</v>
      </c>
      <c r="E98" s="239" t="s">
        <v>2795</v>
      </c>
      <c r="F98" s="239" t="s">
        <v>2924</v>
      </c>
      <c r="G98" s="241"/>
      <c r="H98" s="241">
        <v>40</v>
      </c>
      <c r="I98" s="240" t="s">
        <v>3343</v>
      </c>
      <c r="J98" s="240"/>
      <c r="K98" s="240"/>
      <c r="L98" s="240"/>
      <c r="M98" s="240" t="s">
        <v>3172</v>
      </c>
      <c r="N98" s="240" t="s">
        <v>3344</v>
      </c>
      <c r="O98" s="240" t="s">
        <v>3345</v>
      </c>
      <c r="P98" s="240" t="s">
        <v>3346</v>
      </c>
      <c r="Q98" s="239" t="s">
        <v>2802</v>
      </c>
      <c r="R98" s="241">
        <v>1</v>
      </c>
      <c r="S98" s="240" t="s">
        <v>3347</v>
      </c>
      <c r="T98" s="242" t="s">
        <v>1198</v>
      </c>
      <c r="U98" s="239" t="s">
        <v>2809</v>
      </c>
      <c r="V98" s="242"/>
    </row>
    <row r="99" spans="1:22" s="244" customFormat="1" ht="30" customHeight="1">
      <c r="A99" s="239" t="s">
        <v>3164</v>
      </c>
      <c r="B99" s="239" t="s">
        <v>3165</v>
      </c>
      <c r="C99" s="240" t="s">
        <v>3166</v>
      </c>
      <c r="D99" s="239" t="s">
        <v>74</v>
      </c>
      <c r="E99" s="239" t="s">
        <v>2795</v>
      </c>
      <c r="F99" s="239" t="s">
        <v>2924</v>
      </c>
      <c r="G99" s="241"/>
      <c r="H99" s="241">
        <v>40</v>
      </c>
      <c r="I99" s="240" t="s">
        <v>3348</v>
      </c>
      <c r="J99" s="240"/>
      <c r="K99" s="240"/>
      <c r="L99" s="240"/>
      <c r="M99" s="240" t="s">
        <v>3172</v>
      </c>
      <c r="N99" s="240" t="s">
        <v>3349</v>
      </c>
      <c r="O99" s="240" t="s">
        <v>3350</v>
      </c>
      <c r="P99" s="240" t="s">
        <v>3351</v>
      </c>
      <c r="Q99" s="239" t="s">
        <v>2802</v>
      </c>
      <c r="R99" s="241">
        <v>1</v>
      </c>
      <c r="S99" s="240" t="s">
        <v>3352</v>
      </c>
      <c r="T99" s="242" t="s">
        <v>1198</v>
      </c>
      <c r="U99" s="239" t="s">
        <v>2809</v>
      </c>
      <c r="V99" s="242"/>
    </row>
    <row r="100" spans="1:22" s="244" customFormat="1" ht="30" customHeight="1">
      <c r="A100" s="239" t="s">
        <v>3164</v>
      </c>
      <c r="B100" s="239" t="s">
        <v>3165</v>
      </c>
      <c r="C100" s="240" t="s">
        <v>3166</v>
      </c>
      <c r="D100" s="239" t="s">
        <v>74</v>
      </c>
      <c r="E100" s="239" t="s">
        <v>2795</v>
      </c>
      <c r="F100" s="239" t="s">
        <v>2924</v>
      </c>
      <c r="G100" s="241"/>
      <c r="H100" s="241">
        <v>40</v>
      </c>
      <c r="I100" s="240" t="s">
        <v>3353</v>
      </c>
      <c r="J100" s="240"/>
      <c r="K100" s="240"/>
      <c r="L100" s="240"/>
      <c r="M100" s="240" t="s">
        <v>3172</v>
      </c>
      <c r="N100" s="240" t="s">
        <v>3354</v>
      </c>
      <c r="O100" s="240" t="s">
        <v>3355</v>
      </c>
      <c r="P100" s="240" t="s">
        <v>3356</v>
      </c>
      <c r="Q100" s="239" t="s">
        <v>2802</v>
      </c>
      <c r="R100" s="241">
        <v>1</v>
      </c>
      <c r="S100" s="240" t="s">
        <v>3357</v>
      </c>
      <c r="T100" s="242" t="s">
        <v>1198</v>
      </c>
      <c r="U100" s="239" t="s">
        <v>2809</v>
      </c>
      <c r="V100" s="242"/>
    </row>
    <row r="101" spans="1:22" s="244" customFormat="1" ht="30" customHeight="1">
      <c r="A101" s="239" t="s">
        <v>3164</v>
      </c>
      <c r="B101" s="239" t="s">
        <v>3165</v>
      </c>
      <c r="C101" s="240" t="s">
        <v>3166</v>
      </c>
      <c r="D101" s="239" t="s">
        <v>74</v>
      </c>
      <c r="E101" s="239" t="s">
        <v>2795</v>
      </c>
      <c r="F101" s="239" t="s">
        <v>2924</v>
      </c>
      <c r="G101" s="241"/>
      <c r="H101" s="241">
        <v>40</v>
      </c>
      <c r="I101" s="240" t="s">
        <v>3358</v>
      </c>
      <c r="J101" s="240"/>
      <c r="K101" s="240"/>
      <c r="L101" s="240"/>
      <c r="M101" s="240" t="s">
        <v>3172</v>
      </c>
      <c r="N101" s="240" t="s">
        <v>3359</v>
      </c>
      <c r="O101" s="240" t="s">
        <v>3360</v>
      </c>
      <c r="P101" s="240" t="s">
        <v>3361</v>
      </c>
      <c r="Q101" s="239" t="s">
        <v>2802</v>
      </c>
      <c r="R101" s="241">
        <v>1</v>
      </c>
      <c r="S101" s="240" t="s">
        <v>3362</v>
      </c>
      <c r="T101" s="242" t="s">
        <v>1198</v>
      </c>
      <c r="U101" s="239" t="s">
        <v>2809</v>
      </c>
      <c r="V101" s="242"/>
    </row>
    <row r="102" spans="1:22" s="244" customFormat="1" ht="30" customHeight="1">
      <c r="A102" s="239" t="s">
        <v>3164</v>
      </c>
      <c r="B102" s="239" t="s">
        <v>3165</v>
      </c>
      <c r="C102" s="240" t="s">
        <v>3166</v>
      </c>
      <c r="D102" s="239" t="s">
        <v>74</v>
      </c>
      <c r="E102" s="239" t="s">
        <v>2795</v>
      </c>
      <c r="F102" s="239" t="s">
        <v>2924</v>
      </c>
      <c r="G102" s="241"/>
      <c r="H102" s="241">
        <v>40</v>
      </c>
      <c r="I102" s="240" t="s">
        <v>3363</v>
      </c>
      <c r="J102" s="240"/>
      <c r="K102" s="240"/>
      <c r="L102" s="240"/>
      <c r="M102" s="240" t="s">
        <v>3172</v>
      </c>
      <c r="N102" s="240" t="s">
        <v>3364</v>
      </c>
      <c r="O102" s="240" t="s">
        <v>3365</v>
      </c>
      <c r="P102" s="240" t="s">
        <v>3366</v>
      </c>
      <c r="Q102" s="239" t="s">
        <v>2802</v>
      </c>
      <c r="R102" s="241">
        <v>1</v>
      </c>
      <c r="S102" s="240" t="s">
        <v>3367</v>
      </c>
      <c r="T102" s="242" t="s">
        <v>1198</v>
      </c>
      <c r="U102" s="239" t="s">
        <v>2809</v>
      </c>
      <c r="V102" s="242"/>
    </row>
    <row r="103" spans="1:22" s="244" customFormat="1" ht="30" customHeight="1">
      <c r="A103" s="239" t="s">
        <v>3164</v>
      </c>
      <c r="B103" s="239" t="s">
        <v>3165</v>
      </c>
      <c r="C103" s="240" t="s">
        <v>3166</v>
      </c>
      <c r="D103" s="239" t="s">
        <v>74</v>
      </c>
      <c r="E103" s="239" t="s">
        <v>2795</v>
      </c>
      <c r="F103" s="239" t="s">
        <v>2924</v>
      </c>
      <c r="G103" s="241"/>
      <c r="H103" s="241">
        <v>40</v>
      </c>
      <c r="I103" s="240" t="s">
        <v>3368</v>
      </c>
      <c r="J103" s="240"/>
      <c r="K103" s="240"/>
      <c r="L103" s="240"/>
      <c r="M103" s="240" t="s">
        <v>3369</v>
      </c>
      <c r="N103" s="240" t="s">
        <v>3370</v>
      </c>
      <c r="O103" s="240" t="s">
        <v>3371</v>
      </c>
      <c r="P103" s="240" t="s">
        <v>3372</v>
      </c>
      <c r="Q103" s="239" t="s">
        <v>2802</v>
      </c>
      <c r="R103" s="241">
        <v>1</v>
      </c>
      <c r="S103" s="240" t="s">
        <v>3373</v>
      </c>
      <c r="T103" s="242" t="s">
        <v>3374</v>
      </c>
      <c r="U103" s="239" t="s">
        <v>3375</v>
      </c>
      <c r="V103" s="242"/>
    </row>
    <row r="104" spans="1:22" s="244" customFormat="1" ht="30" customHeight="1">
      <c r="A104" s="239" t="s">
        <v>3164</v>
      </c>
      <c r="B104" s="239" t="s">
        <v>3165</v>
      </c>
      <c r="C104" s="240" t="s">
        <v>3166</v>
      </c>
      <c r="D104" s="239" t="s">
        <v>74</v>
      </c>
      <c r="E104" s="239" t="s">
        <v>2795</v>
      </c>
      <c r="F104" s="239" t="s">
        <v>2924</v>
      </c>
      <c r="G104" s="241"/>
      <c r="H104" s="241">
        <v>40</v>
      </c>
      <c r="I104" s="240" t="s">
        <v>3376</v>
      </c>
      <c r="J104" s="240"/>
      <c r="K104" s="240"/>
      <c r="L104" s="240"/>
      <c r="M104" s="240" t="s">
        <v>3172</v>
      </c>
      <c r="N104" s="240" t="s">
        <v>3377</v>
      </c>
      <c r="O104" s="240" t="s">
        <v>3378</v>
      </c>
      <c r="P104" s="240" t="s">
        <v>3379</v>
      </c>
      <c r="Q104" s="239" t="s">
        <v>2802</v>
      </c>
      <c r="R104" s="241">
        <v>1</v>
      </c>
      <c r="S104" s="240" t="s">
        <v>3380</v>
      </c>
      <c r="T104" s="242" t="s">
        <v>1198</v>
      </c>
      <c r="U104" s="239" t="s">
        <v>2809</v>
      </c>
      <c r="V104" s="242"/>
    </row>
    <row r="105" spans="1:22" s="244" customFormat="1" ht="30" customHeight="1">
      <c r="A105" s="239" t="s">
        <v>3164</v>
      </c>
      <c r="B105" s="239" t="s">
        <v>3165</v>
      </c>
      <c r="C105" s="240" t="s">
        <v>3166</v>
      </c>
      <c r="D105" s="239" t="s">
        <v>74</v>
      </c>
      <c r="E105" s="239" t="s">
        <v>2795</v>
      </c>
      <c r="F105" s="239" t="s">
        <v>2924</v>
      </c>
      <c r="G105" s="241"/>
      <c r="H105" s="241">
        <v>40</v>
      </c>
      <c r="I105" s="240" t="s">
        <v>3381</v>
      </c>
      <c r="J105" s="240"/>
      <c r="K105" s="240"/>
      <c r="L105" s="240"/>
      <c r="M105" s="240" t="s">
        <v>3172</v>
      </c>
      <c r="N105" s="240" t="s">
        <v>3382</v>
      </c>
      <c r="O105" s="240" t="s">
        <v>3383</v>
      </c>
      <c r="P105" s="240" t="s">
        <v>3384</v>
      </c>
      <c r="Q105" s="239" t="s">
        <v>2802</v>
      </c>
      <c r="R105" s="241">
        <v>1</v>
      </c>
      <c r="S105" s="240" t="s">
        <v>3385</v>
      </c>
      <c r="T105" s="242" t="s">
        <v>1198</v>
      </c>
      <c r="U105" s="239" t="s">
        <v>2809</v>
      </c>
      <c r="V105" s="242"/>
    </row>
    <row r="106" spans="1:22" s="244" customFormat="1" ht="30" customHeight="1">
      <c r="A106" s="239" t="s">
        <v>3164</v>
      </c>
      <c r="B106" s="239" t="s">
        <v>3165</v>
      </c>
      <c r="C106" s="240" t="s">
        <v>3166</v>
      </c>
      <c r="D106" s="239" t="s">
        <v>74</v>
      </c>
      <c r="E106" s="239" t="s">
        <v>2795</v>
      </c>
      <c r="F106" s="239" t="s">
        <v>2924</v>
      </c>
      <c r="G106" s="241"/>
      <c r="H106" s="241">
        <v>40</v>
      </c>
      <c r="I106" s="240" t="s">
        <v>3386</v>
      </c>
      <c r="J106" s="240"/>
      <c r="K106" s="240"/>
      <c r="L106" s="240"/>
      <c r="M106" s="240" t="s">
        <v>3172</v>
      </c>
      <c r="N106" s="240" t="s">
        <v>3387</v>
      </c>
      <c r="O106" s="240" t="s">
        <v>3388</v>
      </c>
      <c r="P106" s="240" t="s">
        <v>3389</v>
      </c>
      <c r="Q106" s="239" t="s">
        <v>2802</v>
      </c>
      <c r="R106" s="241">
        <v>1</v>
      </c>
      <c r="S106" s="240" t="s">
        <v>3390</v>
      </c>
      <c r="T106" s="242" t="s">
        <v>1198</v>
      </c>
      <c r="U106" s="239" t="s">
        <v>2809</v>
      </c>
      <c r="V106" s="242"/>
    </row>
    <row r="107" spans="1:22" s="244" customFormat="1" ht="30" customHeight="1">
      <c r="A107" s="239" t="s">
        <v>3164</v>
      </c>
      <c r="B107" s="239" t="s">
        <v>3165</v>
      </c>
      <c r="C107" s="240" t="s">
        <v>3166</v>
      </c>
      <c r="D107" s="239" t="s">
        <v>74</v>
      </c>
      <c r="E107" s="239" t="s">
        <v>2795</v>
      </c>
      <c r="F107" s="239" t="s">
        <v>2924</v>
      </c>
      <c r="G107" s="241"/>
      <c r="H107" s="241">
        <v>40</v>
      </c>
      <c r="I107" s="240" t="s">
        <v>3391</v>
      </c>
      <c r="J107" s="240"/>
      <c r="K107" s="240"/>
      <c r="L107" s="240"/>
      <c r="M107" s="240" t="s">
        <v>3172</v>
      </c>
      <c r="N107" s="240" t="s">
        <v>3392</v>
      </c>
      <c r="O107" s="240" t="s">
        <v>3393</v>
      </c>
      <c r="P107" s="240" t="s">
        <v>3394</v>
      </c>
      <c r="Q107" s="239" t="s">
        <v>2802</v>
      </c>
      <c r="R107" s="241">
        <v>1</v>
      </c>
      <c r="S107" s="240" t="s">
        <v>3395</v>
      </c>
      <c r="T107" s="242" t="s">
        <v>1198</v>
      </c>
      <c r="U107" s="239" t="s">
        <v>2809</v>
      </c>
      <c r="V107" s="242"/>
    </row>
    <row r="108" spans="1:22" s="244" customFormat="1" ht="30" customHeight="1">
      <c r="A108" s="239" t="s">
        <v>3164</v>
      </c>
      <c r="B108" s="239" t="s">
        <v>3165</v>
      </c>
      <c r="C108" s="240" t="s">
        <v>3166</v>
      </c>
      <c r="D108" s="239" t="s">
        <v>74</v>
      </c>
      <c r="E108" s="239" t="s">
        <v>2795</v>
      </c>
      <c r="F108" s="239" t="s">
        <v>2924</v>
      </c>
      <c r="G108" s="241"/>
      <c r="H108" s="241">
        <v>40</v>
      </c>
      <c r="I108" s="240" t="s">
        <v>3396</v>
      </c>
      <c r="J108" s="240"/>
      <c r="K108" s="240"/>
      <c r="L108" s="240"/>
      <c r="M108" s="240" t="s">
        <v>3172</v>
      </c>
      <c r="N108" s="240" t="s">
        <v>3397</v>
      </c>
      <c r="O108" s="240" t="s">
        <v>3398</v>
      </c>
      <c r="P108" s="240" t="s">
        <v>3399</v>
      </c>
      <c r="Q108" s="239" t="s">
        <v>2802</v>
      </c>
      <c r="R108" s="241">
        <v>1</v>
      </c>
      <c r="S108" s="240" t="s">
        <v>3400</v>
      </c>
      <c r="T108" s="242" t="s">
        <v>1198</v>
      </c>
      <c r="U108" s="239" t="s">
        <v>2809</v>
      </c>
      <c r="V108" s="242"/>
    </row>
    <row r="109" spans="1:22" s="244" customFormat="1" ht="30" customHeight="1">
      <c r="A109" s="239" t="s">
        <v>3164</v>
      </c>
      <c r="B109" s="239" t="s">
        <v>3165</v>
      </c>
      <c r="C109" s="240" t="s">
        <v>3166</v>
      </c>
      <c r="D109" s="239" t="s">
        <v>74</v>
      </c>
      <c r="E109" s="239" t="s">
        <v>2795</v>
      </c>
      <c r="F109" s="239" t="s">
        <v>2924</v>
      </c>
      <c r="G109" s="241"/>
      <c r="H109" s="241">
        <v>40</v>
      </c>
      <c r="I109" s="240" t="s">
        <v>3401</v>
      </c>
      <c r="J109" s="240"/>
      <c r="K109" s="240"/>
      <c r="L109" s="240"/>
      <c r="M109" s="240" t="s">
        <v>3172</v>
      </c>
      <c r="N109" s="240" t="s">
        <v>3402</v>
      </c>
      <c r="O109" s="240" t="s">
        <v>3403</v>
      </c>
      <c r="P109" s="240" t="s">
        <v>3404</v>
      </c>
      <c r="Q109" s="239" t="s">
        <v>2802</v>
      </c>
      <c r="R109" s="241">
        <v>1</v>
      </c>
      <c r="S109" s="240" t="s">
        <v>3405</v>
      </c>
      <c r="T109" s="242" t="s">
        <v>1198</v>
      </c>
      <c r="U109" s="239" t="s">
        <v>2809</v>
      </c>
      <c r="V109" s="242"/>
    </row>
    <row r="110" spans="1:22" s="244" customFormat="1" ht="30" customHeight="1">
      <c r="A110" s="239" t="s">
        <v>3164</v>
      </c>
      <c r="B110" s="239" t="s">
        <v>3165</v>
      </c>
      <c r="C110" s="240" t="s">
        <v>3166</v>
      </c>
      <c r="D110" s="239" t="s">
        <v>74</v>
      </c>
      <c r="E110" s="239" t="s">
        <v>2795</v>
      </c>
      <c r="F110" s="239" t="s">
        <v>2924</v>
      </c>
      <c r="G110" s="241"/>
      <c r="H110" s="241">
        <v>40</v>
      </c>
      <c r="I110" s="240" t="s">
        <v>3406</v>
      </c>
      <c r="J110" s="240"/>
      <c r="K110" s="240"/>
      <c r="L110" s="240"/>
      <c r="M110" s="240" t="s">
        <v>3172</v>
      </c>
      <c r="N110" s="240" t="s">
        <v>3407</v>
      </c>
      <c r="O110" s="240" t="s">
        <v>3408</v>
      </c>
      <c r="P110" s="240" t="s">
        <v>3409</v>
      </c>
      <c r="Q110" s="239" t="s">
        <v>2802</v>
      </c>
      <c r="R110" s="241">
        <v>1</v>
      </c>
      <c r="S110" s="240" t="s">
        <v>3410</v>
      </c>
      <c r="T110" s="242" t="s">
        <v>1198</v>
      </c>
      <c r="U110" s="239" t="s">
        <v>2935</v>
      </c>
      <c r="V110" s="242"/>
    </row>
    <row r="111" spans="1:22" s="244" customFormat="1" ht="30" customHeight="1">
      <c r="A111" s="239" t="s">
        <v>3164</v>
      </c>
      <c r="B111" s="239" t="s">
        <v>3165</v>
      </c>
      <c r="C111" s="240" t="s">
        <v>3166</v>
      </c>
      <c r="D111" s="239" t="s">
        <v>74</v>
      </c>
      <c r="E111" s="239" t="s">
        <v>2795</v>
      </c>
      <c r="F111" s="239" t="s">
        <v>2924</v>
      </c>
      <c r="G111" s="241"/>
      <c r="H111" s="241">
        <v>40</v>
      </c>
      <c r="I111" s="240" t="s">
        <v>3411</v>
      </c>
      <c r="J111" s="240"/>
      <c r="K111" s="240"/>
      <c r="L111" s="240"/>
      <c r="M111" s="240" t="s">
        <v>3172</v>
      </c>
      <c r="N111" s="240" t="s">
        <v>3412</v>
      </c>
      <c r="O111" s="240" t="s">
        <v>3413</v>
      </c>
      <c r="P111" s="240" t="s">
        <v>3414</v>
      </c>
      <c r="Q111" s="239" t="s">
        <v>2802</v>
      </c>
      <c r="R111" s="241">
        <v>1</v>
      </c>
      <c r="S111" s="240" t="s">
        <v>3415</v>
      </c>
      <c r="T111" s="242" t="s">
        <v>1198</v>
      </c>
      <c r="U111" s="239" t="s">
        <v>2935</v>
      </c>
      <c r="V111" s="242"/>
    </row>
    <row r="112" spans="1:22" s="244" customFormat="1" ht="30" customHeight="1">
      <c r="A112" s="239" t="s">
        <v>3164</v>
      </c>
      <c r="B112" s="239" t="s">
        <v>3165</v>
      </c>
      <c r="C112" s="240" t="s">
        <v>3166</v>
      </c>
      <c r="D112" s="239" t="s">
        <v>74</v>
      </c>
      <c r="E112" s="239" t="s">
        <v>2795</v>
      </c>
      <c r="F112" s="239" t="s">
        <v>2924</v>
      </c>
      <c r="G112" s="241"/>
      <c r="H112" s="241">
        <v>40</v>
      </c>
      <c r="I112" s="240" t="s">
        <v>3416</v>
      </c>
      <c r="J112" s="240"/>
      <c r="K112" s="240"/>
      <c r="L112" s="240"/>
      <c r="M112" s="240" t="s">
        <v>3172</v>
      </c>
      <c r="N112" s="240" t="s">
        <v>3417</v>
      </c>
      <c r="O112" s="240" t="s">
        <v>3418</v>
      </c>
      <c r="P112" s="240" t="s">
        <v>3419</v>
      </c>
      <c r="Q112" s="239" t="s">
        <v>2802</v>
      </c>
      <c r="R112" s="241">
        <v>1</v>
      </c>
      <c r="S112" s="240" t="s">
        <v>3420</v>
      </c>
      <c r="T112" s="242" t="s">
        <v>1198</v>
      </c>
      <c r="U112" s="239" t="s">
        <v>2935</v>
      </c>
      <c r="V112" s="242"/>
    </row>
    <row r="113" spans="1:22" s="244" customFormat="1" ht="30" customHeight="1">
      <c r="A113" s="239" t="s">
        <v>3164</v>
      </c>
      <c r="B113" s="239" t="s">
        <v>3165</v>
      </c>
      <c r="C113" s="240" t="s">
        <v>3166</v>
      </c>
      <c r="D113" s="239" t="s">
        <v>74</v>
      </c>
      <c r="E113" s="239" t="s">
        <v>2795</v>
      </c>
      <c r="F113" s="239" t="s">
        <v>2924</v>
      </c>
      <c r="G113" s="241"/>
      <c r="H113" s="241">
        <v>40</v>
      </c>
      <c r="I113" s="240" t="s">
        <v>3421</v>
      </c>
      <c r="J113" s="240"/>
      <c r="K113" s="240"/>
      <c r="L113" s="240"/>
      <c r="M113" s="240" t="s">
        <v>3172</v>
      </c>
      <c r="N113" s="240" t="s">
        <v>3422</v>
      </c>
      <c r="O113" s="240" t="s">
        <v>3423</v>
      </c>
      <c r="P113" s="240" t="s">
        <v>3424</v>
      </c>
      <c r="Q113" s="239" t="s">
        <v>2802</v>
      </c>
      <c r="R113" s="241">
        <v>1</v>
      </c>
      <c r="S113" s="240" t="s">
        <v>3425</v>
      </c>
      <c r="T113" s="242" t="s">
        <v>1198</v>
      </c>
      <c r="U113" s="239" t="s">
        <v>2935</v>
      </c>
      <c r="V113" s="242"/>
    </row>
    <row r="114" spans="1:22" s="244" customFormat="1" ht="30" customHeight="1">
      <c r="A114" s="239" t="s">
        <v>3164</v>
      </c>
      <c r="B114" s="239" t="s">
        <v>3165</v>
      </c>
      <c r="C114" s="240" t="s">
        <v>3166</v>
      </c>
      <c r="D114" s="239" t="s">
        <v>74</v>
      </c>
      <c r="E114" s="239" t="s">
        <v>2795</v>
      </c>
      <c r="F114" s="239" t="s">
        <v>2924</v>
      </c>
      <c r="G114" s="241"/>
      <c r="H114" s="241">
        <v>40</v>
      </c>
      <c r="I114" s="240" t="s">
        <v>3426</v>
      </c>
      <c r="J114" s="240"/>
      <c r="K114" s="240"/>
      <c r="L114" s="240"/>
      <c r="M114" s="240" t="s">
        <v>3172</v>
      </c>
      <c r="N114" s="240" t="s">
        <v>3427</v>
      </c>
      <c r="O114" s="240" t="s">
        <v>3428</v>
      </c>
      <c r="P114" s="240" t="s">
        <v>3429</v>
      </c>
      <c r="Q114" s="239" t="s">
        <v>2802</v>
      </c>
      <c r="R114" s="241">
        <v>1</v>
      </c>
      <c r="S114" s="240" t="s">
        <v>3430</v>
      </c>
      <c r="T114" s="242" t="s">
        <v>1198</v>
      </c>
      <c r="U114" s="239" t="s">
        <v>2935</v>
      </c>
      <c r="V114" s="242"/>
    </row>
    <row r="115" spans="1:22" s="244" customFormat="1" ht="30" customHeight="1">
      <c r="A115" s="239" t="s">
        <v>3164</v>
      </c>
      <c r="B115" s="239" t="s">
        <v>3165</v>
      </c>
      <c r="C115" s="240" t="s">
        <v>3166</v>
      </c>
      <c r="D115" s="239" t="s">
        <v>74</v>
      </c>
      <c r="E115" s="239" t="s">
        <v>2795</v>
      </c>
      <c r="F115" s="239" t="s">
        <v>2924</v>
      </c>
      <c r="G115" s="241"/>
      <c r="H115" s="241">
        <v>40</v>
      </c>
      <c r="I115" s="240" t="s">
        <v>3431</v>
      </c>
      <c r="J115" s="240"/>
      <c r="K115" s="240"/>
      <c r="L115" s="240"/>
      <c r="M115" s="240" t="s">
        <v>3172</v>
      </c>
      <c r="N115" s="240" t="s">
        <v>3432</v>
      </c>
      <c r="O115" s="240" t="s">
        <v>3433</v>
      </c>
      <c r="P115" s="240" t="s">
        <v>3434</v>
      </c>
      <c r="Q115" s="239" t="s">
        <v>2802</v>
      </c>
      <c r="R115" s="241">
        <v>1</v>
      </c>
      <c r="S115" s="240" t="s">
        <v>3435</v>
      </c>
      <c r="T115" s="242" t="s">
        <v>1198</v>
      </c>
      <c r="U115" s="239" t="s">
        <v>2935</v>
      </c>
      <c r="V115" s="242"/>
    </row>
    <row r="116" spans="1:22" s="244" customFormat="1" ht="30" customHeight="1">
      <c r="A116" s="239" t="s">
        <v>3164</v>
      </c>
      <c r="B116" s="239" t="s">
        <v>3165</v>
      </c>
      <c r="C116" s="240" t="s">
        <v>3166</v>
      </c>
      <c r="D116" s="239" t="s">
        <v>74</v>
      </c>
      <c r="E116" s="239" t="s">
        <v>2795</v>
      </c>
      <c r="F116" s="239" t="s">
        <v>2924</v>
      </c>
      <c r="G116" s="241"/>
      <c r="H116" s="241">
        <v>40</v>
      </c>
      <c r="I116" s="240" t="s">
        <v>3436</v>
      </c>
      <c r="J116" s="240"/>
      <c r="K116" s="240"/>
      <c r="L116" s="240"/>
      <c r="M116" s="240" t="s">
        <v>3172</v>
      </c>
      <c r="N116" s="240" t="s">
        <v>3437</v>
      </c>
      <c r="O116" s="240" t="s">
        <v>3438</v>
      </c>
      <c r="P116" s="240" t="s">
        <v>3439</v>
      </c>
      <c r="Q116" s="239" t="s">
        <v>2802</v>
      </c>
      <c r="R116" s="241">
        <v>1</v>
      </c>
      <c r="S116" s="240" t="s">
        <v>3440</v>
      </c>
      <c r="T116" s="242" t="s">
        <v>1198</v>
      </c>
      <c r="U116" s="239" t="s">
        <v>2935</v>
      </c>
      <c r="V116" s="242"/>
    </row>
    <row r="117" spans="1:22" s="244" customFormat="1" ht="30" customHeight="1">
      <c r="A117" s="239" t="s">
        <v>3164</v>
      </c>
      <c r="B117" s="239" t="s">
        <v>3165</v>
      </c>
      <c r="C117" s="240" t="s">
        <v>3166</v>
      </c>
      <c r="D117" s="239" t="s">
        <v>74</v>
      </c>
      <c r="E117" s="239" t="s">
        <v>2795</v>
      </c>
      <c r="F117" s="239" t="s">
        <v>2924</v>
      </c>
      <c r="G117" s="241"/>
      <c r="H117" s="241">
        <v>40</v>
      </c>
      <c r="I117" s="240" t="s">
        <v>3441</v>
      </c>
      <c r="J117" s="240"/>
      <c r="K117" s="240"/>
      <c r="L117" s="240"/>
      <c r="M117" s="240" t="s">
        <v>3172</v>
      </c>
      <c r="N117" s="240" t="s">
        <v>3442</v>
      </c>
      <c r="O117" s="240" t="s">
        <v>3443</v>
      </c>
      <c r="P117" s="240" t="s">
        <v>3444</v>
      </c>
      <c r="Q117" s="239" t="s">
        <v>2802</v>
      </c>
      <c r="R117" s="241">
        <v>1</v>
      </c>
      <c r="S117" s="240" t="s">
        <v>3445</v>
      </c>
      <c r="T117" s="242" t="s">
        <v>1198</v>
      </c>
      <c r="U117" s="239" t="s">
        <v>2935</v>
      </c>
      <c r="V117" s="242"/>
    </row>
    <row r="118" spans="1:22" s="244" customFormat="1" ht="30" customHeight="1">
      <c r="A118" s="239" t="s">
        <v>3164</v>
      </c>
      <c r="B118" s="239" t="s">
        <v>3165</v>
      </c>
      <c r="C118" s="240" t="s">
        <v>3166</v>
      </c>
      <c r="D118" s="239" t="s">
        <v>74</v>
      </c>
      <c r="E118" s="239" t="s">
        <v>2795</v>
      </c>
      <c r="F118" s="239" t="s">
        <v>2924</v>
      </c>
      <c r="G118" s="241"/>
      <c r="H118" s="241">
        <v>40</v>
      </c>
      <c r="I118" s="240" t="s">
        <v>3446</v>
      </c>
      <c r="J118" s="240"/>
      <c r="K118" s="240"/>
      <c r="L118" s="240"/>
      <c r="M118" s="240" t="s">
        <v>3172</v>
      </c>
      <c r="N118" s="240" t="s">
        <v>3447</v>
      </c>
      <c r="O118" s="240" t="s">
        <v>3448</v>
      </c>
      <c r="P118" s="240" t="s">
        <v>3449</v>
      </c>
      <c r="Q118" s="239" t="s">
        <v>2802</v>
      </c>
      <c r="R118" s="241">
        <v>1</v>
      </c>
      <c r="S118" s="240" t="s">
        <v>3450</v>
      </c>
      <c r="T118" s="242" t="s">
        <v>1198</v>
      </c>
      <c r="U118" s="239" t="s">
        <v>2935</v>
      </c>
      <c r="V118" s="242"/>
    </row>
    <row r="119" spans="1:22" s="244" customFormat="1" ht="30" customHeight="1">
      <c r="A119" s="239" t="s">
        <v>3164</v>
      </c>
      <c r="B119" s="239" t="s">
        <v>3165</v>
      </c>
      <c r="C119" s="240" t="s">
        <v>3166</v>
      </c>
      <c r="D119" s="239" t="s">
        <v>74</v>
      </c>
      <c r="E119" s="239" t="s">
        <v>2795</v>
      </c>
      <c r="F119" s="239" t="s">
        <v>2924</v>
      </c>
      <c r="G119" s="241"/>
      <c r="H119" s="241">
        <v>40</v>
      </c>
      <c r="I119" s="240" t="s">
        <v>3451</v>
      </c>
      <c r="J119" s="240"/>
      <c r="K119" s="240"/>
      <c r="L119" s="240"/>
      <c r="M119" s="240" t="s">
        <v>3172</v>
      </c>
      <c r="N119" s="240" t="s">
        <v>3452</v>
      </c>
      <c r="O119" s="240" t="s">
        <v>3453</v>
      </c>
      <c r="P119" s="240" t="s">
        <v>3454</v>
      </c>
      <c r="Q119" s="239" t="s">
        <v>2802</v>
      </c>
      <c r="R119" s="241">
        <v>1</v>
      </c>
      <c r="S119" s="240" t="s">
        <v>3455</v>
      </c>
      <c r="T119" s="242" t="s">
        <v>1198</v>
      </c>
      <c r="U119" s="239" t="s">
        <v>2935</v>
      </c>
      <c r="V119" s="242"/>
    </row>
    <row r="120" spans="1:22" s="244" customFormat="1" ht="30" customHeight="1">
      <c r="A120" s="239" t="s">
        <v>3164</v>
      </c>
      <c r="B120" s="239" t="s">
        <v>3165</v>
      </c>
      <c r="C120" s="240" t="s">
        <v>3166</v>
      </c>
      <c r="D120" s="239" t="s">
        <v>74</v>
      </c>
      <c r="E120" s="239" t="s">
        <v>2795</v>
      </c>
      <c r="F120" s="239" t="s">
        <v>2924</v>
      </c>
      <c r="G120" s="241"/>
      <c r="H120" s="241">
        <v>40</v>
      </c>
      <c r="I120" s="240" t="s">
        <v>3456</v>
      </c>
      <c r="J120" s="240"/>
      <c r="K120" s="240"/>
      <c r="L120" s="240"/>
      <c r="M120" s="240" t="s">
        <v>3172</v>
      </c>
      <c r="N120" s="240" t="s">
        <v>3457</v>
      </c>
      <c r="O120" s="240" t="s">
        <v>3458</v>
      </c>
      <c r="P120" s="240" t="s">
        <v>3459</v>
      </c>
      <c r="Q120" s="239" t="s">
        <v>2802</v>
      </c>
      <c r="R120" s="241">
        <v>1</v>
      </c>
      <c r="S120" s="240" t="s">
        <v>3460</v>
      </c>
      <c r="T120" s="242" t="s">
        <v>1198</v>
      </c>
      <c r="U120" s="239" t="s">
        <v>2935</v>
      </c>
      <c r="V120" s="242"/>
    </row>
    <row r="121" spans="1:22" s="244" customFormat="1" ht="30" customHeight="1">
      <c r="A121" s="239" t="s">
        <v>3164</v>
      </c>
      <c r="B121" s="239" t="s">
        <v>3165</v>
      </c>
      <c r="C121" s="240" t="s">
        <v>3166</v>
      </c>
      <c r="D121" s="239" t="s">
        <v>74</v>
      </c>
      <c r="E121" s="239" t="s">
        <v>2795</v>
      </c>
      <c r="F121" s="239" t="s">
        <v>2924</v>
      </c>
      <c r="G121" s="241"/>
      <c r="H121" s="241">
        <v>40</v>
      </c>
      <c r="I121" s="240" t="s">
        <v>3461</v>
      </c>
      <c r="J121" s="240"/>
      <c r="K121" s="240"/>
      <c r="L121" s="240"/>
      <c r="M121" s="240" t="s">
        <v>3172</v>
      </c>
      <c r="N121" s="240" t="s">
        <v>3462</v>
      </c>
      <c r="O121" s="240" t="s">
        <v>3463</v>
      </c>
      <c r="P121" s="240" t="s">
        <v>3464</v>
      </c>
      <c r="Q121" s="239" t="s">
        <v>2802</v>
      </c>
      <c r="R121" s="241">
        <v>1</v>
      </c>
      <c r="S121" s="240" t="s">
        <v>3465</v>
      </c>
      <c r="T121" s="242" t="s">
        <v>1198</v>
      </c>
      <c r="U121" s="239" t="s">
        <v>2935</v>
      </c>
      <c r="V121" s="242"/>
    </row>
    <row r="122" spans="1:22" s="244" customFormat="1" ht="30" customHeight="1">
      <c r="A122" s="239" t="s">
        <v>3164</v>
      </c>
      <c r="B122" s="239" t="s">
        <v>3165</v>
      </c>
      <c r="C122" s="240" t="s">
        <v>3166</v>
      </c>
      <c r="D122" s="239" t="s">
        <v>74</v>
      </c>
      <c r="E122" s="239" t="s">
        <v>2795</v>
      </c>
      <c r="F122" s="239" t="s">
        <v>2924</v>
      </c>
      <c r="G122" s="241"/>
      <c r="H122" s="241">
        <v>40</v>
      </c>
      <c r="I122" s="240" t="s">
        <v>3466</v>
      </c>
      <c r="J122" s="240"/>
      <c r="K122" s="240"/>
      <c r="L122" s="240"/>
      <c r="M122" s="240" t="s">
        <v>3172</v>
      </c>
      <c r="N122" s="240" t="s">
        <v>3467</v>
      </c>
      <c r="O122" s="240" t="s">
        <v>3468</v>
      </c>
      <c r="P122" s="240" t="s">
        <v>3469</v>
      </c>
      <c r="Q122" s="239" t="s">
        <v>2802</v>
      </c>
      <c r="R122" s="241">
        <v>1</v>
      </c>
      <c r="S122" s="240" t="s">
        <v>3470</v>
      </c>
      <c r="T122" s="242" t="s">
        <v>1198</v>
      </c>
      <c r="U122" s="239" t="s">
        <v>2935</v>
      </c>
      <c r="V122" s="242"/>
    </row>
    <row r="123" spans="1:22" s="244" customFormat="1" ht="30" customHeight="1">
      <c r="A123" s="239" t="s">
        <v>3164</v>
      </c>
      <c r="B123" s="239" t="s">
        <v>3165</v>
      </c>
      <c r="C123" s="240" t="s">
        <v>3166</v>
      </c>
      <c r="D123" s="239" t="s">
        <v>74</v>
      </c>
      <c r="E123" s="239" t="s">
        <v>2795</v>
      </c>
      <c r="F123" s="239" t="s">
        <v>2924</v>
      </c>
      <c r="G123" s="241"/>
      <c r="H123" s="241">
        <v>40</v>
      </c>
      <c r="I123" s="240" t="s">
        <v>3471</v>
      </c>
      <c r="J123" s="240"/>
      <c r="K123" s="240"/>
      <c r="L123" s="240"/>
      <c r="M123" s="240" t="s">
        <v>3172</v>
      </c>
      <c r="N123" s="240" t="s">
        <v>3472</v>
      </c>
      <c r="O123" s="240" t="s">
        <v>3473</v>
      </c>
      <c r="P123" s="240" t="s">
        <v>3474</v>
      </c>
      <c r="Q123" s="239" t="s">
        <v>2802</v>
      </c>
      <c r="R123" s="241">
        <v>1</v>
      </c>
      <c r="S123" s="240" t="s">
        <v>3475</v>
      </c>
      <c r="T123" s="242" t="s">
        <v>1198</v>
      </c>
      <c r="U123" s="239" t="s">
        <v>2935</v>
      </c>
      <c r="V123" s="242"/>
    </row>
    <row r="124" spans="1:22" s="244" customFormat="1" ht="30" customHeight="1">
      <c r="A124" s="239" t="s">
        <v>3164</v>
      </c>
      <c r="B124" s="239" t="s">
        <v>3165</v>
      </c>
      <c r="C124" s="240" t="s">
        <v>3166</v>
      </c>
      <c r="D124" s="239" t="s">
        <v>74</v>
      </c>
      <c r="E124" s="239" t="s">
        <v>2795</v>
      </c>
      <c r="F124" s="239" t="s">
        <v>2924</v>
      </c>
      <c r="G124" s="241"/>
      <c r="H124" s="241">
        <v>40</v>
      </c>
      <c r="I124" s="240" t="s">
        <v>3476</v>
      </c>
      <c r="J124" s="240"/>
      <c r="K124" s="240"/>
      <c r="L124" s="240"/>
      <c r="M124" s="240" t="s">
        <v>3172</v>
      </c>
      <c r="N124" s="240" t="s">
        <v>3477</v>
      </c>
      <c r="O124" s="240" t="s">
        <v>3478</v>
      </c>
      <c r="P124" s="240" t="s">
        <v>3479</v>
      </c>
      <c r="Q124" s="239" t="s">
        <v>2802</v>
      </c>
      <c r="R124" s="241">
        <v>1</v>
      </c>
      <c r="S124" s="240" t="s">
        <v>3480</v>
      </c>
      <c r="T124" s="242" t="s">
        <v>1198</v>
      </c>
      <c r="U124" s="239" t="s">
        <v>2935</v>
      </c>
      <c r="V124" s="242"/>
    </row>
    <row r="125" spans="1:22" s="244" customFormat="1" ht="30" customHeight="1">
      <c r="A125" s="239" t="s">
        <v>3164</v>
      </c>
      <c r="B125" s="239" t="s">
        <v>3165</v>
      </c>
      <c r="C125" s="240" t="s">
        <v>3166</v>
      </c>
      <c r="D125" s="239" t="s">
        <v>74</v>
      </c>
      <c r="E125" s="239" t="s">
        <v>2795</v>
      </c>
      <c r="F125" s="239" t="s">
        <v>2924</v>
      </c>
      <c r="G125" s="241"/>
      <c r="H125" s="241">
        <v>40</v>
      </c>
      <c r="I125" s="240" t="s">
        <v>3481</v>
      </c>
      <c r="J125" s="240"/>
      <c r="K125" s="240"/>
      <c r="L125" s="240"/>
      <c r="M125" s="240" t="s">
        <v>3172</v>
      </c>
      <c r="N125" s="240" t="s">
        <v>3482</v>
      </c>
      <c r="O125" s="240" t="s">
        <v>3483</v>
      </c>
      <c r="P125" s="240" t="s">
        <v>3484</v>
      </c>
      <c r="Q125" s="239" t="s">
        <v>2802</v>
      </c>
      <c r="R125" s="241">
        <v>1</v>
      </c>
      <c r="S125" s="240" t="s">
        <v>3485</v>
      </c>
      <c r="T125" s="242" t="s">
        <v>1198</v>
      </c>
      <c r="U125" s="239" t="s">
        <v>2935</v>
      </c>
      <c r="V125" s="242"/>
    </row>
    <row r="126" spans="1:22" s="244" customFormat="1" ht="30" customHeight="1">
      <c r="A126" s="239" t="s">
        <v>3164</v>
      </c>
      <c r="B126" s="239" t="s">
        <v>3165</v>
      </c>
      <c r="C126" s="240" t="s">
        <v>3166</v>
      </c>
      <c r="D126" s="239" t="s">
        <v>74</v>
      </c>
      <c r="E126" s="239" t="s">
        <v>2795</v>
      </c>
      <c r="F126" s="239" t="s">
        <v>2924</v>
      </c>
      <c r="G126" s="241"/>
      <c r="H126" s="241">
        <v>40</v>
      </c>
      <c r="I126" s="240" t="s">
        <v>3486</v>
      </c>
      <c r="J126" s="240"/>
      <c r="K126" s="240"/>
      <c r="L126" s="240"/>
      <c r="M126" s="240" t="s">
        <v>3172</v>
      </c>
      <c r="N126" s="240" t="s">
        <v>3487</v>
      </c>
      <c r="O126" s="240" t="s">
        <v>3488</v>
      </c>
      <c r="P126" s="240" t="s">
        <v>3489</v>
      </c>
      <c r="Q126" s="239" t="s">
        <v>2802</v>
      </c>
      <c r="R126" s="241">
        <v>1</v>
      </c>
      <c r="S126" s="240" t="s">
        <v>3490</v>
      </c>
      <c r="T126" s="242" t="s">
        <v>1198</v>
      </c>
      <c r="U126" s="239" t="s">
        <v>2935</v>
      </c>
      <c r="V126" s="242"/>
    </row>
    <row r="127" spans="1:22" s="244" customFormat="1" ht="30" customHeight="1">
      <c r="A127" s="239" t="s">
        <v>3164</v>
      </c>
      <c r="B127" s="239" t="s">
        <v>3165</v>
      </c>
      <c r="C127" s="240" t="s">
        <v>3166</v>
      </c>
      <c r="D127" s="239" t="s">
        <v>74</v>
      </c>
      <c r="E127" s="239" t="s">
        <v>2795</v>
      </c>
      <c r="F127" s="239" t="s">
        <v>2924</v>
      </c>
      <c r="G127" s="241"/>
      <c r="H127" s="241">
        <v>40</v>
      </c>
      <c r="I127" s="240" t="s">
        <v>3491</v>
      </c>
      <c r="J127" s="240"/>
      <c r="K127" s="240"/>
      <c r="L127" s="240"/>
      <c r="M127" s="240" t="s">
        <v>3172</v>
      </c>
      <c r="N127" s="240" t="s">
        <v>3492</v>
      </c>
      <c r="O127" s="240" t="s">
        <v>3493</v>
      </c>
      <c r="P127" s="240" t="s">
        <v>3494</v>
      </c>
      <c r="Q127" s="239" t="s">
        <v>2802</v>
      </c>
      <c r="R127" s="241">
        <v>1</v>
      </c>
      <c r="S127" s="240" t="s">
        <v>3495</v>
      </c>
      <c r="T127" s="242" t="s">
        <v>1198</v>
      </c>
      <c r="U127" s="239" t="s">
        <v>2935</v>
      </c>
      <c r="V127" s="242"/>
    </row>
    <row r="128" spans="1:22" s="244" customFormat="1" ht="30" customHeight="1">
      <c r="A128" s="239" t="s">
        <v>3164</v>
      </c>
      <c r="B128" s="239" t="s">
        <v>3165</v>
      </c>
      <c r="C128" s="240" t="s">
        <v>3166</v>
      </c>
      <c r="D128" s="239" t="s">
        <v>74</v>
      </c>
      <c r="E128" s="239" t="s">
        <v>2795</v>
      </c>
      <c r="F128" s="239" t="s">
        <v>2924</v>
      </c>
      <c r="G128" s="241"/>
      <c r="H128" s="241">
        <v>40</v>
      </c>
      <c r="I128" s="240" t="s">
        <v>3496</v>
      </c>
      <c r="J128" s="240"/>
      <c r="K128" s="240"/>
      <c r="L128" s="240"/>
      <c r="M128" s="240" t="s">
        <v>3497</v>
      </c>
      <c r="N128" s="240" t="s">
        <v>3498</v>
      </c>
      <c r="O128" s="240" t="s">
        <v>3499</v>
      </c>
      <c r="P128" s="240" t="s">
        <v>3500</v>
      </c>
      <c r="Q128" s="239" t="s">
        <v>2802</v>
      </c>
      <c r="R128" s="241">
        <v>1</v>
      </c>
      <c r="S128" s="240" t="s">
        <v>3501</v>
      </c>
      <c r="T128" s="242" t="s">
        <v>3502</v>
      </c>
      <c r="U128" s="239" t="s">
        <v>2935</v>
      </c>
      <c r="V128" s="242"/>
    </row>
    <row r="129" spans="1:22" s="249" customFormat="1" ht="30" customHeight="1">
      <c r="A129" s="239" t="s">
        <v>3164</v>
      </c>
      <c r="B129" s="239" t="s">
        <v>3165</v>
      </c>
      <c r="C129" s="240" t="s">
        <v>3166</v>
      </c>
      <c r="D129" s="239" t="s">
        <v>74</v>
      </c>
      <c r="E129" s="239" t="s">
        <v>2795</v>
      </c>
      <c r="F129" s="239" t="s">
        <v>2924</v>
      </c>
      <c r="G129" s="241"/>
      <c r="H129" s="241">
        <v>40</v>
      </c>
      <c r="I129" s="240" t="s">
        <v>3503</v>
      </c>
      <c r="J129" s="240"/>
      <c r="K129" s="240"/>
      <c r="L129" s="240"/>
      <c r="M129" s="240" t="s">
        <v>3504</v>
      </c>
      <c r="N129" s="240" t="s">
        <v>3505</v>
      </c>
      <c r="O129" s="240" t="s">
        <v>1198</v>
      </c>
      <c r="P129" s="240" t="s">
        <v>3506</v>
      </c>
      <c r="Q129" s="239" t="s">
        <v>2802</v>
      </c>
      <c r="R129" s="241">
        <v>1</v>
      </c>
      <c r="S129" s="240" t="s">
        <v>3507</v>
      </c>
      <c r="T129" s="242" t="s">
        <v>1198</v>
      </c>
      <c r="U129" s="239" t="s">
        <v>2935</v>
      </c>
      <c r="V129" s="242"/>
    </row>
    <row r="130" spans="1:22" s="249" customFormat="1" ht="30" customHeight="1">
      <c r="A130" s="239" t="s">
        <v>3164</v>
      </c>
      <c r="B130" s="239" t="s">
        <v>3165</v>
      </c>
      <c r="C130" s="240" t="s">
        <v>3166</v>
      </c>
      <c r="D130" s="239" t="s">
        <v>74</v>
      </c>
      <c r="E130" s="239"/>
      <c r="F130" s="239"/>
      <c r="G130" s="241"/>
      <c r="H130" s="241">
        <v>40</v>
      </c>
      <c r="I130" s="240" t="s">
        <v>3508</v>
      </c>
      <c r="J130" s="240"/>
      <c r="K130" s="240"/>
      <c r="L130" s="240"/>
      <c r="M130" s="240" t="s">
        <v>3509</v>
      </c>
      <c r="N130" s="240" t="s">
        <v>3510</v>
      </c>
      <c r="O130" s="240" t="s">
        <v>3511</v>
      </c>
      <c r="P130" s="240" t="s">
        <v>3512</v>
      </c>
      <c r="Q130" s="239" t="s">
        <v>2802</v>
      </c>
      <c r="R130" s="241"/>
      <c r="S130" s="240" t="s">
        <v>3513</v>
      </c>
      <c r="T130" s="242" t="s">
        <v>3514</v>
      </c>
      <c r="U130" s="239" t="s">
        <v>2823</v>
      </c>
      <c r="V130" s="250"/>
    </row>
    <row r="131" spans="1:22" ht="30" customHeight="1">
      <c r="A131" s="239" t="s">
        <v>3164</v>
      </c>
      <c r="B131" s="239" t="s">
        <v>3165</v>
      </c>
      <c r="C131" s="240" t="s">
        <v>3166</v>
      </c>
      <c r="D131" s="239" t="s">
        <v>74</v>
      </c>
      <c r="E131" s="239"/>
      <c r="F131" s="239"/>
      <c r="G131" s="241"/>
      <c r="H131" s="241">
        <v>40</v>
      </c>
      <c r="I131" s="240" t="s">
        <v>3515</v>
      </c>
      <c r="J131" s="240"/>
      <c r="K131" s="240"/>
      <c r="L131" s="240"/>
      <c r="M131" s="240" t="s">
        <v>3509</v>
      </c>
      <c r="N131" s="240" t="s">
        <v>3516</v>
      </c>
      <c r="O131" s="240" t="s">
        <v>3517</v>
      </c>
      <c r="P131" s="240" t="s">
        <v>3518</v>
      </c>
      <c r="Q131" s="239" t="s">
        <v>2802</v>
      </c>
      <c r="R131" s="241"/>
      <c r="S131" s="240" t="s">
        <v>3519</v>
      </c>
      <c r="T131" s="242" t="s">
        <v>3520</v>
      </c>
      <c r="U131" s="239" t="s">
        <v>2823</v>
      </c>
      <c r="V131" s="250"/>
    </row>
    <row r="132" spans="1:22" ht="30" customHeight="1">
      <c r="A132" s="239" t="s">
        <v>3164</v>
      </c>
      <c r="B132" s="239" t="s">
        <v>3165</v>
      </c>
      <c r="C132" s="240" t="s">
        <v>3166</v>
      </c>
      <c r="D132" s="239" t="s">
        <v>74</v>
      </c>
      <c r="E132" s="241"/>
      <c r="F132" s="239"/>
      <c r="G132" s="241"/>
      <c r="H132" s="241">
        <v>40</v>
      </c>
      <c r="I132" s="240" t="s">
        <v>3521</v>
      </c>
      <c r="J132" s="240"/>
      <c r="K132" s="240"/>
      <c r="L132" s="240"/>
      <c r="M132" s="240" t="s">
        <v>3509</v>
      </c>
      <c r="N132" s="240" t="s">
        <v>3522</v>
      </c>
      <c r="O132" s="240" t="s">
        <v>3523</v>
      </c>
      <c r="P132" s="240" t="s">
        <v>3524</v>
      </c>
      <c r="Q132" s="239" t="s">
        <v>2802</v>
      </c>
      <c r="R132" s="241"/>
      <c r="S132" s="240" t="s">
        <v>3525</v>
      </c>
      <c r="T132" s="242" t="s">
        <v>3526</v>
      </c>
      <c r="U132" s="239" t="s">
        <v>2823</v>
      </c>
      <c r="V132" s="251"/>
    </row>
    <row r="133" spans="1:22" ht="30" customHeight="1">
      <c r="A133" s="239" t="s">
        <v>3164</v>
      </c>
      <c r="B133" s="239" t="s">
        <v>3165</v>
      </c>
      <c r="C133" s="240" t="s">
        <v>3166</v>
      </c>
      <c r="D133" s="239" t="s">
        <v>74</v>
      </c>
      <c r="E133" s="241" t="s">
        <v>2795</v>
      </c>
      <c r="F133" s="239" t="s">
        <v>2924</v>
      </c>
      <c r="G133" s="241"/>
      <c r="H133" s="241">
        <v>40</v>
      </c>
      <c r="I133" s="240" t="s">
        <v>3527</v>
      </c>
      <c r="J133" s="240"/>
      <c r="K133" s="240"/>
      <c r="L133" s="240"/>
      <c r="M133" s="240" t="s">
        <v>3172</v>
      </c>
      <c r="N133" s="240" t="s">
        <v>3528</v>
      </c>
      <c r="O133" s="240" t="s">
        <v>3529</v>
      </c>
      <c r="P133" s="240" t="s">
        <v>3530</v>
      </c>
      <c r="Q133" s="239" t="s">
        <v>2802</v>
      </c>
      <c r="R133" s="241">
        <v>1</v>
      </c>
      <c r="S133" s="240" t="s">
        <v>3531</v>
      </c>
      <c r="T133" s="242" t="s">
        <v>1198</v>
      </c>
      <c r="U133" s="239" t="s">
        <v>2935</v>
      </c>
      <c r="V133" s="251"/>
    </row>
    <row r="134" spans="1:22" ht="30" customHeight="1">
      <c r="A134" s="239" t="s">
        <v>3164</v>
      </c>
      <c r="B134" s="239" t="s">
        <v>3165</v>
      </c>
      <c r="C134" s="240" t="s">
        <v>3166</v>
      </c>
      <c r="D134" s="239" t="s">
        <v>74</v>
      </c>
      <c r="E134" s="241" t="s">
        <v>2795</v>
      </c>
      <c r="F134" s="239" t="s">
        <v>2924</v>
      </c>
      <c r="G134" s="241"/>
      <c r="H134" s="241">
        <v>40</v>
      </c>
      <c r="I134" s="240" t="s">
        <v>3532</v>
      </c>
      <c r="J134" s="240"/>
      <c r="K134" s="240"/>
      <c r="L134" s="240"/>
      <c r="M134" s="240" t="s">
        <v>3172</v>
      </c>
      <c r="N134" s="240" t="s">
        <v>3533</v>
      </c>
      <c r="O134" s="240" t="s">
        <v>3534</v>
      </c>
      <c r="P134" s="240" t="s">
        <v>3535</v>
      </c>
      <c r="Q134" s="239" t="s">
        <v>2802</v>
      </c>
      <c r="R134" s="241">
        <v>1</v>
      </c>
      <c r="S134" s="240" t="s">
        <v>3536</v>
      </c>
      <c r="T134" s="242" t="s">
        <v>1198</v>
      </c>
      <c r="U134" s="239" t="s">
        <v>2935</v>
      </c>
      <c r="V134" s="251"/>
    </row>
    <row r="135" spans="1:22" ht="30" customHeight="1">
      <c r="A135" s="239" t="s">
        <v>3164</v>
      </c>
      <c r="B135" s="239" t="s">
        <v>3165</v>
      </c>
      <c r="C135" s="240" t="s">
        <v>3166</v>
      </c>
      <c r="D135" s="239" t="s">
        <v>74</v>
      </c>
      <c r="E135" s="241" t="s">
        <v>2795</v>
      </c>
      <c r="F135" s="239" t="s">
        <v>2924</v>
      </c>
      <c r="G135" s="241"/>
      <c r="H135" s="241">
        <v>40</v>
      </c>
      <c r="I135" s="240" t="s">
        <v>3537</v>
      </c>
      <c r="J135" s="240"/>
      <c r="K135" s="240"/>
      <c r="L135" s="240"/>
      <c r="M135" s="240" t="s">
        <v>3172</v>
      </c>
      <c r="N135" s="240" t="s">
        <v>3538</v>
      </c>
      <c r="O135" s="240" t="s">
        <v>3539</v>
      </c>
      <c r="P135" s="240" t="s">
        <v>3540</v>
      </c>
      <c r="Q135" s="239" t="s">
        <v>2802</v>
      </c>
      <c r="R135" s="241">
        <v>1</v>
      </c>
      <c r="S135" s="240" t="s">
        <v>3541</v>
      </c>
      <c r="T135" s="242" t="s">
        <v>1198</v>
      </c>
      <c r="U135" s="239" t="s">
        <v>2935</v>
      </c>
      <c r="V135" s="251"/>
    </row>
    <row r="136" spans="1:22" ht="30" customHeight="1">
      <c r="A136" s="239" t="s">
        <v>3164</v>
      </c>
      <c r="B136" s="239" t="s">
        <v>3165</v>
      </c>
      <c r="C136" s="240" t="s">
        <v>3166</v>
      </c>
      <c r="D136" s="239" t="s">
        <v>74</v>
      </c>
      <c r="E136" s="241" t="s">
        <v>2795</v>
      </c>
      <c r="F136" s="239" t="s">
        <v>2924</v>
      </c>
      <c r="G136" s="241"/>
      <c r="H136" s="241">
        <v>40</v>
      </c>
      <c r="I136" s="240" t="s">
        <v>3542</v>
      </c>
      <c r="J136" s="240"/>
      <c r="K136" s="240"/>
      <c r="L136" s="240"/>
      <c r="M136" s="240" t="s">
        <v>3172</v>
      </c>
      <c r="N136" s="240" t="s">
        <v>3543</v>
      </c>
      <c r="O136" s="240" t="s">
        <v>3544</v>
      </c>
      <c r="P136" s="240" t="s">
        <v>3545</v>
      </c>
      <c r="Q136" s="239" t="s">
        <v>2802</v>
      </c>
      <c r="R136" s="241">
        <v>1</v>
      </c>
      <c r="S136" s="240" t="s">
        <v>3546</v>
      </c>
      <c r="T136" s="242" t="s">
        <v>1198</v>
      </c>
      <c r="U136" s="239" t="s">
        <v>2935</v>
      </c>
      <c r="V136" s="251"/>
    </row>
    <row r="137" spans="1:22" ht="30" customHeight="1">
      <c r="A137" s="239" t="s">
        <v>3164</v>
      </c>
      <c r="B137" s="239" t="s">
        <v>3165</v>
      </c>
      <c r="C137" s="240" t="s">
        <v>3166</v>
      </c>
      <c r="D137" s="239" t="s">
        <v>74</v>
      </c>
      <c r="E137" s="241" t="s">
        <v>2795</v>
      </c>
      <c r="F137" s="239" t="s">
        <v>2924</v>
      </c>
      <c r="G137" s="241"/>
      <c r="H137" s="241">
        <v>40</v>
      </c>
      <c r="I137" s="240" t="s">
        <v>3547</v>
      </c>
      <c r="J137" s="240"/>
      <c r="K137" s="240"/>
      <c r="L137" s="240"/>
      <c r="M137" s="240" t="s">
        <v>3172</v>
      </c>
      <c r="N137" s="240" t="s">
        <v>3548</v>
      </c>
      <c r="O137" s="240" t="s">
        <v>3549</v>
      </c>
      <c r="P137" s="240" t="s">
        <v>3550</v>
      </c>
      <c r="Q137" s="239" t="s">
        <v>2802</v>
      </c>
      <c r="R137" s="241">
        <v>1</v>
      </c>
      <c r="S137" s="240" t="s">
        <v>3551</v>
      </c>
      <c r="T137" s="242" t="s">
        <v>1198</v>
      </c>
      <c r="U137" s="239" t="s">
        <v>2935</v>
      </c>
      <c r="V137" s="251"/>
    </row>
    <row r="138" spans="1:22" ht="30" customHeight="1">
      <c r="A138" s="239" t="s">
        <v>3164</v>
      </c>
      <c r="B138" s="239" t="s">
        <v>3165</v>
      </c>
      <c r="C138" s="240" t="s">
        <v>3166</v>
      </c>
      <c r="D138" s="239" t="s">
        <v>74</v>
      </c>
      <c r="E138" s="241" t="s">
        <v>2795</v>
      </c>
      <c r="F138" s="239" t="s">
        <v>2924</v>
      </c>
      <c r="G138" s="241"/>
      <c r="H138" s="241">
        <v>40</v>
      </c>
      <c r="I138" s="240" t="s">
        <v>3552</v>
      </c>
      <c r="J138" s="240"/>
      <c r="K138" s="240"/>
      <c r="L138" s="240"/>
      <c r="M138" s="240" t="s">
        <v>3172</v>
      </c>
      <c r="N138" s="240" t="s">
        <v>3553</v>
      </c>
      <c r="O138" s="240" t="s">
        <v>3554</v>
      </c>
      <c r="P138" s="240" t="s">
        <v>3555</v>
      </c>
      <c r="Q138" s="239" t="s">
        <v>2802</v>
      </c>
      <c r="R138" s="241">
        <v>1</v>
      </c>
      <c r="S138" s="240" t="s">
        <v>3556</v>
      </c>
      <c r="T138" s="242" t="s">
        <v>1198</v>
      </c>
      <c r="U138" s="239" t="s">
        <v>2935</v>
      </c>
      <c r="V138" s="251"/>
    </row>
    <row r="139" spans="1:22" ht="30" customHeight="1">
      <c r="A139" s="239" t="s">
        <v>3164</v>
      </c>
      <c r="B139" s="239" t="s">
        <v>3165</v>
      </c>
      <c r="C139" s="240" t="s">
        <v>3166</v>
      </c>
      <c r="D139" s="239" t="s">
        <v>74</v>
      </c>
      <c r="E139" s="241" t="s">
        <v>2795</v>
      </c>
      <c r="F139" s="239" t="s">
        <v>2924</v>
      </c>
      <c r="G139" s="241"/>
      <c r="H139" s="241">
        <v>40</v>
      </c>
      <c r="I139" s="240" t="s">
        <v>3557</v>
      </c>
      <c r="J139" s="240"/>
      <c r="K139" s="240"/>
      <c r="L139" s="240"/>
      <c r="M139" s="240" t="s">
        <v>3172</v>
      </c>
      <c r="N139" s="240" t="s">
        <v>3558</v>
      </c>
      <c r="O139" s="240" t="s">
        <v>3559</v>
      </c>
      <c r="P139" s="240" t="s">
        <v>3560</v>
      </c>
      <c r="Q139" s="239" t="s">
        <v>2802</v>
      </c>
      <c r="R139" s="241">
        <v>1</v>
      </c>
      <c r="S139" s="240" t="s">
        <v>3561</v>
      </c>
      <c r="T139" s="242" t="s">
        <v>1198</v>
      </c>
      <c r="U139" s="239" t="s">
        <v>2935</v>
      </c>
      <c r="V139" s="251"/>
    </row>
    <row r="140" spans="1:22" ht="30" customHeight="1">
      <c r="A140" s="239" t="s">
        <v>3164</v>
      </c>
      <c r="B140" s="239" t="s">
        <v>3165</v>
      </c>
      <c r="C140" s="240" t="s">
        <v>3166</v>
      </c>
      <c r="D140" s="239" t="s">
        <v>74</v>
      </c>
      <c r="E140" s="241" t="s">
        <v>2795</v>
      </c>
      <c r="F140" s="239" t="s">
        <v>2924</v>
      </c>
      <c r="G140" s="241"/>
      <c r="H140" s="241">
        <v>40</v>
      </c>
      <c r="I140" s="240" t="s">
        <v>3562</v>
      </c>
      <c r="J140" s="240"/>
      <c r="K140" s="240"/>
      <c r="L140" s="240"/>
      <c r="M140" s="240" t="s">
        <v>3172</v>
      </c>
      <c r="N140" s="240" t="s">
        <v>3563</v>
      </c>
      <c r="O140" s="240" t="s">
        <v>3564</v>
      </c>
      <c r="P140" s="240" t="s">
        <v>3565</v>
      </c>
      <c r="Q140" s="239" t="s">
        <v>2802</v>
      </c>
      <c r="R140" s="241">
        <v>1</v>
      </c>
      <c r="S140" s="240" t="s">
        <v>3566</v>
      </c>
      <c r="T140" s="242" t="s">
        <v>1198</v>
      </c>
      <c r="U140" s="239" t="s">
        <v>2935</v>
      </c>
      <c r="V140" s="251"/>
    </row>
    <row r="141" spans="1:22" ht="30" customHeight="1">
      <c r="A141" s="239" t="s">
        <v>3164</v>
      </c>
      <c r="B141" s="239" t="s">
        <v>3165</v>
      </c>
      <c r="C141" s="240" t="s">
        <v>3166</v>
      </c>
      <c r="D141" s="239" t="s">
        <v>74</v>
      </c>
      <c r="E141" s="241" t="s">
        <v>2795</v>
      </c>
      <c r="F141" s="239" t="s">
        <v>2924</v>
      </c>
      <c r="G141" s="241"/>
      <c r="H141" s="241">
        <v>40</v>
      </c>
      <c r="I141" s="240" t="s">
        <v>3567</v>
      </c>
      <c r="J141" s="240"/>
      <c r="K141" s="240"/>
      <c r="L141" s="240"/>
      <c r="M141" s="240" t="s">
        <v>3172</v>
      </c>
      <c r="N141" s="240" t="s">
        <v>3568</v>
      </c>
      <c r="O141" s="240" t="s">
        <v>3569</v>
      </c>
      <c r="P141" s="240" t="s">
        <v>3570</v>
      </c>
      <c r="Q141" s="239" t="s">
        <v>2802</v>
      </c>
      <c r="R141" s="241">
        <v>1</v>
      </c>
      <c r="S141" s="240" t="s">
        <v>3571</v>
      </c>
      <c r="T141" s="242" t="s">
        <v>1198</v>
      </c>
      <c r="U141" s="239" t="s">
        <v>2935</v>
      </c>
      <c r="V141" s="251"/>
    </row>
    <row r="142" spans="1:22" ht="30" customHeight="1">
      <c r="A142" s="239" t="s">
        <v>3164</v>
      </c>
      <c r="B142" s="239" t="s">
        <v>3165</v>
      </c>
      <c r="C142" s="240" t="s">
        <v>3166</v>
      </c>
      <c r="D142" s="239" t="s">
        <v>74</v>
      </c>
      <c r="E142" s="241" t="s">
        <v>2795</v>
      </c>
      <c r="F142" s="239" t="s">
        <v>2924</v>
      </c>
      <c r="G142" s="241"/>
      <c r="H142" s="241">
        <v>40</v>
      </c>
      <c r="I142" s="240" t="s">
        <v>3572</v>
      </c>
      <c r="J142" s="240"/>
      <c r="K142" s="240"/>
      <c r="L142" s="240"/>
      <c r="M142" s="240" t="s">
        <v>3172</v>
      </c>
      <c r="N142" s="240" t="s">
        <v>3573</v>
      </c>
      <c r="O142" s="240" t="s">
        <v>3574</v>
      </c>
      <c r="P142" s="240" t="s">
        <v>3575</v>
      </c>
      <c r="Q142" s="239" t="s">
        <v>2802</v>
      </c>
      <c r="R142" s="241">
        <v>1</v>
      </c>
      <c r="S142" s="240" t="s">
        <v>3576</v>
      </c>
      <c r="T142" s="242" t="s">
        <v>1198</v>
      </c>
      <c r="U142" s="239" t="s">
        <v>2935</v>
      </c>
      <c r="V142" s="251"/>
    </row>
    <row r="143" spans="1:22" ht="30" customHeight="1">
      <c r="A143" s="239" t="s">
        <v>3164</v>
      </c>
      <c r="B143" s="239" t="s">
        <v>3165</v>
      </c>
      <c r="C143" s="240" t="s">
        <v>3166</v>
      </c>
      <c r="D143" s="239" t="s">
        <v>74</v>
      </c>
      <c r="E143" s="241" t="s">
        <v>2795</v>
      </c>
      <c r="F143" s="239" t="s">
        <v>2924</v>
      </c>
      <c r="G143" s="241"/>
      <c r="H143" s="241">
        <v>40</v>
      </c>
      <c r="I143" s="240" t="s">
        <v>3577</v>
      </c>
      <c r="J143" s="240"/>
      <c r="K143" s="240"/>
      <c r="L143" s="240"/>
      <c r="M143" s="240" t="s">
        <v>3172</v>
      </c>
      <c r="N143" s="240" t="s">
        <v>3578</v>
      </c>
      <c r="O143" s="240" t="s">
        <v>3579</v>
      </c>
      <c r="P143" s="240" t="s">
        <v>3580</v>
      </c>
      <c r="Q143" s="239" t="s">
        <v>2802</v>
      </c>
      <c r="R143" s="241">
        <v>1</v>
      </c>
      <c r="S143" s="240" t="s">
        <v>3581</v>
      </c>
      <c r="T143" s="242" t="s">
        <v>1198</v>
      </c>
      <c r="U143" s="239" t="s">
        <v>2935</v>
      </c>
      <c r="V143" s="251"/>
    </row>
    <row r="144" spans="1:22" ht="30" customHeight="1">
      <c r="A144" s="239" t="s">
        <v>3164</v>
      </c>
      <c r="B144" s="239" t="s">
        <v>3165</v>
      </c>
      <c r="C144" s="240" t="s">
        <v>3166</v>
      </c>
      <c r="D144" s="239" t="s">
        <v>74</v>
      </c>
      <c r="E144" s="241" t="s">
        <v>2795</v>
      </c>
      <c r="F144" s="239" t="s">
        <v>2924</v>
      </c>
      <c r="G144" s="241"/>
      <c r="H144" s="241">
        <v>40</v>
      </c>
      <c r="I144" s="240" t="s">
        <v>3582</v>
      </c>
      <c r="J144" s="240"/>
      <c r="K144" s="240"/>
      <c r="L144" s="240"/>
      <c r="M144" s="240" t="s">
        <v>3172</v>
      </c>
      <c r="N144" s="240" t="s">
        <v>3583</v>
      </c>
      <c r="O144" s="240" t="s">
        <v>3584</v>
      </c>
      <c r="P144" s="240" t="s">
        <v>3585</v>
      </c>
      <c r="Q144" s="239" t="s">
        <v>2802</v>
      </c>
      <c r="R144" s="241">
        <v>1</v>
      </c>
      <c r="S144" s="240" t="s">
        <v>3586</v>
      </c>
      <c r="T144" s="242" t="s">
        <v>1198</v>
      </c>
      <c r="U144" s="239" t="s">
        <v>2935</v>
      </c>
      <c r="V144" s="251"/>
    </row>
    <row r="145" spans="1:22" ht="30" customHeight="1">
      <c r="A145" s="239" t="s">
        <v>3164</v>
      </c>
      <c r="B145" s="239" t="s">
        <v>3165</v>
      </c>
      <c r="C145" s="240" t="s">
        <v>3166</v>
      </c>
      <c r="D145" s="239" t="s">
        <v>74</v>
      </c>
      <c r="E145" s="241" t="s">
        <v>2795</v>
      </c>
      <c r="F145" s="239" t="s">
        <v>2924</v>
      </c>
      <c r="G145" s="241"/>
      <c r="H145" s="241">
        <v>40</v>
      </c>
      <c r="I145" s="240" t="s">
        <v>3587</v>
      </c>
      <c r="J145" s="240"/>
      <c r="K145" s="240"/>
      <c r="L145" s="240"/>
      <c r="M145" s="240" t="s">
        <v>3172</v>
      </c>
      <c r="N145" s="240" t="s">
        <v>3588</v>
      </c>
      <c r="O145" s="240" t="s">
        <v>3589</v>
      </c>
      <c r="P145" s="240" t="s">
        <v>3590</v>
      </c>
      <c r="Q145" s="239" t="s">
        <v>2802</v>
      </c>
      <c r="R145" s="241">
        <v>1</v>
      </c>
      <c r="S145" s="240" t="s">
        <v>3591</v>
      </c>
      <c r="T145" s="242" t="s">
        <v>1198</v>
      </c>
      <c r="U145" s="239" t="s">
        <v>2935</v>
      </c>
      <c r="V145" s="251"/>
    </row>
    <row r="146" spans="1:22" ht="30" customHeight="1">
      <c r="A146" s="239" t="s">
        <v>3164</v>
      </c>
      <c r="B146" s="239" t="s">
        <v>3165</v>
      </c>
      <c r="C146" s="240" t="s">
        <v>3166</v>
      </c>
      <c r="D146" s="239" t="s">
        <v>74</v>
      </c>
      <c r="E146" s="241" t="s">
        <v>2795</v>
      </c>
      <c r="F146" s="239" t="s">
        <v>2924</v>
      </c>
      <c r="G146" s="241"/>
      <c r="H146" s="241">
        <v>40</v>
      </c>
      <c r="I146" s="240" t="s">
        <v>3592</v>
      </c>
      <c r="J146" s="240"/>
      <c r="K146" s="240"/>
      <c r="L146" s="240"/>
      <c r="M146" s="240" t="s">
        <v>3333</v>
      </c>
      <c r="N146" s="240" t="s">
        <v>3593</v>
      </c>
      <c r="O146" s="240" t="s">
        <v>3594</v>
      </c>
      <c r="P146" s="240" t="s">
        <v>3595</v>
      </c>
      <c r="Q146" s="239" t="s">
        <v>2802</v>
      </c>
      <c r="R146" s="241">
        <v>1</v>
      </c>
      <c r="S146" s="240" t="s">
        <v>3596</v>
      </c>
      <c r="T146" s="242" t="s">
        <v>1198</v>
      </c>
      <c r="U146" s="239" t="s">
        <v>2935</v>
      </c>
      <c r="V146" s="251"/>
    </row>
    <row r="147" spans="1:22" ht="30" customHeight="1">
      <c r="A147" s="239" t="s">
        <v>3164</v>
      </c>
      <c r="B147" s="239" t="s">
        <v>3165</v>
      </c>
      <c r="C147" s="240" t="s">
        <v>3166</v>
      </c>
      <c r="D147" s="239" t="s">
        <v>74</v>
      </c>
      <c r="E147" s="241" t="s">
        <v>2795</v>
      </c>
      <c r="F147" s="239" t="s">
        <v>2924</v>
      </c>
      <c r="G147" s="241"/>
      <c r="H147" s="241">
        <v>40</v>
      </c>
      <c r="I147" s="240" t="s">
        <v>3597</v>
      </c>
      <c r="J147" s="240"/>
      <c r="K147" s="240"/>
      <c r="L147" s="240"/>
      <c r="M147" s="240" t="s">
        <v>3172</v>
      </c>
      <c r="N147" s="240" t="s">
        <v>3598</v>
      </c>
      <c r="O147" s="240" t="s">
        <v>3599</v>
      </c>
      <c r="P147" s="240" t="s">
        <v>3600</v>
      </c>
      <c r="Q147" s="239" t="s">
        <v>2802</v>
      </c>
      <c r="R147" s="241">
        <v>1</v>
      </c>
      <c r="S147" s="240" t="s">
        <v>3601</v>
      </c>
      <c r="T147" s="242" t="s">
        <v>1198</v>
      </c>
      <c r="U147" s="239" t="s">
        <v>2935</v>
      </c>
      <c r="V147" s="251"/>
    </row>
    <row r="148" spans="1:22" ht="30" customHeight="1">
      <c r="A148" s="239" t="s">
        <v>3164</v>
      </c>
      <c r="B148" s="239" t="s">
        <v>3165</v>
      </c>
      <c r="C148" s="240" t="s">
        <v>3166</v>
      </c>
      <c r="D148" s="239" t="s">
        <v>74</v>
      </c>
      <c r="E148" s="241" t="s">
        <v>2795</v>
      </c>
      <c r="F148" s="239" t="s">
        <v>2924</v>
      </c>
      <c r="G148" s="241"/>
      <c r="H148" s="241">
        <v>40</v>
      </c>
      <c r="I148" s="240" t="s">
        <v>3602</v>
      </c>
      <c r="J148" s="240"/>
      <c r="K148" s="240"/>
      <c r="L148" s="240"/>
      <c r="M148" s="240" t="s">
        <v>3172</v>
      </c>
      <c r="N148" s="240" t="s">
        <v>3603</v>
      </c>
      <c r="O148" s="240" t="s">
        <v>3604</v>
      </c>
      <c r="P148" s="240" t="s">
        <v>3605</v>
      </c>
      <c r="Q148" s="239" t="s">
        <v>2802</v>
      </c>
      <c r="R148" s="241">
        <v>1</v>
      </c>
      <c r="S148" s="240" t="s">
        <v>3606</v>
      </c>
      <c r="T148" s="242" t="s">
        <v>1198</v>
      </c>
      <c r="U148" s="239" t="s">
        <v>2935</v>
      </c>
      <c r="V148" s="251"/>
    </row>
    <row r="149" spans="1:22" ht="30" customHeight="1">
      <c r="A149" s="239" t="s">
        <v>3164</v>
      </c>
      <c r="B149" s="239" t="s">
        <v>3165</v>
      </c>
      <c r="C149" s="240" t="s">
        <v>3166</v>
      </c>
      <c r="D149" s="239" t="s">
        <v>74</v>
      </c>
      <c r="E149" s="241" t="s">
        <v>2795</v>
      </c>
      <c r="F149" s="239" t="s">
        <v>2924</v>
      </c>
      <c r="G149" s="241"/>
      <c r="H149" s="241">
        <v>40</v>
      </c>
      <c r="I149" s="240" t="s">
        <v>3607</v>
      </c>
      <c r="J149" s="240"/>
      <c r="K149" s="240"/>
      <c r="L149" s="240"/>
      <c r="M149" s="240" t="s">
        <v>3172</v>
      </c>
      <c r="N149" s="240" t="s">
        <v>3608</v>
      </c>
      <c r="O149" s="240" t="s">
        <v>3609</v>
      </c>
      <c r="P149" s="240" t="s">
        <v>3610</v>
      </c>
      <c r="Q149" s="239" t="s">
        <v>2802</v>
      </c>
      <c r="R149" s="241">
        <v>1</v>
      </c>
      <c r="S149" s="240" t="s">
        <v>3611</v>
      </c>
      <c r="T149" s="242" t="s">
        <v>1198</v>
      </c>
      <c r="U149" s="239" t="s">
        <v>2935</v>
      </c>
      <c r="V149" s="251"/>
    </row>
    <row r="150" spans="1:22" ht="30" customHeight="1">
      <c r="A150" s="239" t="s">
        <v>3164</v>
      </c>
      <c r="B150" s="239" t="s">
        <v>3165</v>
      </c>
      <c r="C150" s="240" t="s">
        <v>3166</v>
      </c>
      <c r="D150" s="239" t="s">
        <v>74</v>
      </c>
      <c r="E150" s="241" t="s">
        <v>2795</v>
      </c>
      <c r="F150" s="239" t="s">
        <v>2924</v>
      </c>
      <c r="G150" s="241"/>
      <c r="H150" s="241">
        <v>40</v>
      </c>
      <c r="I150" s="240" t="s">
        <v>3612</v>
      </c>
      <c r="J150" s="240"/>
      <c r="K150" s="240"/>
      <c r="L150" s="240"/>
      <c r="M150" s="240" t="s">
        <v>3172</v>
      </c>
      <c r="N150" s="240" t="s">
        <v>3613</v>
      </c>
      <c r="O150" s="240" t="s">
        <v>3614</v>
      </c>
      <c r="P150" s="240" t="s">
        <v>3615</v>
      </c>
      <c r="Q150" s="239" t="s">
        <v>2802</v>
      </c>
      <c r="R150" s="241">
        <v>1</v>
      </c>
      <c r="S150" s="240" t="s">
        <v>3616</v>
      </c>
      <c r="T150" s="242" t="s">
        <v>1198</v>
      </c>
      <c r="U150" s="239" t="s">
        <v>2935</v>
      </c>
      <c r="V150" s="251"/>
    </row>
    <row r="151" spans="1:22" ht="30" customHeight="1">
      <c r="A151" s="239" t="s">
        <v>3164</v>
      </c>
      <c r="B151" s="239" t="s">
        <v>3165</v>
      </c>
      <c r="C151" s="240" t="s">
        <v>3166</v>
      </c>
      <c r="D151" s="239" t="s">
        <v>74</v>
      </c>
      <c r="E151" s="241" t="s">
        <v>2795</v>
      </c>
      <c r="F151" s="239" t="s">
        <v>2924</v>
      </c>
      <c r="G151" s="241"/>
      <c r="H151" s="241">
        <v>40</v>
      </c>
      <c r="I151" s="240" t="s">
        <v>3617</v>
      </c>
      <c r="J151" s="240"/>
      <c r="K151" s="240"/>
      <c r="L151" s="240"/>
      <c r="M151" s="240" t="s">
        <v>3172</v>
      </c>
      <c r="N151" s="240" t="s">
        <v>3618</v>
      </c>
      <c r="O151" s="240" t="s">
        <v>3619</v>
      </c>
      <c r="P151" s="240" t="s">
        <v>3620</v>
      </c>
      <c r="Q151" s="239" t="s">
        <v>2802</v>
      </c>
      <c r="R151" s="241">
        <v>1</v>
      </c>
      <c r="S151" s="240" t="s">
        <v>3621</v>
      </c>
      <c r="T151" s="242" t="s">
        <v>1198</v>
      </c>
      <c r="U151" s="239" t="s">
        <v>2935</v>
      </c>
      <c r="V151" s="251"/>
    </row>
    <row r="152" spans="1:22" ht="30" customHeight="1">
      <c r="A152" s="239" t="s">
        <v>3164</v>
      </c>
      <c r="B152" s="239" t="s">
        <v>3165</v>
      </c>
      <c r="C152" s="240" t="s">
        <v>3166</v>
      </c>
      <c r="D152" s="239" t="s">
        <v>74</v>
      </c>
      <c r="E152" s="241" t="s">
        <v>2795</v>
      </c>
      <c r="F152" s="239" t="s">
        <v>2924</v>
      </c>
      <c r="G152" s="241"/>
      <c r="H152" s="241">
        <v>40</v>
      </c>
      <c r="I152" s="240" t="s">
        <v>3622</v>
      </c>
      <c r="J152" s="240"/>
      <c r="K152" s="240"/>
      <c r="L152" s="240"/>
      <c r="M152" s="240" t="s">
        <v>3172</v>
      </c>
      <c r="N152" s="240" t="s">
        <v>3623</v>
      </c>
      <c r="O152" s="240" t="s">
        <v>3624</v>
      </c>
      <c r="P152" s="240" t="s">
        <v>3625</v>
      </c>
      <c r="Q152" s="239" t="s">
        <v>2802</v>
      </c>
      <c r="R152" s="241">
        <v>1</v>
      </c>
      <c r="S152" s="240" t="s">
        <v>3626</v>
      </c>
      <c r="T152" s="242" t="s">
        <v>1198</v>
      </c>
      <c r="U152" s="239" t="s">
        <v>2935</v>
      </c>
      <c r="V152" s="251"/>
    </row>
    <row r="153" spans="1:22" ht="30" customHeight="1">
      <c r="A153" s="239" t="s">
        <v>3164</v>
      </c>
      <c r="B153" s="239" t="s">
        <v>3165</v>
      </c>
      <c r="C153" s="240" t="s">
        <v>3166</v>
      </c>
      <c r="D153" s="239" t="s">
        <v>74</v>
      </c>
      <c r="E153" s="241" t="s">
        <v>2795</v>
      </c>
      <c r="F153" s="239" t="s">
        <v>2924</v>
      </c>
      <c r="G153" s="241"/>
      <c r="H153" s="241">
        <v>40</v>
      </c>
      <c r="I153" s="240" t="s">
        <v>3627</v>
      </c>
      <c r="J153" s="240"/>
      <c r="K153" s="240"/>
      <c r="L153" s="240"/>
      <c r="M153" s="240" t="s">
        <v>3172</v>
      </c>
      <c r="N153" s="240" t="s">
        <v>3628</v>
      </c>
      <c r="O153" s="240" t="s">
        <v>3629</v>
      </c>
      <c r="P153" s="240" t="s">
        <v>3630</v>
      </c>
      <c r="Q153" s="239" t="s">
        <v>2802</v>
      </c>
      <c r="R153" s="241">
        <v>1</v>
      </c>
      <c r="S153" s="240" t="s">
        <v>3631</v>
      </c>
      <c r="T153" s="242" t="s">
        <v>1198</v>
      </c>
      <c r="U153" s="239" t="s">
        <v>2935</v>
      </c>
      <c r="V153" s="251"/>
    </row>
    <row r="154" spans="1:22" ht="30" customHeight="1">
      <c r="A154" s="239" t="s">
        <v>3164</v>
      </c>
      <c r="B154" s="239" t="s">
        <v>3165</v>
      </c>
      <c r="C154" s="240" t="s">
        <v>3166</v>
      </c>
      <c r="D154" s="239" t="s">
        <v>74</v>
      </c>
      <c r="E154" s="241" t="s">
        <v>2795</v>
      </c>
      <c r="F154" s="239" t="s">
        <v>2924</v>
      </c>
      <c r="G154" s="241"/>
      <c r="H154" s="241">
        <v>40</v>
      </c>
      <c r="I154" s="240" t="s">
        <v>3632</v>
      </c>
      <c r="J154" s="240"/>
      <c r="K154" s="240"/>
      <c r="L154" s="240"/>
      <c r="M154" s="240" t="s">
        <v>3172</v>
      </c>
      <c r="N154" s="240" t="s">
        <v>3633</v>
      </c>
      <c r="O154" s="240" t="s">
        <v>3634</v>
      </c>
      <c r="P154" s="240" t="s">
        <v>3635</v>
      </c>
      <c r="Q154" s="239" t="s">
        <v>2802</v>
      </c>
      <c r="R154" s="241">
        <v>1</v>
      </c>
      <c r="S154" s="240" t="s">
        <v>3636</v>
      </c>
      <c r="T154" s="242" t="s">
        <v>1198</v>
      </c>
      <c r="U154" s="239" t="s">
        <v>2935</v>
      </c>
      <c r="V154" s="251"/>
    </row>
    <row r="155" spans="1:22" ht="30" customHeight="1">
      <c r="A155" s="239" t="s">
        <v>3164</v>
      </c>
      <c r="B155" s="239" t="s">
        <v>3165</v>
      </c>
      <c r="C155" s="240" t="s">
        <v>3166</v>
      </c>
      <c r="D155" s="239" t="s">
        <v>74</v>
      </c>
      <c r="E155" s="241" t="s">
        <v>2795</v>
      </c>
      <c r="F155" s="239" t="s">
        <v>2924</v>
      </c>
      <c r="G155" s="241"/>
      <c r="H155" s="241">
        <v>40</v>
      </c>
      <c r="I155" s="240" t="s">
        <v>3637</v>
      </c>
      <c r="J155" s="240"/>
      <c r="K155" s="240"/>
      <c r="L155" s="240"/>
      <c r="M155" s="240" t="s">
        <v>3172</v>
      </c>
      <c r="N155" s="240" t="s">
        <v>3638</v>
      </c>
      <c r="O155" s="240" t="s">
        <v>3639</v>
      </c>
      <c r="P155" s="240" t="s">
        <v>3640</v>
      </c>
      <c r="Q155" s="239" t="s">
        <v>2802</v>
      </c>
      <c r="R155" s="241">
        <v>1</v>
      </c>
      <c r="S155" s="240" t="s">
        <v>3641</v>
      </c>
      <c r="T155" s="242" t="s">
        <v>1198</v>
      </c>
      <c r="U155" s="239" t="s">
        <v>2935</v>
      </c>
      <c r="V155" s="251"/>
    </row>
    <row r="156" spans="1:22" ht="30" customHeight="1">
      <c r="A156" s="239" t="s">
        <v>3164</v>
      </c>
      <c r="B156" s="239" t="s">
        <v>3165</v>
      </c>
      <c r="C156" s="240" t="s">
        <v>3166</v>
      </c>
      <c r="D156" s="239" t="s">
        <v>74</v>
      </c>
      <c r="E156" s="241" t="s">
        <v>2795</v>
      </c>
      <c r="F156" s="239" t="s">
        <v>2924</v>
      </c>
      <c r="G156" s="241"/>
      <c r="H156" s="241">
        <v>40</v>
      </c>
      <c r="I156" s="240" t="s">
        <v>3642</v>
      </c>
      <c r="J156" s="240"/>
      <c r="K156" s="240"/>
      <c r="L156" s="240"/>
      <c r="M156" s="240" t="s">
        <v>3172</v>
      </c>
      <c r="N156" s="240" t="s">
        <v>3643</v>
      </c>
      <c r="O156" s="240" t="s">
        <v>3644</v>
      </c>
      <c r="P156" s="240" t="s">
        <v>3645</v>
      </c>
      <c r="Q156" s="239" t="s">
        <v>2802</v>
      </c>
      <c r="R156" s="241">
        <v>1</v>
      </c>
      <c r="S156" s="240" t="s">
        <v>3646</v>
      </c>
      <c r="T156" s="242" t="s">
        <v>1198</v>
      </c>
      <c r="U156" s="239" t="s">
        <v>2935</v>
      </c>
      <c r="V156" s="251"/>
    </row>
    <row r="157" spans="1:22" ht="30" customHeight="1">
      <c r="A157" s="239" t="s">
        <v>3164</v>
      </c>
      <c r="B157" s="239" t="s">
        <v>3165</v>
      </c>
      <c r="C157" s="240" t="s">
        <v>3166</v>
      </c>
      <c r="D157" s="239" t="s">
        <v>74</v>
      </c>
      <c r="E157" s="241" t="s">
        <v>2795</v>
      </c>
      <c r="F157" s="239" t="s">
        <v>2924</v>
      </c>
      <c r="G157" s="241"/>
      <c r="H157" s="241">
        <v>40</v>
      </c>
      <c r="I157" s="240" t="s">
        <v>3647</v>
      </c>
      <c r="J157" s="240"/>
      <c r="K157" s="240"/>
      <c r="L157" s="240"/>
      <c r="M157" s="240" t="s">
        <v>3172</v>
      </c>
      <c r="N157" s="240" t="s">
        <v>3648</v>
      </c>
      <c r="O157" s="240" t="s">
        <v>3649</v>
      </c>
      <c r="P157" s="240" t="s">
        <v>3650</v>
      </c>
      <c r="Q157" s="239" t="s">
        <v>2802</v>
      </c>
      <c r="R157" s="241">
        <v>1</v>
      </c>
      <c r="S157" s="240" t="s">
        <v>3651</v>
      </c>
      <c r="T157" s="242" t="s">
        <v>1198</v>
      </c>
      <c r="U157" s="239" t="s">
        <v>2935</v>
      </c>
      <c r="V157" s="251"/>
    </row>
    <row r="158" spans="1:22" ht="30" customHeight="1">
      <c r="A158" s="239" t="s">
        <v>3164</v>
      </c>
      <c r="B158" s="239" t="s">
        <v>3165</v>
      </c>
      <c r="C158" s="240" t="s">
        <v>3166</v>
      </c>
      <c r="D158" s="239" t="s">
        <v>74</v>
      </c>
      <c r="E158" s="241" t="s">
        <v>2795</v>
      </c>
      <c r="F158" s="239" t="s">
        <v>2924</v>
      </c>
      <c r="G158" s="241"/>
      <c r="H158" s="241">
        <v>40</v>
      </c>
      <c r="I158" s="240" t="s">
        <v>3652</v>
      </c>
      <c r="J158" s="240"/>
      <c r="K158" s="240"/>
      <c r="L158" s="240"/>
      <c r="M158" s="240" t="s">
        <v>3172</v>
      </c>
      <c r="N158" s="240" t="s">
        <v>3653</v>
      </c>
      <c r="O158" s="240" t="s">
        <v>3654</v>
      </c>
      <c r="P158" s="240" t="s">
        <v>3655</v>
      </c>
      <c r="Q158" s="239" t="s">
        <v>2802</v>
      </c>
      <c r="R158" s="241">
        <v>1</v>
      </c>
      <c r="S158" s="240" t="s">
        <v>3656</v>
      </c>
      <c r="T158" s="242" t="s">
        <v>1198</v>
      </c>
      <c r="U158" s="239" t="s">
        <v>2935</v>
      </c>
      <c r="V158" s="251"/>
    </row>
    <row r="159" spans="1:22" ht="30" customHeight="1">
      <c r="A159" s="239" t="s">
        <v>3164</v>
      </c>
      <c r="B159" s="239" t="s">
        <v>3165</v>
      </c>
      <c r="C159" s="240" t="s">
        <v>3166</v>
      </c>
      <c r="D159" s="239" t="s">
        <v>74</v>
      </c>
      <c r="E159" s="241" t="s">
        <v>2795</v>
      </c>
      <c r="F159" s="239" t="s">
        <v>2924</v>
      </c>
      <c r="G159" s="241"/>
      <c r="H159" s="241">
        <v>40</v>
      </c>
      <c r="I159" s="240" t="s">
        <v>3657</v>
      </c>
      <c r="J159" s="240"/>
      <c r="K159" s="240"/>
      <c r="L159" s="240"/>
      <c r="M159" s="240" t="s">
        <v>3172</v>
      </c>
      <c r="N159" s="240" t="s">
        <v>3658</v>
      </c>
      <c r="O159" s="240" t="s">
        <v>3659</v>
      </c>
      <c r="P159" s="240" t="s">
        <v>3660</v>
      </c>
      <c r="Q159" s="239" t="s">
        <v>2802</v>
      </c>
      <c r="R159" s="241">
        <v>1</v>
      </c>
      <c r="S159" s="240" t="s">
        <v>3661</v>
      </c>
      <c r="T159" s="242" t="s">
        <v>1198</v>
      </c>
      <c r="U159" s="239" t="s">
        <v>2935</v>
      </c>
      <c r="V159" s="251"/>
    </row>
    <row r="160" spans="1:22" ht="30" customHeight="1">
      <c r="A160" s="239" t="s">
        <v>3164</v>
      </c>
      <c r="B160" s="239" t="s">
        <v>3165</v>
      </c>
      <c r="C160" s="240" t="s">
        <v>3166</v>
      </c>
      <c r="D160" s="239" t="s">
        <v>74</v>
      </c>
      <c r="E160" s="241" t="s">
        <v>2795</v>
      </c>
      <c r="F160" s="239" t="s">
        <v>2924</v>
      </c>
      <c r="G160" s="241"/>
      <c r="H160" s="241">
        <v>40</v>
      </c>
      <c r="I160" s="240" t="s">
        <v>3662</v>
      </c>
      <c r="J160" s="240"/>
      <c r="K160" s="240"/>
      <c r="L160" s="240"/>
      <c r="M160" s="240" t="s">
        <v>3172</v>
      </c>
      <c r="N160" s="240" t="s">
        <v>3663</v>
      </c>
      <c r="O160" s="240" t="s">
        <v>3664</v>
      </c>
      <c r="P160" s="240" t="s">
        <v>3665</v>
      </c>
      <c r="Q160" s="239" t="s">
        <v>2802</v>
      </c>
      <c r="R160" s="241">
        <v>1</v>
      </c>
      <c r="S160" s="240" t="s">
        <v>3666</v>
      </c>
      <c r="T160" s="242" t="s">
        <v>1198</v>
      </c>
      <c r="U160" s="239" t="s">
        <v>2935</v>
      </c>
      <c r="V160" s="251"/>
    </row>
    <row r="161" spans="1:22" ht="30" customHeight="1">
      <c r="A161" s="239" t="s">
        <v>3164</v>
      </c>
      <c r="B161" s="239" t="s">
        <v>3165</v>
      </c>
      <c r="C161" s="240" t="s">
        <v>3166</v>
      </c>
      <c r="D161" s="239" t="s">
        <v>74</v>
      </c>
      <c r="E161" s="241" t="s">
        <v>2795</v>
      </c>
      <c r="F161" s="239" t="s">
        <v>2924</v>
      </c>
      <c r="G161" s="241"/>
      <c r="H161" s="241">
        <v>40</v>
      </c>
      <c r="I161" s="240" t="s">
        <v>3667</v>
      </c>
      <c r="J161" s="240"/>
      <c r="K161" s="240"/>
      <c r="L161" s="240"/>
      <c r="M161" s="240" t="s">
        <v>3172</v>
      </c>
      <c r="N161" s="240" t="s">
        <v>3668</v>
      </c>
      <c r="O161" s="240" t="s">
        <v>3669</v>
      </c>
      <c r="P161" s="240" t="s">
        <v>3670</v>
      </c>
      <c r="Q161" s="239" t="s">
        <v>2802</v>
      </c>
      <c r="R161" s="241">
        <v>1</v>
      </c>
      <c r="S161" s="240" t="s">
        <v>3671</v>
      </c>
      <c r="T161" s="242" t="s">
        <v>1198</v>
      </c>
      <c r="U161" s="239" t="s">
        <v>2935</v>
      </c>
      <c r="V161" s="251"/>
    </row>
    <row r="162" spans="1:22" ht="30" customHeight="1">
      <c r="A162" s="239" t="s">
        <v>3164</v>
      </c>
      <c r="B162" s="239" t="s">
        <v>3165</v>
      </c>
      <c r="C162" s="240" t="s">
        <v>3166</v>
      </c>
      <c r="D162" s="239" t="s">
        <v>74</v>
      </c>
      <c r="E162" s="241" t="s">
        <v>2795</v>
      </c>
      <c r="F162" s="239" t="s">
        <v>2924</v>
      </c>
      <c r="G162" s="241"/>
      <c r="H162" s="241">
        <v>40</v>
      </c>
      <c r="I162" s="240" t="s">
        <v>3672</v>
      </c>
      <c r="J162" s="240"/>
      <c r="K162" s="240"/>
      <c r="L162" s="240"/>
      <c r="M162" s="240" t="s">
        <v>3172</v>
      </c>
      <c r="N162" s="240" t="s">
        <v>3673</v>
      </c>
      <c r="O162" s="240" t="s">
        <v>3674</v>
      </c>
      <c r="P162" s="240" t="s">
        <v>3675</v>
      </c>
      <c r="Q162" s="239" t="s">
        <v>2802</v>
      </c>
      <c r="R162" s="241">
        <v>1</v>
      </c>
      <c r="S162" s="240" t="s">
        <v>3676</v>
      </c>
      <c r="T162" s="242" t="s">
        <v>1198</v>
      </c>
      <c r="U162" s="239" t="s">
        <v>2935</v>
      </c>
      <c r="V162" s="251"/>
    </row>
    <row r="163" spans="1:22" ht="30" customHeight="1">
      <c r="A163" s="239" t="s">
        <v>3164</v>
      </c>
      <c r="B163" s="239" t="s">
        <v>3165</v>
      </c>
      <c r="C163" s="240" t="s">
        <v>3166</v>
      </c>
      <c r="D163" s="239" t="s">
        <v>74</v>
      </c>
      <c r="E163" s="241" t="s">
        <v>2795</v>
      </c>
      <c r="F163" s="239" t="s">
        <v>2924</v>
      </c>
      <c r="G163" s="241"/>
      <c r="H163" s="241">
        <v>40</v>
      </c>
      <c r="I163" s="240" t="s">
        <v>3677</v>
      </c>
      <c r="J163" s="240"/>
      <c r="K163" s="240"/>
      <c r="L163" s="240"/>
      <c r="M163" s="240" t="s">
        <v>3172</v>
      </c>
      <c r="N163" s="240" t="s">
        <v>3678</v>
      </c>
      <c r="O163" s="240" t="s">
        <v>3679</v>
      </c>
      <c r="P163" s="240" t="s">
        <v>3680</v>
      </c>
      <c r="Q163" s="239" t="s">
        <v>2802</v>
      </c>
      <c r="R163" s="241">
        <v>1</v>
      </c>
      <c r="S163" s="240" t="s">
        <v>3681</v>
      </c>
      <c r="T163" s="242" t="s">
        <v>1198</v>
      </c>
      <c r="U163" s="239" t="s">
        <v>2935</v>
      </c>
      <c r="V163" s="251"/>
    </row>
    <row r="164" spans="1:22" ht="30" customHeight="1">
      <c r="A164" s="239" t="s">
        <v>3164</v>
      </c>
      <c r="B164" s="239" t="s">
        <v>3165</v>
      </c>
      <c r="C164" s="240" t="s">
        <v>3166</v>
      </c>
      <c r="D164" s="239" t="s">
        <v>74</v>
      </c>
      <c r="E164" s="241" t="s">
        <v>2795</v>
      </c>
      <c r="F164" s="239" t="s">
        <v>2924</v>
      </c>
      <c r="G164" s="241"/>
      <c r="H164" s="241">
        <v>40</v>
      </c>
      <c r="I164" s="240" t="s">
        <v>3682</v>
      </c>
      <c r="J164" s="240"/>
      <c r="K164" s="240"/>
      <c r="L164" s="240"/>
      <c r="M164" s="240" t="s">
        <v>3172</v>
      </c>
      <c r="N164" s="240" t="s">
        <v>3683</v>
      </c>
      <c r="O164" s="240" t="s">
        <v>3684</v>
      </c>
      <c r="P164" s="240" t="s">
        <v>3685</v>
      </c>
      <c r="Q164" s="239" t="s">
        <v>2802</v>
      </c>
      <c r="R164" s="241">
        <v>1</v>
      </c>
      <c r="S164" s="240" t="s">
        <v>3686</v>
      </c>
      <c r="T164" s="242" t="s">
        <v>1198</v>
      </c>
      <c r="U164" s="239" t="s">
        <v>2935</v>
      </c>
      <c r="V164" s="251"/>
    </row>
    <row r="165" spans="1:22" ht="30" customHeight="1">
      <c r="A165" s="239" t="s">
        <v>3164</v>
      </c>
      <c r="B165" s="239" t="s">
        <v>3165</v>
      </c>
      <c r="C165" s="240" t="s">
        <v>3166</v>
      </c>
      <c r="D165" s="239" t="s">
        <v>74</v>
      </c>
      <c r="E165" s="241" t="s">
        <v>2795</v>
      </c>
      <c r="F165" s="239" t="s">
        <v>2924</v>
      </c>
      <c r="G165" s="241"/>
      <c r="H165" s="241">
        <v>40</v>
      </c>
      <c r="I165" s="240" t="s">
        <v>3687</v>
      </c>
      <c r="J165" s="240"/>
      <c r="K165" s="240"/>
      <c r="L165" s="240"/>
      <c r="M165" s="240" t="s">
        <v>3172</v>
      </c>
      <c r="N165" s="240" t="s">
        <v>3688</v>
      </c>
      <c r="O165" s="240" t="s">
        <v>3689</v>
      </c>
      <c r="P165" s="240" t="s">
        <v>3690</v>
      </c>
      <c r="Q165" s="239" t="s">
        <v>2802</v>
      </c>
      <c r="R165" s="241">
        <v>1</v>
      </c>
      <c r="S165" s="240" t="s">
        <v>3691</v>
      </c>
      <c r="T165" s="242" t="s">
        <v>1198</v>
      </c>
      <c r="U165" s="239" t="s">
        <v>2935</v>
      </c>
      <c r="V165" s="251"/>
    </row>
    <row r="166" spans="1:22" ht="30" customHeight="1">
      <c r="A166" s="239" t="s">
        <v>3164</v>
      </c>
      <c r="B166" s="239" t="s">
        <v>3165</v>
      </c>
      <c r="C166" s="240" t="s">
        <v>3166</v>
      </c>
      <c r="D166" s="239" t="s">
        <v>74</v>
      </c>
      <c r="E166" s="241" t="s">
        <v>2795</v>
      </c>
      <c r="F166" s="239" t="s">
        <v>2924</v>
      </c>
      <c r="G166" s="241"/>
      <c r="H166" s="241">
        <v>40</v>
      </c>
      <c r="I166" s="240" t="s">
        <v>3692</v>
      </c>
      <c r="J166" s="240"/>
      <c r="K166" s="240"/>
      <c r="L166" s="240"/>
      <c r="M166" s="240" t="s">
        <v>3172</v>
      </c>
      <c r="N166" s="240" t="s">
        <v>3693</v>
      </c>
      <c r="O166" s="240" t="s">
        <v>3694</v>
      </c>
      <c r="P166" s="240" t="s">
        <v>3695</v>
      </c>
      <c r="Q166" s="239" t="s">
        <v>2802</v>
      </c>
      <c r="R166" s="241">
        <v>1</v>
      </c>
      <c r="S166" s="240" t="s">
        <v>3696</v>
      </c>
      <c r="T166" s="242" t="s">
        <v>1198</v>
      </c>
      <c r="U166" s="239" t="s">
        <v>2935</v>
      </c>
      <c r="V166" s="251"/>
    </row>
    <row r="167" spans="1:22" ht="30" customHeight="1">
      <c r="A167" s="239" t="s">
        <v>3164</v>
      </c>
      <c r="B167" s="239" t="s">
        <v>3165</v>
      </c>
      <c r="C167" s="240" t="s">
        <v>3166</v>
      </c>
      <c r="D167" s="239" t="s">
        <v>74</v>
      </c>
      <c r="E167" s="241" t="s">
        <v>2795</v>
      </c>
      <c r="F167" s="239" t="s">
        <v>2924</v>
      </c>
      <c r="G167" s="241"/>
      <c r="H167" s="241">
        <v>40</v>
      </c>
      <c r="I167" s="240" t="s">
        <v>3697</v>
      </c>
      <c r="J167" s="240"/>
      <c r="K167" s="240"/>
      <c r="L167" s="240"/>
      <c r="M167" s="240" t="s">
        <v>3172</v>
      </c>
      <c r="N167" s="240" t="s">
        <v>3698</v>
      </c>
      <c r="O167" s="240" t="s">
        <v>3699</v>
      </c>
      <c r="P167" s="240" t="s">
        <v>3700</v>
      </c>
      <c r="Q167" s="239" t="s">
        <v>2802</v>
      </c>
      <c r="R167" s="241">
        <v>1</v>
      </c>
      <c r="S167" s="240" t="s">
        <v>3701</v>
      </c>
      <c r="T167" s="242" t="s">
        <v>1198</v>
      </c>
      <c r="U167" s="239" t="s">
        <v>2935</v>
      </c>
      <c r="V167" s="251"/>
    </row>
    <row r="168" spans="1:22" ht="30" customHeight="1">
      <c r="A168" s="239" t="s">
        <v>3164</v>
      </c>
      <c r="B168" s="239" t="s">
        <v>3165</v>
      </c>
      <c r="C168" s="240" t="s">
        <v>3166</v>
      </c>
      <c r="D168" s="239" t="s">
        <v>74</v>
      </c>
      <c r="E168" s="241" t="s">
        <v>2795</v>
      </c>
      <c r="F168" s="239" t="s">
        <v>2924</v>
      </c>
      <c r="G168" s="241"/>
      <c r="H168" s="241">
        <v>40</v>
      </c>
      <c r="I168" s="240" t="s">
        <v>3702</v>
      </c>
      <c r="J168" s="240"/>
      <c r="K168" s="240"/>
      <c r="L168" s="240"/>
      <c r="M168" s="240" t="s">
        <v>3172</v>
      </c>
      <c r="N168" s="240" t="s">
        <v>3703</v>
      </c>
      <c r="O168" s="240" t="s">
        <v>3704</v>
      </c>
      <c r="P168" s="240" t="s">
        <v>3705</v>
      </c>
      <c r="Q168" s="239" t="s">
        <v>2802</v>
      </c>
      <c r="R168" s="241">
        <v>1</v>
      </c>
      <c r="S168" s="240" t="s">
        <v>3706</v>
      </c>
      <c r="T168" s="242" t="s">
        <v>1198</v>
      </c>
      <c r="U168" s="239" t="s">
        <v>2935</v>
      </c>
      <c r="V168" s="251"/>
    </row>
    <row r="169" spans="1:22" ht="30" customHeight="1">
      <c r="A169" s="239" t="s">
        <v>3164</v>
      </c>
      <c r="B169" s="239" t="s">
        <v>3165</v>
      </c>
      <c r="C169" s="240" t="s">
        <v>3166</v>
      </c>
      <c r="D169" s="239" t="s">
        <v>74</v>
      </c>
      <c r="E169" s="241" t="s">
        <v>2795</v>
      </c>
      <c r="F169" s="239" t="s">
        <v>2924</v>
      </c>
      <c r="G169" s="241"/>
      <c r="H169" s="241">
        <v>40</v>
      </c>
      <c r="I169" s="240" t="s">
        <v>3707</v>
      </c>
      <c r="J169" s="240"/>
      <c r="K169" s="240"/>
      <c r="L169" s="240"/>
      <c r="M169" s="240" t="s">
        <v>3172</v>
      </c>
      <c r="N169" s="240" t="s">
        <v>3708</v>
      </c>
      <c r="O169" s="240" t="s">
        <v>3709</v>
      </c>
      <c r="P169" s="240" t="s">
        <v>3710</v>
      </c>
      <c r="Q169" s="239" t="s">
        <v>2802</v>
      </c>
      <c r="R169" s="241">
        <v>1</v>
      </c>
      <c r="S169" s="240" t="s">
        <v>3711</v>
      </c>
      <c r="T169" s="242" t="s">
        <v>1198</v>
      </c>
      <c r="U169" s="239" t="s">
        <v>2935</v>
      </c>
      <c r="V169" s="251"/>
    </row>
    <row r="170" spans="1:22" ht="30" customHeight="1">
      <c r="A170" s="239" t="s">
        <v>3164</v>
      </c>
      <c r="B170" s="239" t="s">
        <v>3165</v>
      </c>
      <c r="C170" s="240" t="s">
        <v>3166</v>
      </c>
      <c r="D170" s="239" t="s">
        <v>74</v>
      </c>
      <c r="E170" s="241" t="s">
        <v>2795</v>
      </c>
      <c r="F170" s="239" t="s">
        <v>2924</v>
      </c>
      <c r="G170" s="241"/>
      <c r="H170" s="241">
        <v>40</v>
      </c>
      <c r="I170" s="240" t="s">
        <v>3712</v>
      </c>
      <c r="J170" s="240"/>
      <c r="K170" s="240"/>
      <c r="L170" s="240"/>
      <c r="M170" s="240" t="s">
        <v>3172</v>
      </c>
      <c r="N170" s="240" t="s">
        <v>3713</v>
      </c>
      <c r="O170" s="240" t="s">
        <v>3714</v>
      </c>
      <c r="P170" s="240" t="s">
        <v>3715</v>
      </c>
      <c r="Q170" s="239" t="s">
        <v>2802</v>
      </c>
      <c r="R170" s="241">
        <v>1</v>
      </c>
      <c r="S170" s="240" t="s">
        <v>3716</v>
      </c>
      <c r="T170" s="242" t="s">
        <v>1198</v>
      </c>
      <c r="U170" s="239" t="s">
        <v>2935</v>
      </c>
      <c r="V170" s="251"/>
    </row>
    <row r="171" spans="1:22" ht="30" customHeight="1">
      <c r="A171" s="239" t="s">
        <v>3164</v>
      </c>
      <c r="B171" s="239" t="s">
        <v>3165</v>
      </c>
      <c r="C171" s="240" t="s">
        <v>3166</v>
      </c>
      <c r="D171" s="239" t="s">
        <v>74</v>
      </c>
      <c r="E171" s="241" t="s">
        <v>2795</v>
      </c>
      <c r="F171" s="239" t="s">
        <v>2924</v>
      </c>
      <c r="G171" s="241"/>
      <c r="H171" s="241">
        <v>40</v>
      </c>
      <c r="I171" s="240" t="s">
        <v>3717</v>
      </c>
      <c r="J171" s="240"/>
      <c r="K171" s="240"/>
      <c r="L171" s="240"/>
      <c r="M171" s="240" t="s">
        <v>3172</v>
      </c>
      <c r="N171" s="240" t="s">
        <v>3718</v>
      </c>
      <c r="O171" s="240" t="s">
        <v>3719</v>
      </c>
      <c r="P171" s="240" t="s">
        <v>3720</v>
      </c>
      <c r="Q171" s="239" t="s">
        <v>2802</v>
      </c>
      <c r="R171" s="241">
        <v>1</v>
      </c>
      <c r="S171" s="240" t="s">
        <v>3721</v>
      </c>
      <c r="T171" s="242" t="s">
        <v>1198</v>
      </c>
      <c r="U171" s="239" t="s">
        <v>2935</v>
      </c>
      <c r="V171" s="251"/>
    </row>
    <row r="172" spans="1:22" ht="30" customHeight="1">
      <c r="A172" s="239" t="s">
        <v>3164</v>
      </c>
      <c r="B172" s="239" t="s">
        <v>3165</v>
      </c>
      <c r="C172" s="240" t="s">
        <v>3166</v>
      </c>
      <c r="D172" s="239" t="s">
        <v>74</v>
      </c>
      <c r="E172" s="241" t="s">
        <v>2795</v>
      </c>
      <c r="F172" s="239" t="s">
        <v>2924</v>
      </c>
      <c r="G172" s="241"/>
      <c r="H172" s="241">
        <v>40</v>
      </c>
      <c r="I172" s="240" t="s">
        <v>3722</v>
      </c>
      <c r="J172" s="240"/>
      <c r="K172" s="240"/>
      <c r="L172" s="240"/>
      <c r="M172" s="240" t="s">
        <v>3172</v>
      </c>
      <c r="N172" s="240" t="s">
        <v>3723</v>
      </c>
      <c r="O172" s="240" t="s">
        <v>3724</v>
      </c>
      <c r="P172" s="240" t="s">
        <v>3725</v>
      </c>
      <c r="Q172" s="239" t="s">
        <v>2802</v>
      </c>
      <c r="R172" s="241">
        <v>1</v>
      </c>
      <c r="S172" s="240" t="s">
        <v>3726</v>
      </c>
      <c r="T172" s="242" t="s">
        <v>1198</v>
      </c>
      <c r="U172" s="239" t="s">
        <v>2935</v>
      </c>
      <c r="V172" s="251"/>
    </row>
    <row r="173" spans="1:22" ht="30" customHeight="1">
      <c r="A173" s="239" t="s">
        <v>3164</v>
      </c>
      <c r="B173" s="239" t="s">
        <v>3165</v>
      </c>
      <c r="C173" s="240" t="s">
        <v>3166</v>
      </c>
      <c r="D173" s="239" t="s">
        <v>74</v>
      </c>
      <c r="E173" s="241" t="s">
        <v>2795</v>
      </c>
      <c r="F173" s="239" t="s">
        <v>2924</v>
      </c>
      <c r="G173" s="241"/>
      <c r="H173" s="241">
        <v>40</v>
      </c>
      <c r="I173" s="240" t="s">
        <v>3727</v>
      </c>
      <c r="J173" s="240"/>
      <c r="K173" s="240"/>
      <c r="L173" s="240"/>
      <c r="M173" s="240" t="s">
        <v>3172</v>
      </c>
      <c r="N173" s="240" t="s">
        <v>3728</v>
      </c>
      <c r="O173" s="240" t="s">
        <v>3729</v>
      </c>
      <c r="P173" s="240" t="s">
        <v>3730</v>
      </c>
      <c r="Q173" s="239" t="s">
        <v>2802</v>
      </c>
      <c r="R173" s="241">
        <v>1</v>
      </c>
      <c r="S173" s="240" t="s">
        <v>3731</v>
      </c>
      <c r="T173" s="242" t="s">
        <v>1198</v>
      </c>
      <c r="U173" s="239" t="s">
        <v>2935</v>
      </c>
      <c r="V173" s="251"/>
    </row>
    <row r="174" spans="1:22" ht="30" customHeight="1">
      <c r="A174" s="239" t="s">
        <v>3164</v>
      </c>
      <c r="B174" s="239" t="s">
        <v>3165</v>
      </c>
      <c r="C174" s="240" t="s">
        <v>3166</v>
      </c>
      <c r="D174" s="239" t="s">
        <v>74</v>
      </c>
      <c r="E174" s="241" t="s">
        <v>2795</v>
      </c>
      <c r="F174" s="239" t="s">
        <v>2924</v>
      </c>
      <c r="G174" s="241"/>
      <c r="H174" s="241">
        <v>40</v>
      </c>
      <c r="I174" s="240" t="s">
        <v>3732</v>
      </c>
      <c r="J174" s="240"/>
      <c r="K174" s="240"/>
      <c r="L174" s="240"/>
      <c r="M174" s="240" t="s">
        <v>3172</v>
      </c>
      <c r="N174" s="240" t="s">
        <v>3733</v>
      </c>
      <c r="O174" s="240" t="s">
        <v>3734</v>
      </c>
      <c r="P174" s="240" t="s">
        <v>3735</v>
      </c>
      <c r="Q174" s="239" t="s">
        <v>2802</v>
      </c>
      <c r="R174" s="241">
        <v>1</v>
      </c>
      <c r="S174" s="240" t="s">
        <v>3736</v>
      </c>
      <c r="T174" s="242" t="s">
        <v>1198</v>
      </c>
      <c r="U174" s="239" t="s">
        <v>2935</v>
      </c>
      <c r="V174" s="251"/>
    </row>
    <row r="175" spans="1:22" ht="30" customHeight="1">
      <c r="A175" s="239" t="s">
        <v>3164</v>
      </c>
      <c r="B175" s="239" t="s">
        <v>3165</v>
      </c>
      <c r="C175" s="240" t="s">
        <v>3166</v>
      </c>
      <c r="D175" s="239" t="s">
        <v>74</v>
      </c>
      <c r="E175" s="241" t="s">
        <v>2795</v>
      </c>
      <c r="F175" s="239" t="s">
        <v>2924</v>
      </c>
      <c r="G175" s="241"/>
      <c r="H175" s="241">
        <v>40</v>
      </c>
      <c r="I175" s="240" t="s">
        <v>3737</v>
      </c>
      <c r="J175" s="240"/>
      <c r="K175" s="240"/>
      <c r="L175" s="240"/>
      <c r="M175" s="240" t="s">
        <v>3172</v>
      </c>
      <c r="N175" s="240" t="s">
        <v>3738</v>
      </c>
      <c r="O175" s="240" t="s">
        <v>3739</v>
      </c>
      <c r="P175" s="240" t="s">
        <v>3740</v>
      </c>
      <c r="Q175" s="239" t="s">
        <v>2802</v>
      </c>
      <c r="R175" s="241">
        <v>1</v>
      </c>
      <c r="S175" s="240" t="s">
        <v>3741</v>
      </c>
      <c r="T175" s="242" t="s">
        <v>1198</v>
      </c>
      <c r="U175" s="239" t="s">
        <v>2935</v>
      </c>
      <c r="V175" s="251"/>
    </row>
    <row r="176" spans="1:22" ht="30" customHeight="1">
      <c r="A176" s="239" t="s">
        <v>3164</v>
      </c>
      <c r="B176" s="239" t="s">
        <v>3165</v>
      </c>
      <c r="C176" s="240" t="s">
        <v>3166</v>
      </c>
      <c r="D176" s="239" t="s">
        <v>74</v>
      </c>
      <c r="E176" s="241" t="s">
        <v>2795</v>
      </c>
      <c r="F176" s="239" t="s">
        <v>2924</v>
      </c>
      <c r="G176" s="241"/>
      <c r="H176" s="241">
        <v>40</v>
      </c>
      <c r="I176" s="240" t="s">
        <v>3742</v>
      </c>
      <c r="J176" s="240"/>
      <c r="K176" s="240"/>
      <c r="L176" s="240"/>
      <c r="M176" s="240" t="s">
        <v>3172</v>
      </c>
      <c r="N176" s="240" t="s">
        <v>3743</v>
      </c>
      <c r="O176" s="240" t="s">
        <v>3744</v>
      </c>
      <c r="P176" s="240" t="s">
        <v>3745</v>
      </c>
      <c r="Q176" s="239" t="s">
        <v>2802</v>
      </c>
      <c r="R176" s="241">
        <v>1</v>
      </c>
      <c r="S176" s="240" t="s">
        <v>3746</v>
      </c>
      <c r="T176" s="242" t="s">
        <v>1198</v>
      </c>
      <c r="U176" s="239" t="s">
        <v>2935</v>
      </c>
      <c r="V176" s="251"/>
    </row>
    <row r="177" spans="1:22" ht="30" customHeight="1">
      <c r="A177" s="239" t="s">
        <v>3164</v>
      </c>
      <c r="B177" s="239" t="s">
        <v>3165</v>
      </c>
      <c r="C177" s="240" t="s">
        <v>3166</v>
      </c>
      <c r="D177" s="239" t="s">
        <v>74</v>
      </c>
      <c r="E177" s="241" t="s">
        <v>2795</v>
      </c>
      <c r="F177" s="239" t="s">
        <v>2924</v>
      </c>
      <c r="G177" s="241"/>
      <c r="H177" s="241">
        <v>40</v>
      </c>
      <c r="I177" s="240" t="s">
        <v>3747</v>
      </c>
      <c r="J177" s="240"/>
      <c r="K177" s="240"/>
      <c r="L177" s="240"/>
      <c r="M177" s="240" t="s">
        <v>3172</v>
      </c>
      <c r="N177" s="240" t="s">
        <v>3748</v>
      </c>
      <c r="O177" s="240" t="s">
        <v>3749</v>
      </c>
      <c r="P177" s="240" t="s">
        <v>3750</v>
      </c>
      <c r="Q177" s="239" t="s">
        <v>2802</v>
      </c>
      <c r="R177" s="241">
        <v>1</v>
      </c>
      <c r="S177" s="240" t="s">
        <v>3751</v>
      </c>
      <c r="T177" s="242" t="s">
        <v>1198</v>
      </c>
      <c r="U177" s="239" t="s">
        <v>2935</v>
      </c>
      <c r="V177" s="251"/>
    </row>
    <row r="178" spans="1:22" ht="30" customHeight="1">
      <c r="A178" s="239" t="s">
        <v>3164</v>
      </c>
      <c r="B178" s="239" t="s">
        <v>3165</v>
      </c>
      <c r="C178" s="240" t="s">
        <v>3166</v>
      </c>
      <c r="D178" s="239" t="s">
        <v>74</v>
      </c>
      <c r="E178" s="241" t="s">
        <v>2795</v>
      </c>
      <c r="F178" s="239" t="s">
        <v>2924</v>
      </c>
      <c r="G178" s="241"/>
      <c r="H178" s="241">
        <v>40</v>
      </c>
      <c r="I178" s="240" t="s">
        <v>3752</v>
      </c>
      <c r="J178" s="240"/>
      <c r="K178" s="240"/>
      <c r="L178" s="240"/>
      <c r="M178" s="240" t="s">
        <v>3172</v>
      </c>
      <c r="N178" s="240" t="s">
        <v>3753</v>
      </c>
      <c r="O178" s="240" t="s">
        <v>3754</v>
      </c>
      <c r="P178" s="240" t="s">
        <v>3755</v>
      </c>
      <c r="Q178" s="239" t="s">
        <v>2802</v>
      </c>
      <c r="R178" s="241">
        <v>1</v>
      </c>
      <c r="S178" s="240" t="s">
        <v>3756</v>
      </c>
      <c r="T178" s="242" t="s">
        <v>1198</v>
      </c>
      <c r="U178" s="239" t="s">
        <v>2935</v>
      </c>
      <c r="V178" s="251"/>
    </row>
    <row r="179" spans="1:22" ht="30" customHeight="1">
      <c r="A179" s="239" t="s">
        <v>3164</v>
      </c>
      <c r="B179" s="239" t="s">
        <v>3165</v>
      </c>
      <c r="C179" s="240" t="s">
        <v>3166</v>
      </c>
      <c r="D179" s="239" t="s">
        <v>74</v>
      </c>
      <c r="E179" s="241" t="s">
        <v>2795</v>
      </c>
      <c r="F179" s="239" t="s">
        <v>2924</v>
      </c>
      <c r="G179" s="241"/>
      <c r="H179" s="241">
        <v>40</v>
      </c>
      <c r="I179" s="240" t="s">
        <v>3757</v>
      </c>
      <c r="J179" s="240"/>
      <c r="K179" s="240"/>
      <c r="L179" s="240"/>
      <c r="M179" s="240" t="s">
        <v>3172</v>
      </c>
      <c r="N179" s="240" t="s">
        <v>3758</v>
      </c>
      <c r="O179" s="240" t="s">
        <v>3759</v>
      </c>
      <c r="P179" s="240" t="s">
        <v>3760</v>
      </c>
      <c r="Q179" s="239" t="s">
        <v>2802</v>
      </c>
      <c r="R179" s="241">
        <v>1</v>
      </c>
      <c r="S179" s="240" t="s">
        <v>3761</v>
      </c>
      <c r="T179" s="242" t="s">
        <v>1198</v>
      </c>
      <c r="U179" s="239" t="s">
        <v>2935</v>
      </c>
      <c r="V179" s="251"/>
    </row>
    <row r="180" spans="1:22" ht="30" customHeight="1">
      <c r="A180" s="239" t="s">
        <v>3164</v>
      </c>
      <c r="B180" s="239" t="s">
        <v>3165</v>
      </c>
      <c r="C180" s="240" t="s">
        <v>3166</v>
      </c>
      <c r="D180" s="239" t="s">
        <v>74</v>
      </c>
      <c r="E180" s="241" t="s">
        <v>2795</v>
      </c>
      <c r="F180" s="239" t="s">
        <v>2924</v>
      </c>
      <c r="G180" s="241"/>
      <c r="H180" s="241">
        <v>40</v>
      </c>
      <c r="I180" s="240" t="s">
        <v>3762</v>
      </c>
      <c r="J180" s="240"/>
      <c r="K180" s="240"/>
      <c r="L180" s="240"/>
      <c r="M180" s="240" t="s">
        <v>3172</v>
      </c>
      <c r="N180" s="240" t="s">
        <v>3763</v>
      </c>
      <c r="O180" s="240" t="s">
        <v>3764</v>
      </c>
      <c r="P180" s="240" t="s">
        <v>3765</v>
      </c>
      <c r="Q180" s="239" t="s">
        <v>2802</v>
      </c>
      <c r="R180" s="241">
        <v>1</v>
      </c>
      <c r="S180" s="240" t="s">
        <v>3766</v>
      </c>
      <c r="T180" s="242" t="s">
        <v>1198</v>
      </c>
      <c r="U180" s="239" t="s">
        <v>2935</v>
      </c>
      <c r="V180" s="251"/>
    </row>
    <row r="181" spans="1:22" ht="30" customHeight="1">
      <c r="A181" s="239" t="s">
        <v>3164</v>
      </c>
      <c r="B181" s="239" t="s">
        <v>3165</v>
      </c>
      <c r="C181" s="240" t="s">
        <v>3166</v>
      </c>
      <c r="D181" s="239" t="s">
        <v>74</v>
      </c>
      <c r="E181" s="241" t="s">
        <v>2795</v>
      </c>
      <c r="F181" s="239" t="s">
        <v>2924</v>
      </c>
      <c r="G181" s="241"/>
      <c r="H181" s="241">
        <v>40</v>
      </c>
      <c r="I181" s="240" t="s">
        <v>3767</v>
      </c>
      <c r="J181" s="240"/>
      <c r="K181" s="240"/>
      <c r="L181" s="240"/>
      <c r="M181" s="240" t="s">
        <v>3172</v>
      </c>
      <c r="N181" s="240" t="s">
        <v>3768</v>
      </c>
      <c r="O181" s="240" t="s">
        <v>3769</v>
      </c>
      <c r="P181" s="240" t="s">
        <v>3770</v>
      </c>
      <c r="Q181" s="239" t="s">
        <v>2802</v>
      </c>
      <c r="R181" s="241">
        <v>1</v>
      </c>
      <c r="S181" s="240" t="s">
        <v>3771</v>
      </c>
      <c r="T181" s="242" t="s">
        <v>1198</v>
      </c>
      <c r="U181" s="239" t="s">
        <v>2935</v>
      </c>
      <c r="V181" s="251"/>
    </row>
    <row r="182" spans="1:22" ht="30" customHeight="1">
      <c r="A182" s="239" t="s">
        <v>3164</v>
      </c>
      <c r="B182" s="239" t="s">
        <v>3165</v>
      </c>
      <c r="C182" s="240" t="s">
        <v>3166</v>
      </c>
      <c r="D182" s="239" t="s">
        <v>74</v>
      </c>
      <c r="E182" s="241" t="s">
        <v>2795</v>
      </c>
      <c r="F182" s="239" t="s">
        <v>2924</v>
      </c>
      <c r="G182" s="241"/>
      <c r="H182" s="241">
        <v>40</v>
      </c>
      <c r="I182" s="240" t="s">
        <v>3772</v>
      </c>
      <c r="J182" s="240"/>
      <c r="K182" s="240"/>
      <c r="L182" s="240"/>
      <c r="M182" s="240" t="s">
        <v>3172</v>
      </c>
      <c r="N182" s="240" t="s">
        <v>3773</v>
      </c>
      <c r="O182" s="240" t="s">
        <v>3774</v>
      </c>
      <c r="P182" s="240" t="s">
        <v>3775</v>
      </c>
      <c r="Q182" s="239" t="s">
        <v>2802</v>
      </c>
      <c r="R182" s="241">
        <v>1</v>
      </c>
      <c r="S182" s="240" t="s">
        <v>3776</v>
      </c>
      <c r="T182" s="242" t="s">
        <v>1198</v>
      </c>
      <c r="U182" s="239" t="s">
        <v>2935</v>
      </c>
      <c r="V182" s="251"/>
    </row>
    <row r="183" spans="1:22" ht="30" customHeight="1">
      <c r="A183" s="239" t="s">
        <v>3164</v>
      </c>
      <c r="B183" s="239" t="s">
        <v>3165</v>
      </c>
      <c r="C183" s="240" t="s">
        <v>3166</v>
      </c>
      <c r="D183" s="239" t="s">
        <v>74</v>
      </c>
      <c r="E183" s="241" t="s">
        <v>2795</v>
      </c>
      <c r="F183" s="239" t="s">
        <v>2924</v>
      </c>
      <c r="G183" s="241"/>
      <c r="H183" s="241">
        <v>40</v>
      </c>
      <c r="I183" s="240" t="s">
        <v>3777</v>
      </c>
      <c r="J183" s="240"/>
      <c r="K183" s="240"/>
      <c r="L183" s="240"/>
      <c r="M183" s="240" t="s">
        <v>3172</v>
      </c>
      <c r="N183" s="240" t="s">
        <v>3778</v>
      </c>
      <c r="O183" s="240" t="s">
        <v>3779</v>
      </c>
      <c r="P183" s="240" t="s">
        <v>3780</v>
      </c>
      <c r="Q183" s="239" t="s">
        <v>2802</v>
      </c>
      <c r="R183" s="241">
        <v>1</v>
      </c>
      <c r="S183" s="240" t="s">
        <v>3781</v>
      </c>
      <c r="T183" s="242" t="s">
        <v>1198</v>
      </c>
      <c r="U183" s="239" t="s">
        <v>2935</v>
      </c>
      <c r="V183" s="251"/>
    </row>
    <row r="184" spans="1:22" ht="30" customHeight="1">
      <c r="A184" s="239" t="s">
        <v>3164</v>
      </c>
      <c r="B184" s="239" t="s">
        <v>3165</v>
      </c>
      <c r="C184" s="240" t="s">
        <v>3166</v>
      </c>
      <c r="D184" s="239" t="s">
        <v>74</v>
      </c>
      <c r="E184" s="241" t="s">
        <v>2795</v>
      </c>
      <c r="F184" s="239" t="s">
        <v>2924</v>
      </c>
      <c r="G184" s="241"/>
      <c r="H184" s="241">
        <v>40</v>
      </c>
      <c r="I184" s="240" t="s">
        <v>3782</v>
      </c>
      <c r="J184" s="240"/>
      <c r="K184" s="240"/>
      <c r="L184" s="240"/>
      <c r="M184" s="240" t="s">
        <v>3172</v>
      </c>
      <c r="N184" s="240" t="s">
        <v>3783</v>
      </c>
      <c r="O184" s="240" t="s">
        <v>3784</v>
      </c>
      <c r="P184" s="240" t="s">
        <v>3785</v>
      </c>
      <c r="Q184" s="239" t="s">
        <v>2802</v>
      </c>
      <c r="R184" s="241">
        <v>1</v>
      </c>
      <c r="S184" s="240" t="s">
        <v>3786</v>
      </c>
      <c r="T184" s="242" t="s">
        <v>1198</v>
      </c>
      <c r="U184" s="239" t="s">
        <v>2935</v>
      </c>
      <c r="V184" s="251"/>
    </row>
    <row r="185" spans="1:22" ht="30" customHeight="1">
      <c r="A185" s="239" t="s">
        <v>3164</v>
      </c>
      <c r="B185" s="239" t="s">
        <v>3165</v>
      </c>
      <c r="C185" s="240" t="s">
        <v>3166</v>
      </c>
      <c r="D185" s="239" t="s">
        <v>74</v>
      </c>
      <c r="E185" s="241" t="s">
        <v>2795</v>
      </c>
      <c r="F185" s="239" t="s">
        <v>2924</v>
      </c>
      <c r="G185" s="241"/>
      <c r="H185" s="241">
        <v>40</v>
      </c>
      <c r="I185" s="240" t="s">
        <v>3787</v>
      </c>
      <c r="J185" s="240"/>
      <c r="K185" s="240"/>
      <c r="L185" s="240"/>
      <c r="M185" s="240" t="s">
        <v>3172</v>
      </c>
      <c r="N185" s="240" t="s">
        <v>3788</v>
      </c>
      <c r="O185" s="240" t="s">
        <v>3789</v>
      </c>
      <c r="P185" s="240" t="s">
        <v>3790</v>
      </c>
      <c r="Q185" s="239" t="s">
        <v>2802</v>
      </c>
      <c r="R185" s="241">
        <v>1</v>
      </c>
      <c r="S185" s="240" t="s">
        <v>3791</v>
      </c>
      <c r="T185" s="242" t="s">
        <v>1198</v>
      </c>
      <c r="U185" s="239" t="s">
        <v>2935</v>
      </c>
      <c r="V185" s="251"/>
    </row>
    <row r="186" spans="1:22" ht="30" customHeight="1">
      <c r="A186" s="239" t="s">
        <v>3164</v>
      </c>
      <c r="B186" s="239" t="s">
        <v>3165</v>
      </c>
      <c r="C186" s="240" t="s">
        <v>3166</v>
      </c>
      <c r="D186" s="239" t="s">
        <v>74</v>
      </c>
      <c r="E186" s="241" t="s">
        <v>2795</v>
      </c>
      <c r="F186" s="239" t="s">
        <v>2924</v>
      </c>
      <c r="G186" s="241"/>
      <c r="H186" s="241">
        <v>40</v>
      </c>
      <c r="I186" s="240" t="s">
        <v>3792</v>
      </c>
      <c r="J186" s="240"/>
      <c r="K186" s="240"/>
      <c r="L186" s="240"/>
      <c r="M186" s="240" t="s">
        <v>3172</v>
      </c>
      <c r="N186" s="240" t="s">
        <v>3793</v>
      </c>
      <c r="O186" s="240" t="s">
        <v>3794</v>
      </c>
      <c r="P186" s="240" t="s">
        <v>3795</v>
      </c>
      <c r="Q186" s="239" t="s">
        <v>2802</v>
      </c>
      <c r="R186" s="241">
        <v>1</v>
      </c>
      <c r="S186" s="240" t="s">
        <v>3796</v>
      </c>
      <c r="T186" s="242" t="s">
        <v>1198</v>
      </c>
      <c r="U186" s="239" t="s">
        <v>2935</v>
      </c>
      <c r="V186" s="251"/>
    </row>
    <row r="187" spans="1:22" ht="30" customHeight="1">
      <c r="A187" s="239" t="s">
        <v>3164</v>
      </c>
      <c r="B187" s="239" t="s">
        <v>3165</v>
      </c>
      <c r="C187" s="240" t="s">
        <v>3166</v>
      </c>
      <c r="D187" s="239" t="s">
        <v>74</v>
      </c>
      <c r="E187" s="241" t="s">
        <v>2795</v>
      </c>
      <c r="F187" s="239" t="s">
        <v>2924</v>
      </c>
      <c r="G187" s="241"/>
      <c r="H187" s="241">
        <v>40</v>
      </c>
      <c r="I187" s="240" t="s">
        <v>3797</v>
      </c>
      <c r="J187" s="240"/>
      <c r="K187" s="240"/>
      <c r="L187" s="240"/>
      <c r="M187" s="240" t="s">
        <v>3172</v>
      </c>
      <c r="N187" s="240" t="s">
        <v>3798</v>
      </c>
      <c r="O187" s="240" t="s">
        <v>3799</v>
      </c>
      <c r="P187" s="240" t="s">
        <v>3800</v>
      </c>
      <c r="Q187" s="239" t="s">
        <v>2802</v>
      </c>
      <c r="R187" s="241">
        <v>1</v>
      </c>
      <c r="S187" s="240" t="s">
        <v>3801</v>
      </c>
      <c r="T187" s="242" t="s">
        <v>1198</v>
      </c>
      <c r="U187" s="239" t="s">
        <v>2935</v>
      </c>
      <c r="V187" s="251"/>
    </row>
    <row r="188" spans="1:22" ht="30" customHeight="1">
      <c r="A188" s="239" t="s">
        <v>3164</v>
      </c>
      <c r="B188" s="239" t="s">
        <v>3165</v>
      </c>
      <c r="C188" s="240" t="s">
        <v>3166</v>
      </c>
      <c r="D188" s="239" t="s">
        <v>74</v>
      </c>
      <c r="E188" s="241" t="s">
        <v>2795</v>
      </c>
      <c r="F188" s="239" t="s">
        <v>2924</v>
      </c>
      <c r="G188" s="241"/>
      <c r="H188" s="241">
        <v>40</v>
      </c>
      <c r="I188" s="240" t="s">
        <v>3802</v>
      </c>
      <c r="J188" s="240"/>
      <c r="K188" s="240"/>
      <c r="L188" s="240"/>
      <c r="M188" s="240" t="s">
        <v>3172</v>
      </c>
      <c r="N188" s="240" t="s">
        <v>3803</v>
      </c>
      <c r="O188" s="240" t="s">
        <v>3804</v>
      </c>
      <c r="P188" s="240" t="s">
        <v>3805</v>
      </c>
      <c r="Q188" s="239" t="s">
        <v>2802</v>
      </c>
      <c r="R188" s="241">
        <v>1</v>
      </c>
      <c r="S188" s="240" t="s">
        <v>3806</v>
      </c>
      <c r="T188" s="242" t="s">
        <v>1198</v>
      </c>
      <c r="U188" s="239" t="s">
        <v>2935</v>
      </c>
      <c r="V188" s="251"/>
    </row>
    <row r="189" spans="1:22" ht="30" customHeight="1">
      <c r="A189" s="239" t="s">
        <v>3164</v>
      </c>
      <c r="B189" s="239" t="s">
        <v>3165</v>
      </c>
      <c r="C189" s="240" t="s">
        <v>3166</v>
      </c>
      <c r="D189" s="239" t="s">
        <v>74</v>
      </c>
      <c r="E189" s="241" t="s">
        <v>2795</v>
      </c>
      <c r="F189" s="239" t="s">
        <v>2924</v>
      </c>
      <c r="G189" s="241"/>
      <c r="H189" s="241">
        <v>40</v>
      </c>
      <c r="I189" s="240" t="s">
        <v>3807</v>
      </c>
      <c r="J189" s="240"/>
      <c r="K189" s="240"/>
      <c r="L189" s="240"/>
      <c r="M189" s="240" t="s">
        <v>3172</v>
      </c>
      <c r="N189" s="240" t="s">
        <v>3808</v>
      </c>
      <c r="O189" s="240" t="s">
        <v>3809</v>
      </c>
      <c r="P189" s="240" t="s">
        <v>3810</v>
      </c>
      <c r="Q189" s="239" t="s">
        <v>2802</v>
      </c>
      <c r="R189" s="241">
        <v>1</v>
      </c>
      <c r="S189" s="240" t="s">
        <v>3811</v>
      </c>
      <c r="T189" s="242" t="s">
        <v>1198</v>
      </c>
      <c r="U189" s="239" t="s">
        <v>2935</v>
      </c>
      <c r="V189" s="251"/>
    </row>
    <row r="190" spans="1:22" ht="30" customHeight="1">
      <c r="A190" s="239" t="s">
        <v>3164</v>
      </c>
      <c r="B190" s="239" t="s">
        <v>3165</v>
      </c>
      <c r="C190" s="240" t="s">
        <v>3166</v>
      </c>
      <c r="D190" s="239" t="s">
        <v>74</v>
      </c>
      <c r="E190" s="241" t="s">
        <v>2795</v>
      </c>
      <c r="F190" s="239" t="s">
        <v>2924</v>
      </c>
      <c r="G190" s="241"/>
      <c r="H190" s="241">
        <v>40</v>
      </c>
      <c r="I190" s="240" t="s">
        <v>3812</v>
      </c>
      <c r="J190" s="240"/>
      <c r="K190" s="240"/>
      <c r="L190" s="240"/>
      <c r="M190" s="240" t="s">
        <v>3172</v>
      </c>
      <c r="N190" s="240" t="s">
        <v>3813</v>
      </c>
      <c r="O190" s="240" t="s">
        <v>3814</v>
      </c>
      <c r="P190" s="240" t="s">
        <v>3815</v>
      </c>
      <c r="Q190" s="239" t="s">
        <v>2802</v>
      </c>
      <c r="R190" s="241">
        <v>1</v>
      </c>
      <c r="S190" s="240" t="s">
        <v>3816</v>
      </c>
      <c r="T190" s="242" t="s">
        <v>1198</v>
      </c>
      <c r="U190" s="239" t="s">
        <v>2935</v>
      </c>
      <c r="V190" s="251"/>
    </row>
    <row r="191" spans="1:22" ht="30" customHeight="1">
      <c r="A191" s="239" t="s">
        <v>3164</v>
      </c>
      <c r="B191" s="239" t="s">
        <v>3165</v>
      </c>
      <c r="C191" s="240" t="s">
        <v>3166</v>
      </c>
      <c r="D191" s="239" t="s">
        <v>74</v>
      </c>
      <c r="E191" s="241" t="s">
        <v>2795</v>
      </c>
      <c r="F191" s="239" t="s">
        <v>2924</v>
      </c>
      <c r="G191" s="241"/>
      <c r="H191" s="241">
        <v>40</v>
      </c>
      <c r="I191" s="240" t="s">
        <v>3817</v>
      </c>
      <c r="J191" s="240"/>
      <c r="K191" s="240"/>
      <c r="L191" s="240"/>
      <c r="M191" s="240" t="s">
        <v>3172</v>
      </c>
      <c r="N191" s="240" t="s">
        <v>3818</v>
      </c>
      <c r="O191" s="240" t="s">
        <v>3819</v>
      </c>
      <c r="P191" s="240" t="s">
        <v>3820</v>
      </c>
      <c r="Q191" s="239" t="s">
        <v>2802</v>
      </c>
      <c r="R191" s="241">
        <v>1</v>
      </c>
      <c r="S191" s="240" t="s">
        <v>3821</v>
      </c>
      <c r="T191" s="242" t="s">
        <v>1198</v>
      </c>
      <c r="U191" s="239" t="s">
        <v>2935</v>
      </c>
      <c r="V191" s="251"/>
    </row>
    <row r="192" spans="1:22" ht="30" customHeight="1">
      <c r="A192" s="239" t="s">
        <v>3164</v>
      </c>
      <c r="B192" s="239" t="s">
        <v>3165</v>
      </c>
      <c r="C192" s="240" t="s">
        <v>3166</v>
      </c>
      <c r="D192" s="239" t="s">
        <v>74</v>
      </c>
      <c r="E192" s="241" t="s">
        <v>2795</v>
      </c>
      <c r="F192" s="239" t="s">
        <v>2924</v>
      </c>
      <c r="G192" s="241"/>
      <c r="H192" s="241">
        <v>40</v>
      </c>
      <c r="I192" s="240" t="s">
        <v>3822</v>
      </c>
      <c r="J192" s="240"/>
      <c r="K192" s="240"/>
      <c r="L192" s="240"/>
      <c r="M192" s="240" t="s">
        <v>3172</v>
      </c>
      <c r="N192" s="240" t="s">
        <v>3823</v>
      </c>
      <c r="O192" s="240" t="s">
        <v>3824</v>
      </c>
      <c r="P192" s="240" t="s">
        <v>3825</v>
      </c>
      <c r="Q192" s="239" t="s">
        <v>2802</v>
      </c>
      <c r="R192" s="241">
        <v>1</v>
      </c>
      <c r="S192" s="240" t="s">
        <v>3826</v>
      </c>
      <c r="T192" s="242" t="s">
        <v>1198</v>
      </c>
      <c r="U192" s="239" t="s">
        <v>2935</v>
      </c>
      <c r="V192" s="251"/>
    </row>
    <row r="193" spans="1:22" ht="30" customHeight="1">
      <c r="A193" s="239" t="s">
        <v>3164</v>
      </c>
      <c r="B193" s="239" t="s">
        <v>3165</v>
      </c>
      <c r="C193" s="240" t="s">
        <v>3166</v>
      </c>
      <c r="D193" s="239" t="s">
        <v>74</v>
      </c>
      <c r="E193" s="241" t="s">
        <v>2795</v>
      </c>
      <c r="F193" s="239" t="s">
        <v>2924</v>
      </c>
      <c r="G193" s="241"/>
      <c r="H193" s="241">
        <v>40</v>
      </c>
      <c r="I193" s="240" t="s">
        <v>3827</v>
      </c>
      <c r="J193" s="240"/>
      <c r="K193" s="240"/>
      <c r="L193" s="240"/>
      <c r="M193" s="240" t="s">
        <v>3172</v>
      </c>
      <c r="N193" s="240" t="s">
        <v>3828</v>
      </c>
      <c r="O193" s="240" t="s">
        <v>3829</v>
      </c>
      <c r="P193" s="240" t="s">
        <v>3830</v>
      </c>
      <c r="Q193" s="239" t="s">
        <v>2802</v>
      </c>
      <c r="R193" s="241">
        <v>1</v>
      </c>
      <c r="S193" s="240" t="s">
        <v>3831</v>
      </c>
      <c r="T193" s="242" t="s">
        <v>1198</v>
      </c>
      <c r="U193" s="239" t="s">
        <v>2935</v>
      </c>
      <c r="V193" s="251"/>
    </row>
    <row r="194" spans="1:22" ht="30" customHeight="1">
      <c r="A194" s="239" t="s">
        <v>3164</v>
      </c>
      <c r="B194" s="239" t="s">
        <v>3165</v>
      </c>
      <c r="C194" s="240" t="s">
        <v>3166</v>
      </c>
      <c r="D194" s="239" t="s">
        <v>74</v>
      </c>
      <c r="E194" s="241" t="s">
        <v>2795</v>
      </c>
      <c r="F194" s="239" t="s">
        <v>2924</v>
      </c>
      <c r="G194" s="241"/>
      <c r="H194" s="241">
        <v>40</v>
      </c>
      <c r="I194" s="240" t="s">
        <v>3832</v>
      </c>
      <c r="J194" s="240"/>
      <c r="K194" s="240"/>
      <c r="L194" s="240"/>
      <c r="M194" s="240" t="s">
        <v>3172</v>
      </c>
      <c r="N194" s="240" t="s">
        <v>3833</v>
      </c>
      <c r="O194" s="240" t="s">
        <v>3834</v>
      </c>
      <c r="P194" s="240" t="s">
        <v>3835</v>
      </c>
      <c r="Q194" s="239" t="s">
        <v>2802</v>
      </c>
      <c r="R194" s="241">
        <v>1</v>
      </c>
      <c r="S194" s="240" t="s">
        <v>3836</v>
      </c>
      <c r="T194" s="242" t="s">
        <v>1198</v>
      </c>
      <c r="U194" s="239" t="s">
        <v>2935</v>
      </c>
      <c r="V194" s="251"/>
    </row>
    <row r="195" spans="1:22" ht="30" customHeight="1">
      <c r="A195" s="239" t="s">
        <v>3837</v>
      </c>
      <c r="B195" s="239" t="s">
        <v>3838</v>
      </c>
      <c r="C195" s="240" t="s">
        <v>3839</v>
      </c>
      <c r="D195" s="239" t="s">
        <v>74</v>
      </c>
      <c r="E195" s="241" t="s">
        <v>246</v>
      </c>
      <c r="F195" s="239" t="s">
        <v>2855</v>
      </c>
      <c r="G195" s="241"/>
      <c r="H195" s="241">
        <v>40</v>
      </c>
      <c r="I195" s="240" t="s">
        <v>3840</v>
      </c>
      <c r="J195" s="240" t="s">
        <v>2798</v>
      </c>
      <c r="K195" s="240" t="s">
        <v>2953</v>
      </c>
      <c r="L195" s="240" t="s">
        <v>2954</v>
      </c>
      <c r="M195" s="240" t="s">
        <v>2801</v>
      </c>
      <c r="N195" s="240" t="s">
        <v>2801</v>
      </c>
      <c r="O195" s="240" t="s">
        <v>2801</v>
      </c>
      <c r="P195" s="240" t="s">
        <v>2801</v>
      </c>
      <c r="Q195" s="239" t="s">
        <v>2801</v>
      </c>
      <c r="R195" s="241">
        <v>0</v>
      </c>
      <c r="S195" s="240" t="s">
        <v>2801</v>
      </c>
      <c r="T195" s="242" t="s">
        <v>2801</v>
      </c>
      <c r="U195" s="239" t="s">
        <v>2803</v>
      </c>
      <c r="V195" s="251"/>
    </row>
    <row r="196" spans="1:22" ht="30" customHeight="1">
      <c r="A196" s="239" t="s">
        <v>3837</v>
      </c>
      <c r="B196" s="239" t="s">
        <v>3838</v>
      </c>
      <c r="C196" s="240" t="s">
        <v>3839</v>
      </c>
      <c r="D196" s="239" t="s">
        <v>74</v>
      </c>
      <c r="E196" s="241" t="s">
        <v>246</v>
      </c>
      <c r="F196" s="239" t="s">
        <v>2855</v>
      </c>
      <c r="G196" s="241"/>
      <c r="H196" s="241">
        <v>40</v>
      </c>
      <c r="I196" s="240" t="s">
        <v>3841</v>
      </c>
      <c r="J196" s="240"/>
      <c r="K196" s="240"/>
      <c r="L196" s="240"/>
      <c r="M196" s="240" t="s">
        <v>3842</v>
      </c>
      <c r="N196" s="240" t="s">
        <v>3843</v>
      </c>
      <c r="O196" s="240" t="s">
        <v>1198</v>
      </c>
      <c r="P196" s="240" t="s">
        <v>3844</v>
      </c>
      <c r="Q196" s="239" t="s">
        <v>2864</v>
      </c>
      <c r="R196" s="241">
        <v>0</v>
      </c>
      <c r="S196" s="240" t="s">
        <v>3845</v>
      </c>
      <c r="T196" s="242" t="s">
        <v>1198</v>
      </c>
      <c r="U196" s="239" t="s">
        <v>2809</v>
      </c>
      <c r="V196" s="251"/>
    </row>
    <row r="197" spans="1:22" ht="30" customHeight="1">
      <c r="A197" s="239" t="s">
        <v>3846</v>
      </c>
      <c r="B197" s="239" t="s">
        <v>3847</v>
      </c>
      <c r="C197" s="240" t="s">
        <v>3848</v>
      </c>
      <c r="D197" s="239" t="s">
        <v>74</v>
      </c>
      <c r="E197" s="241" t="s">
        <v>246</v>
      </c>
      <c r="F197" s="239" t="s">
        <v>2855</v>
      </c>
      <c r="G197" s="241"/>
      <c r="H197" s="241">
        <v>40</v>
      </c>
      <c r="I197" s="240" t="s">
        <v>3849</v>
      </c>
      <c r="J197" s="240" t="s">
        <v>2798</v>
      </c>
      <c r="K197" s="240" t="s">
        <v>2953</v>
      </c>
      <c r="L197" s="240" t="s">
        <v>2954</v>
      </c>
      <c r="M197" s="240" t="s">
        <v>2801</v>
      </c>
      <c r="N197" s="240" t="s">
        <v>2801</v>
      </c>
      <c r="O197" s="240" t="s">
        <v>2801</v>
      </c>
      <c r="P197" s="240" t="s">
        <v>2801</v>
      </c>
      <c r="Q197" s="239" t="s">
        <v>2801</v>
      </c>
      <c r="R197" s="241">
        <v>0</v>
      </c>
      <c r="S197" s="240" t="s">
        <v>2801</v>
      </c>
      <c r="T197" s="242" t="s">
        <v>2801</v>
      </c>
      <c r="U197" s="239" t="s">
        <v>2803</v>
      </c>
      <c r="V197" s="251"/>
    </row>
    <row r="198" spans="1:22" ht="30" customHeight="1">
      <c r="A198" s="239" t="s">
        <v>3846</v>
      </c>
      <c r="B198" s="239" t="s">
        <v>3847</v>
      </c>
      <c r="C198" s="240" t="s">
        <v>3848</v>
      </c>
      <c r="D198" s="239" t="s">
        <v>74</v>
      </c>
      <c r="E198" s="241" t="s">
        <v>246</v>
      </c>
      <c r="F198" s="239" t="s">
        <v>2855</v>
      </c>
      <c r="G198" s="241"/>
      <c r="H198" s="241">
        <v>40</v>
      </c>
      <c r="I198" s="240" t="s">
        <v>3850</v>
      </c>
      <c r="J198" s="240"/>
      <c r="K198" s="240"/>
      <c r="L198" s="240"/>
      <c r="M198" s="240" t="s">
        <v>3842</v>
      </c>
      <c r="N198" s="240" t="s">
        <v>3851</v>
      </c>
      <c r="O198" s="240" t="s">
        <v>3852</v>
      </c>
      <c r="P198" s="240" t="s">
        <v>3853</v>
      </c>
      <c r="Q198" s="239" t="s">
        <v>2864</v>
      </c>
      <c r="R198" s="241">
        <v>0</v>
      </c>
      <c r="S198" s="240" t="s">
        <v>3845</v>
      </c>
      <c r="T198" s="242" t="s">
        <v>3854</v>
      </c>
      <c r="U198" s="239" t="s">
        <v>2809</v>
      </c>
      <c r="V198" s="251"/>
    </row>
    <row r="199" spans="1:22" ht="30" customHeight="1">
      <c r="A199" s="239" t="s">
        <v>3855</v>
      </c>
      <c r="B199" s="239" t="s">
        <v>3856</v>
      </c>
      <c r="C199" s="240" t="s">
        <v>3857</v>
      </c>
      <c r="D199" s="239" t="s">
        <v>74</v>
      </c>
      <c r="E199" s="241" t="s">
        <v>246</v>
      </c>
      <c r="F199" s="239" t="s">
        <v>2855</v>
      </c>
      <c r="G199" s="241"/>
      <c r="H199" s="241">
        <v>40</v>
      </c>
      <c r="I199" s="240" t="s">
        <v>3858</v>
      </c>
      <c r="J199" s="240" t="s">
        <v>2798</v>
      </c>
      <c r="K199" s="240" t="s">
        <v>3859</v>
      </c>
      <c r="L199" s="240" t="s">
        <v>2859</v>
      </c>
      <c r="M199" s="240" t="s">
        <v>2801</v>
      </c>
      <c r="N199" s="240" t="s">
        <v>2801</v>
      </c>
      <c r="O199" s="240" t="s">
        <v>2801</v>
      </c>
      <c r="P199" s="240" t="s">
        <v>2801</v>
      </c>
      <c r="Q199" s="239" t="s">
        <v>2864</v>
      </c>
      <c r="R199" s="241">
        <v>0</v>
      </c>
      <c r="S199" s="240" t="s">
        <v>2801</v>
      </c>
      <c r="T199" s="242" t="s">
        <v>2801</v>
      </c>
      <c r="U199" s="239" t="s">
        <v>2803</v>
      </c>
      <c r="V199" s="251"/>
    </row>
    <row r="200" spans="1:22" ht="30" customHeight="1">
      <c r="A200" s="239" t="s">
        <v>3855</v>
      </c>
      <c r="B200" s="239" t="s">
        <v>3856</v>
      </c>
      <c r="C200" s="240" t="s">
        <v>3857</v>
      </c>
      <c r="D200" s="239" t="s">
        <v>74</v>
      </c>
      <c r="E200" s="241" t="s">
        <v>246</v>
      </c>
      <c r="F200" s="239" t="s">
        <v>2855</v>
      </c>
      <c r="G200" s="241"/>
      <c r="H200" s="241">
        <v>40</v>
      </c>
      <c r="I200" s="240" t="s">
        <v>3860</v>
      </c>
      <c r="J200" s="240"/>
      <c r="K200" s="240"/>
      <c r="L200" s="240"/>
      <c r="M200" s="240" t="s">
        <v>2908</v>
      </c>
      <c r="N200" s="240" t="s">
        <v>3861</v>
      </c>
      <c r="O200" s="240" t="s">
        <v>1198</v>
      </c>
      <c r="P200" s="240" t="s">
        <v>3862</v>
      </c>
      <c r="Q200" s="239" t="s">
        <v>2864</v>
      </c>
      <c r="R200" s="241">
        <v>0</v>
      </c>
      <c r="S200" s="240" t="s">
        <v>3863</v>
      </c>
      <c r="T200" s="242" t="s">
        <v>1198</v>
      </c>
      <c r="U200" s="239" t="s">
        <v>2809</v>
      </c>
      <c r="V200" s="251"/>
    </row>
    <row r="201" spans="1:22" ht="30" customHeight="1">
      <c r="A201" s="239" t="s">
        <v>3855</v>
      </c>
      <c r="B201" s="239" t="s">
        <v>3856</v>
      </c>
      <c r="C201" s="240" t="s">
        <v>3857</v>
      </c>
      <c r="D201" s="239" t="s">
        <v>74</v>
      </c>
      <c r="E201" s="241" t="s">
        <v>246</v>
      </c>
      <c r="F201" s="239" t="s">
        <v>2855</v>
      </c>
      <c r="G201" s="241"/>
      <c r="H201" s="241">
        <v>40</v>
      </c>
      <c r="I201" s="240" t="s">
        <v>3864</v>
      </c>
      <c r="J201" s="240"/>
      <c r="K201" s="240"/>
      <c r="L201" s="240"/>
      <c r="M201" s="240" t="s">
        <v>2908</v>
      </c>
      <c r="N201" s="240" t="s">
        <v>3865</v>
      </c>
      <c r="O201" s="240" t="s">
        <v>1198</v>
      </c>
      <c r="P201" s="240" t="s">
        <v>3866</v>
      </c>
      <c r="Q201" s="239" t="s">
        <v>2864</v>
      </c>
      <c r="R201" s="241">
        <v>0</v>
      </c>
      <c r="S201" s="240" t="s">
        <v>3867</v>
      </c>
      <c r="T201" s="242" t="s">
        <v>1198</v>
      </c>
      <c r="U201" s="239" t="s">
        <v>2809</v>
      </c>
      <c r="V201" s="251"/>
    </row>
    <row r="202" spans="1:22" ht="30" customHeight="1">
      <c r="A202" s="239" t="s">
        <v>3855</v>
      </c>
      <c r="B202" s="239" t="s">
        <v>3856</v>
      </c>
      <c r="C202" s="240" t="s">
        <v>3857</v>
      </c>
      <c r="D202" s="239" t="s">
        <v>74</v>
      </c>
      <c r="E202" s="241" t="s">
        <v>246</v>
      </c>
      <c r="F202" s="239" t="s">
        <v>2855</v>
      </c>
      <c r="G202" s="241"/>
      <c r="H202" s="241">
        <v>40</v>
      </c>
      <c r="I202" s="240" t="s">
        <v>3868</v>
      </c>
      <c r="J202" s="240"/>
      <c r="K202" s="240"/>
      <c r="L202" s="240"/>
      <c r="M202" s="240" t="s">
        <v>2908</v>
      </c>
      <c r="N202" s="240" t="s">
        <v>3869</v>
      </c>
      <c r="O202" s="240" t="s">
        <v>1198</v>
      </c>
      <c r="P202" s="240" t="s">
        <v>3870</v>
      </c>
      <c r="Q202" s="239" t="s">
        <v>2864</v>
      </c>
      <c r="R202" s="241">
        <v>0</v>
      </c>
      <c r="S202" s="240" t="s">
        <v>3871</v>
      </c>
      <c r="T202" s="242" t="s">
        <v>1198</v>
      </c>
      <c r="U202" s="239" t="s">
        <v>2809</v>
      </c>
      <c r="V202" s="251"/>
    </row>
    <row r="203" spans="1:22" ht="30" customHeight="1">
      <c r="A203" s="239" t="s">
        <v>3855</v>
      </c>
      <c r="B203" s="239" t="s">
        <v>3856</v>
      </c>
      <c r="C203" s="240" t="s">
        <v>3857</v>
      </c>
      <c r="D203" s="239" t="s">
        <v>74</v>
      </c>
      <c r="E203" s="241" t="s">
        <v>246</v>
      </c>
      <c r="F203" s="239" t="s">
        <v>2855</v>
      </c>
      <c r="G203" s="241"/>
      <c r="H203" s="241">
        <v>40</v>
      </c>
      <c r="I203" s="240" t="s">
        <v>3872</v>
      </c>
      <c r="J203" s="240"/>
      <c r="K203" s="240"/>
      <c r="L203" s="240"/>
      <c r="M203" s="240" t="s">
        <v>2908</v>
      </c>
      <c r="N203" s="240" t="s">
        <v>3873</v>
      </c>
      <c r="O203" s="240" t="s">
        <v>1198</v>
      </c>
      <c r="P203" s="240" t="s">
        <v>3874</v>
      </c>
      <c r="Q203" s="239" t="s">
        <v>2864</v>
      </c>
      <c r="R203" s="241">
        <v>0</v>
      </c>
      <c r="S203" s="240" t="s">
        <v>3875</v>
      </c>
      <c r="T203" s="242" t="s">
        <v>1198</v>
      </c>
      <c r="U203" s="239" t="s">
        <v>2809</v>
      </c>
      <c r="V203" s="251"/>
    </row>
    <row r="204" spans="1:22" ht="30" customHeight="1">
      <c r="A204" s="239" t="s">
        <v>3876</v>
      </c>
      <c r="B204" s="239" t="s">
        <v>3877</v>
      </c>
      <c r="C204" s="240" t="s">
        <v>3878</v>
      </c>
      <c r="D204" s="239" t="s">
        <v>74</v>
      </c>
      <c r="E204" s="241" t="s">
        <v>246</v>
      </c>
      <c r="F204" s="239" t="s">
        <v>2855</v>
      </c>
      <c r="G204" s="241"/>
      <c r="H204" s="241">
        <v>40</v>
      </c>
      <c r="I204" s="240" t="s">
        <v>3879</v>
      </c>
      <c r="J204" s="240" t="s">
        <v>2998</v>
      </c>
      <c r="K204" s="240" t="s">
        <v>3880</v>
      </c>
      <c r="L204" s="240" t="s">
        <v>3881</v>
      </c>
      <c r="M204" s="240" t="s">
        <v>3882</v>
      </c>
      <c r="N204" s="240" t="s">
        <v>3883</v>
      </c>
      <c r="O204" s="240" t="s">
        <v>3884</v>
      </c>
      <c r="P204" s="240" t="s">
        <v>3885</v>
      </c>
      <c r="Q204" s="239" t="s">
        <v>2802</v>
      </c>
      <c r="R204" s="241">
        <v>0</v>
      </c>
      <c r="S204" s="240" t="s">
        <v>3886</v>
      </c>
      <c r="T204" s="242" t="s">
        <v>3887</v>
      </c>
      <c r="U204" s="239" t="s">
        <v>3008</v>
      </c>
      <c r="V204" s="251"/>
    </row>
    <row r="205" spans="1:22" ht="30" customHeight="1">
      <c r="A205" s="239" t="s">
        <v>3888</v>
      </c>
      <c r="B205" s="239" t="s">
        <v>3889</v>
      </c>
      <c r="C205" s="240" t="s">
        <v>3890</v>
      </c>
      <c r="D205" s="239" t="s">
        <v>74</v>
      </c>
      <c r="E205" s="241" t="s">
        <v>246</v>
      </c>
      <c r="F205" s="239" t="s">
        <v>2855</v>
      </c>
      <c r="G205" s="241"/>
      <c r="H205" s="241">
        <v>40</v>
      </c>
      <c r="I205" s="240" t="s">
        <v>3891</v>
      </c>
      <c r="J205" s="240" t="s">
        <v>2998</v>
      </c>
      <c r="K205" s="240" t="s">
        <v>2953</v>
      </c>
      <c r="L205" s="240" t="s">
        <v>2954</v>
      </c>
      <c r="M205" s="240" t="s">
        <v>2801</v>
      </c>
      <c r="N205" s="240" t="s">
        <v>2801</v>
      </c>
      <c r="O205" s="240" t="s">
        <v>2801</v>
      </c>
      <c r="P205" s="240" t="s">
        <v>2801</v>
      </c>
      <c r="Q205" s="239" t="s">
        <v>2802</v>
      </c>
      <c r="R205" s="241">
        <v>0</v>
      </c>
      <c r="S205" s="240" t="s">
        <v>2801</v>
      </c>
      <c r="T205" s="242" t="s">
        <v>2801</v>
      </c>
      <c r="U205" s="239" t="s">
        <v>2803</v>
      </c>
      <c r="V205" s="251"/>
    </row>
    <row r="206" spans="1:22" ht="30" customHeight="1">
      <c r="A206" s="239" t="s">
        <v>3888</v>
      </c>
      <c r="B206" s="239" t="s">
        <v>3889</v>
      </c>
      <c r="C206" s="240" t="s">
        <v>3890</v>
      </c>
      <c r="D206" s="239" t="s">
        <v>74</v>
      </c>
      <c r="E206" s="241" t="s">
        <v>246</v>
      </c>
      <c r="F206" s="239" t="s">
        <v>2855</v>
      </c>
      <c r="G206" s="241"/>
      <c r="H206" s="241">
        <v>40</v>
      </c>
      <c r="I206" s="240" t="s">
        <v>3892</v>
      </c>
      <c r="J206" s="240"/>
      <c r="K206" s="240"/>
      <c r="L206" s="240"/>
      <c r="M206" s="240" t="s">
        <v>3882</v>
      </c>
      <c r="N206" s="240" t="s">
        <v>3893</v>
      </c>
      <c r="O206" s="240" t="s">
        <v>3894</v>
      </c>
      <c r="P206" s="240" t="s">
        <v>3895</v>
      </c>
      <c r="Q206" s="239" t="s">
        <v>2802</v>
      </c>
      <c r="R206" s="241">
        <v>0</v>
      </c>
      <c r="S206" s="240" t="s">
        <v>3896</v>
      </c>
      <c r="T206" s="242" t="s">
        <v>3897</v>
      </c>
      <c r="U206" s="239" t="s">
        <v>3008</v>
      </c>
      <c r="V206" s="251"/>
    </row>
    <row r="207" spans="1:22" ht="30" customHeight="1">
      <c r="A207" s="239" t="s">
        <v>3888</v>
      </c>
      <c r="B207" s="239" t="s">
        <v>3889</v>
      </c>
      <c r="C207" s="240" t="s">
        <v>3890</v>
      </c>
      <c r="D207" s="239" t="s">
        <v>74</v>
      </c>
      <c r="E207" s="241" t="s">
        <v>246</v>
      </c>
      <c r="F207" s="239" t="s">
        <v>2855</v>
      </c>
      <c r="G207" s="241"/>
      <c r="H207" s="241">
        <v>40</v>
      </c>
      <c r="I207" s="240" t="s">
        <v>3898</v>
      </c>
      <c r="J207" s="240"/>
      <c r="K207" s="240"/>
      <c r="L207" s="240"/>
      <c r="M207" s="240" t="s">
        <v>3882</v>
      </c>
      <c r="N207" s="240" t="s">
        <v>3899</v>
      </c>
      <c r="O207" s="240" t="s">
        <v>3900</v>
      </c>
      <c r="P207" s="240" t="s">
        <v>3901</v>
      </c>
      <c r="Q207" s="239" t="s">
        <v>2802</v>
      </c>
      <c r="R207" s="241">
        <v>0</v>
      </c>
      <c r="S207" s="240" t="s">
        <v>3902</v>
      </c>
      <c r="T207" s="242" t="s">
        <v>3903</v>
      </c>
      <c r="U207" s="239" t="s">
        <v>3008</v>
      </c>
      <c r="V207" s="251"/>
    </row>
    <row r="208" spans="1:22" ht="30" customHeight="1">
      <c r="A208" s="239" t="s">
        <v>3888</v>
      </c>
      <c r="B208" s="239" t="s">
        <v>3889</v>
      </c>
      <c r="C208" s="240" t="s">
        <v>3890</v>
      </c>
      <c r="D208" s="239" t="s">
        <v>74</v>
      </c>
      <c r="E208" s="241" t="s">
        <v>246</v>
      </c>
      <c r="F208" s="239" t="s">
        <v>2855</v>
      </c>
      <c r="G208" s="241"/>
      <c r="H208" s="241">
        <v>40</v>
      </c>
      <c r="I208" s="240" t="s">
        <v>3904</v>
      </c>
      <c r="J208" s="240"/>
      <c r="K208" s="240"/>
      <c r="L208" s="240"/>
      <c r="M208" s="240" t="s">
        <v>3882</v>
      </c>
      <c r="N208" s="240" t="s">
        <v>3905</v>
      </c>
      <c r="O208" s="240" t="s">
        <v>3906</v>
      </c>
      <c r="P208" s="240" t="s">
        <v>3907</v>
      </c>
      <c r="Q208" s="239" t="s">
        <v>2802</v>
      </c>
      <c r="R208" s="241">
        <v>0</v>
      </c>
      <c r="S208" s="240" t="s">
        <v>3908</v>
      </c>
      <c r="T208" s="242" t="s">
        <v>1198</v>
      </c>
      <c r="U208" s="239" t="s">
        <v>3008</v>
      </c>
      <c r="V208" s="251"/>
    </row>
    <row r="209" spans="1:22" ht="30" customHeight="1">
      <c r="A209" s="239" t="s">
        <v>3888</v>
      </c>
      <c r="B209" s="239" t="s">
        <v>3889</v>
      </c>
      <c r="C209" s="240" t="s">
        <v>3890</v>
      </c>
      <c r="D209" s="239" t="s">
        <v>74</v>
      </c>
      <c r="E209" s="241" t="s">
        <v>246</v>
      </c>
      <c r="F209" s="239" t="s">
        <v>2855</v>
      </c>
      <c r="G209" s="241"/>
      <c r="H209" s="241">
        <v>40</v>
      </c>
      <c r="I209" s="240" t="s">
        <v>3909</v>
      </c>
      <c r="J209" s="240"/>
      <c r="K209" s="240"/>
      <c r="L209" s="240"/>
      <c r="M209" s="240" t="s">
        <v>3882</v>
      </c>
      <c r="N209" s="240" t="s">
        <v>3910</v>
      </c>
      <c r="O209" s="240" t="s">
        <v>1198</v>
      </c>
      <c r="P209" s="240" t="s">
        <v>3911</v>
      </c>
      <c r="Q209" s="239" t="s">
        <v>2802</v>
      </c>
      <c r="R209" s="241">
        <v>0</v>
      </c>
      <c r="S209" s="240" t="s">
        <v>3912</v>
      </c>
      <c r="T209" s="242" t="s">
        <v>3913</v>
      </c>
      <c r="U209" s="239" t="s">
        <v>3008</v>
      </c>
      <c r="V209" s="251"/>
    </row>
    <row r="210" spans="1:22" ht="30" customHeight="1">
      <c r="A210" s="239" t="s">
        <v>3914</v>
      </c>
      <c r="B210" s="239" t="s">
        <v>3915</v>
      </c>
      <c r="C210" s="240" t="s">
        <v>3916</v>
      </c>
      <c r="D210" s="239" t="s">
        <v>74</v>
      </c>
      <c r="E210" s="241" t="s">
        <v>2795</v>
      </c>
      <c r="F210" s="239" t="s">
        <v>2924</v>
      </c>
      <c r="G210" s="241"/>
      <c r="H210" s="241">
        <v>40</v>
      </c>
      <c r="I210" s="240" t="s">
        <v>3917</v>
      </c>
      <c r="J210" s="240" t="s">
        <v>2998</v>
      </c>
      <c r="K210" s="240" t="s">
        <v>2953</v>
      </c>
      <c r="L210" s="240" t="s">
        <v>2954</v>
      </c>
      <c r="M210" s="240" t="s">
        <v>2801</v>
      </c>
      <c r="N210" s="240" t="s">
        <v>2801</v>
      </c>
      <c r="O210" s="240" t="s">
        <v>2801</v>
      </c>
      <c r="P210" s="240" t="s">
        <v>2801</v>
      </c>
      <c r="Q210" s="239" t="s">
        <v>2972</v>
      </c>
      <c r="R210" s="241">
        <v>1</v>
      </c>
      <c r="S210" s="240" t="s">
        <v>2801</v>
      </c>
      <c r="T210" s="242" t="s">
        <v>2801</v>
      </c>
      <c r="U210" s="239" t="s">
        <v>2803</v>
      </c>
      <c r="V210" s="251"/>
    </row>
    <row r="211" spans="1:22" ht="30" customHeight="1">
      <c r="A211" s="239" t="s">
        <v>3914</v>
      </c>
      <c r="B211" s="239" t="s">
        <v>3915</v>
      </c>
      <c r="C211" s="240" t="s">
        <v>3916</v>
      </c>
      <c r="D211" s="239" t="s">
        <v>74</v>
      </c>
      <c r="E211" s="241" t="s">
        <v>2795</v>
      </c>
      <c r="F211" s="239" t="s">
        <v>2924</v>
      </c>
      <c r="G211" s="241"/>
      <c r="H211" s="241">
        <v>40</v>
      </c>
      <c r="I211" s="240" t="s">
        <v>3918</v>
      </c>
      <c r="J211" s="240"/>
      <c r="K211" s="240"/>
      <c r="L211" s="240"/>
      <c r="M211" s="240" t="s">
        <v>3919</v>
      </c>
      <c r="N211" s="240" t="s">
        <v>3920</v>
      </c>
      <c r="O211" s="240" t="s">
        <v>1198</v>
      </c>
      <c r="P211" s="240" t="s">
        <v>3921</v>
      </c>
      <c r="Q211" s="239" t="s">
        <v>3922</v>
      </c>
      <c r="R211" s="241">
        <v>1</v>
      </c>
      <c r="S211" s="240" t="s">
        <v>3923</v>
      </c>
      <c r="T211" s="242" t="s">
        <v>1198</v>
      </c>
      <c r="U211" s="239" t="s">
        <v>2935</v>
      </c>
      <c r="V211" s="251"/>
    </row>
    <row r="212" spans="1:22" ht="30" customHeight="1">
      <c r="A212" s="239" t="s">
        <v>3914</v>
      </c>
      <c r="B212" s="239" t="s">
        <v>3915</v>
      </c>
      <c r="C212" s="240" t="s">
        <v>3916</v>
      </c>
      <c r="D212" s="239" t="s">
        <v>74</v>
      </c>
      <c r="E212" s="241" t="s">
        <v>2795</v>
      </c>
      <c r="F212" s="239" t="s">
        <v>2924</v>
      </c>
      <c r="G212" s="241"/>
      <c r="H212" s="241">
        <v>40</v>
      </c>
      <c r="I212" s="240" t="s">
        <v>3924</v>
      </c>
      <c r="J212" s="240"/>
      <c r="K212" s="240"/>
      <c r="L212" s="240"/>
      <c r="M212" s="240" t="s">
        <v>3919</v>
      </c>
      <c r="N212" s="240" t="s">
        <v>3925</v>
      </c>
      <c r="O212" s="240" t="s">
        <v>1198</v>
      </c>
      <c r="P212" s="240" t="s">
        <v>3926</v>
      </c>
      <c r="Q212" s="239" t="s">
        <v>3922</v>
      </c>
      <c r="R212" s="241">
        <v>1</v>
      </c>
      <c r="S212" s="240" t="s">
        <v>3927</v>
      </c>
      <c r="T212" s="242" t="s">
        <v>1198</v>
      </c>
      <c r="U212" s="239" t="s">
        <v>2935</v>
      </c>
      <c r="V212" s="251"/>
    </row>
    <row r="213" spans="1:22" ht="30" customHeight="1">
      <c r="A213" s="239" t="s">
        <v>3914</v>
      </c>
      <c r="B213" s="239" t="s">
        <v>3915</v>
      </c>
      <c r="C213" s="240" t="s">
        <v>3916</v>
      </c>
      <c r="D213" s="239" t="s">
        <v>74</v>
      </c>
      <c r="E213" s="241" t="s">
        <v>2795</v>
      </c>
      <c r="F213" s="239" t="s">
        <v>2924</v>
      </c>
      <c r="G213" s="241"/>
      <c r="H213" s="241">
        <v>40</v>
      </c>
      <c r="I213" s="240" t="s">
        <v>3928</v>
      </c>
      <c r="J213" s="240"/>
      <c r="K213" s="240"/>
      <c r="L213" s="240"/>
      <c r="M213" s="240" t="s">
        <v>3919</v>
      </c>
      <c r="N213" s="240" t="s">
        <v>3929</v>
      </c>
      <c r="O213" s="240" t="s">
        <v>1198</v>
      </c>
      <c r="P213" s="240" t="s">
        <v>3930</v>
      </c>
      <c r="Q213" s="239" t="s">
        <v>3922</v>
      </c>
      <c r="R213" s="241">
        <v>1</v>
      </c>
      <c r="S213" s="240" t="s">
        <v>3931</v>
      </c>
      <c r="T213" s="242" t="s">
        <v>1198</v>
      </c>
      <c r="U213" s="239" t="s">
        <v>2935</v>
      </c>
      <c r="V213" s="251"/>
    </row>
    <row r="214" spans="1:22" ht="30" customHeight="1">
      <c r="A214" s="239" t="s">
        <v>3914</v>
      </c>
      <c r="B214" s="239" t="s">
        <v>3915</v>
      </c>
      <c r="C214" s="240" t="s">
        <v>3916</v>
      </c>
      <c r="D214" s="239" t="s">
        <v>74</v>
      </c>
      <c r="E214" s="241" t="s">
        <v>2795</v>
      </c>
      <c r="F214" s="239" t="s">
        <v>2924</v>
      </c>
      <c r="G214" s="241"/>
      <c r="H214" s="241">
        <v>40</v>
      </c>
      <c r="I214" s="240" t="s">
        <v>3932</v>
      </c>
      <c r="J214" s="240"/>
      <c r="K214" s="240"/>
      <c r="L214" s="240"/>
      <c r="M214" s="240" t="s">
        <v>3919</v>
      </c>
      <c r="N214" s="240" t="s">
        <v>3933</v>
      </c>
      <c r="O214" s="240" t="s">
        <v>1198</v>
      </c>
      <c r="P214" s="240" t="s">
        <v>3934</v>
      </c>
      <c r="Q214" s="239" t="s">
        <v>3922</v>
      </c>
      <c r="R214" s="241">
        <v>1</v>
      </c>
      <c r="S214" s="240" t="s">
        <v>3935</v>
      </c>
      <c r="T214" s="242" t="s">
        <v>1198</v>
      </c>
      <c r="U214" s="239" t="s">
        <v>2935</v>
      </c>
      <c r="V214" s="251"/>
    </row>
    <row r="215" spans="1:22" ht="30" customHeight="1">
      <c r="A215" s="239" t="s">
        <v>3914</v>
      </c>
      <c r="B215" s="239" t="s">
        <v>3915</v>
      </c>
      <c r="C215" s="240" t="s">
        <v>3916</v>
      </c>
      <c r="D215" s="239" t="s">
        <v>74</v>
      </c>
      <c r="E215" s="241" t="s">
        <v>2795</v>
      </c>
      <c r="F215" s="239" t="s">
        <v>2924</v>
      </c>
      <c r="G215" s="241"/>
      <c r="H215" s="241">
        <v>40</v>
      </c>
      <c r="I215" s="240" t="s">
        <v>3936</v>
      </c>
      <c r="J215" s="240"/>
      <c r="K215" s="240"/>
      <c r="L215" s="240"/>
      <c r="M215" s="240" t="s">
        <v>3919</v>
      </c>
      <c r="N215" s="240" t="s">
        <v>3937</v>
      </c>
      <c r="O215" s="240" t="s">
        <v>1198</v>
      </c>
      <c r="P215" s="240" t="s">
        <v>3938</v>
      </c>
      <c r="Q215" s="239" t="s">
        <v>3922</v>
      </c>
      <c r="R215" s="241">
        <v>1</v>
      </c>
      <c r="S215" s="240" t="s">
        <v>3939</v>
      </c>
      <c r="T215" s="242" t="s">
        <v>1198</v>
      </c>
      <c r="U215" s="239" t="s">
        <v>2935</v>
      </c>
      <c r="V215" s="251"/>
    </row>
    <row r="216" spans="1:22" ht="30" customHeight="1">
      <c r="A216" s="239" t="s">
        <v>3914</v>
      </c>
      <c r="B216" s="239" t="s">
        <v>3915</v>
      </c>
      <c r="C216" s="240" t="s">
        <v>3916</v>
      </c>
      <c r="D216" s="239" t="s">
        <v>74</v>
      </c>
      <c r="E216" s="241" t="s">
        <v>2795</v>
      </c>
      <c r="F216" s="239" t="s">
        <v>2924</v>
      </c>
      <c r="G216" s="241"/>
      <c r="H216" s="241">
        <v>40</v>
      </c>
      <c r="I216" s="240" t="s">
        <v>3940</v>
      </c>
      <c r="J216" s="240"/>
      <c r="K216" s="240"/>
      <c r="L216" s="240"/>
      <c r="M216" s="240" t="s">
        <v>3919</v>
      </c>
      <c r="N216" s="240" t="s">
        <v>3941</v>
      </c>
      <c r="O216" s="240" t="s">
        <v>1198</v>
      </c>
      <c r="P216" s="240" t="s">
        <v>3942</v>
      </c>
      <c r="Q216" s="239" t="s">
        <v>3922</v>
      </c>
      <c r="R216" s="241">
        <v>1</v>
      </c>
      <c r="S216" s="240" t="s">
        <v>3943</v>
      </c>
      <c r="T216" s="242" t="s">
        <v>1198</v>
      </c>
      <c r="U216" s="239" t="s">
        <v>2935</v>
      </c>
      <c r="V216" s="251"/>
    </row>
    <row r="217" spans="1:22" ht="30" customHeight="1">
      <c r="A217" s="239" t="s">
        <v>3914</v>
      </c>
      <c r="B217" s="239" t="s">
        <v>3915</v>
      </c>
      <c r="C217" s="240" t="s">
        <v>3916</v>
      </c>
      <c r="D217" s="239" t="s">
        <v>74</v>
      </c>
      <c r="E217" s="241" t="s">
        <v>2795</v>
      </c>
      <c r="F217" s="239" t="s">
        <v>2924</v>
      </c>
      <c r="G217" s="241"/>
      <c r="H217" s="241">
        <v>40</v>
      </c>
      <c r="I217" s="240" t="s">
        <v>3944</v>
      </c>
      <c r="J217" s="240"/>
      <c r="K217" s="240"/>
      <c r="L217" s="240"/>
      <c r="M217" s="240" t="s">
        <v>3919</v>
      </c>
      <c r="N217" s="240" t="s">
        <v>3945</v>
      </c>
      <c r="O217" s="240" t="s">
        <v>1198</v>
      </c>
      <c r="P217" s="240" t="s">
        <v>3946</v>
      </c>
      <c r="Q217" s="239" t="s">
        <v>3922</v>
      </c>
      <c r="R217" s="241">
        <v>1</v>
      </c>
      <c r="S217" s="240" t="s">
        <v>3947</v>
      </c>
      <c r="T217" s="242" t="s">
        <v>1198</v>
      </c>
      <c r="U217" s="239" t="s">
        <v>2935</v>
      </c>
      <c r="V217" s="251"/>
    </row>
    <row r="218" spans="1:22" ht="30" customHeight="1">
      <c r="A218" s="239" t="s">
        <v>3914</v>
      </c>
      <c r="B218" s="239" t="s">
        <v>3915</v>
      </c>
      <c r="C218" s="240" t="s">
        <v>3916</v>
      </c>
      <c r="D218" s="239" t="s">
        <v>74</v>
      </c>
      <c r="E218" s="241" t="s">
        <v>2795</v>
      </c>
      <c r="F218" s="239" t="s">
        <v>2924</v>
      </c>
      <c r="G218" s="241"/>
      <c r="H218" s="241">
        <v>40</v>
      </c>
      <c r="I218" s="240" t="s">
        <v>3948</v>
      </c>
      <c r="J218" s="240"/>
      <c r="K218" s="240"/>
      <c r="L218" s="240"/>
      <c r="M218" s="240" t="s">
        <v>3919</v>
      </c>
      <c r="N218" s="240" t="s">
        <v>3949</v>
      </c>
      <c r="O218" s="240" t="s">
        <v>1198</v>
      </c>
      <c r="P218" s="240" t="s">
        <v>3950</v>
      </c>
      <c r="Q218" s="239" t="s">
        <v>3922</v>
      </c>
      <c r="R218" s="241">
        <v>1</v>
      </c>
      <c r="S218" s="240" t="s">
        <v>3951</v>
      </c>
      <c r="T218" s="242" t="s">
        <v>1198</v>
      </c>
      <c r="U218" s="239" t="s">
        <v>2935</v>
      </c>
      <c r="V218" s="251"/>
    </row>
    <row r="219" spans="1:22" ht="30" customHeight="1">
      <c r="A219" s="239" t="s">
        <v>3914</v>
      </c>
      <c r="B219" s="239" t="s">
        <v>3915</v>
      </c>
      <c r="C219" s="240" t="s">
        <v>3916</v>
      </c>
      <c r="D219" s="239" t="s">
        <v>74</v>
      </c>
      <c r="E219" s="241" t="s">
        <v>2795</v>
      </c>
      <c r="F219" s="239" t="s">
        <v>2924</v>
      </c>
      <c r="G219" s="241"/>
      <c r="H219" s="241">
        <v>40</v>
      </c>
      <c r="I219" s="240" t="s">
        <v>3952</v>
      </c>
      <c r="J219" s="240"/>
      <c r="K219" s="240"/>
      <c r="L219" s="240"/>
      <c r="M219" s="240" t="s">
        <v>3919</v>
      </c>
      <c r="N219" s="240" t="s">
        <v>3953</v>
      </c>
      <c r="O219" s="240" t="s">
        <v>1198</v>
      </c>
      <c r="P219" s="240" t="s">
        <v>3954</v>
      </c>
      <c r="Q219" s="239" t="s">
        <v>3922</v>
      </c>
      <c r="R219" s="241">
        <v>1</v>
      </c>
      <c r="S219" s="240" t="s">
        <v>3955</v>
      </c>
      <c r="T219" s="242" t="s">
        <v>1198</v>
      </c>
      <c r="U219" s="239" t="s">
        <v>2935</v>
      </c>
      <c r="V219" s="251"/>
    </row>
    <row r="220" spans="1:22" ht="30" customHeight="1">
      <c r="A220" s="239" t="s">
        <v>3914</v>
      </c>
      <c r="B220" s="239" t="s">
        <v>3915</v>
      </c>
      <c r="C220" s="240" t="s">
        <v>3916</v>
      </c>
      <c r="D220" s="239" t="s">
        <v>74</v>
      </c>
      <c r="E220" s="241" t="s">
        <v>2795</v>
      </c>
      <c r="F220" s="239" t="s">
        <v>2924</v>
      </c>
      <c r="G220" s="241"/>
      <c r="H220" s="241">
        <v>40</v>
      </c>
      <c r="I220" s="240" t="s">
        <v>3956</v>
      </c>
      <c r="J220" s="240"/>
      <c r="K220" s="240"/>
      <c r="L220" s="240"/>
      <c r="M220" s="240" t="s">
        <v>3919</v>
      </c>
      <c r="N220" s="240" t="s">
        <v>3957</v>
      </c>
      <c r="O220" s="240" t="s">
        <v>1198</v>
      </c>
      <c r="P220" s="240" t="s">
        <v>3958</v>
      </c>
      <c r="Q220" s="239" t="s">
        <v>3922</v>
      </c>
      <c r="R220" s="241">
        <v>1</v>
      </c>
      <c r="S220" s="240" t="s">
        <v>3959</v>
      </c>
      <c r="T220" s="242" t="s">
        <v>1198</v>
      </c>
      <c r="U220" s="239" t="s">
        <v>2935</v>
      </c>
      <c r="V220" s="251"/>
    </row>
    <row r="221" spans="1:22" ht="30" customHeight="1">
      <c r="A221" s="239" t="s">
        <v>3914</v>
      </c>
      <c r="B221" s="239" t="s">
        <v>3915</v>
      </c>
      <c r="C221" s="240" t="s">
        <v>3916</v>
      </c>
      <c r="D221" s="239" t="s">
        <v>74</v>
      </c>
      <c r="E221" s="241" t="s">
        <v>2795</v>
      </c>
      <c r="F221" s="239" t="s">
        <v>2924</v>
      </c>
      <c r="G221" s="241"/>
      <c r="H221" s="241">
        <v>40</v>
      </c>
      <c r="I221" s="240" t="s">
        <v>3960</v>
      </c>
      <c r="J221" s="240"/>
      <c r="K221" s="240"/>
      <c r="L221" s="240"/>
      <c r="M221" s="240" t="s">
        <v>3919</v>
      </c>
      <c r="N221" s="240" t="s">
        <v>3961</v>
      </c>
      <c r="O221" s="240" t="s">
        <v>1198</v>
      </c>
      <c r="P221" s="240" t="s">
        <v>3962</v>
      </c>
      <c r="Q221" s="239" t="s">
        <v>3922</v>
      </c>
      <c r="R221" s="241">
        <v>1</v>
      </c>
      <c r="S221" s="240" t="s">
        <v>3963</v>
      </c>
      <c r="T221" s="242" t="s">
        <v>1198</v>
      </c>
      <c r="U221" s="239" t="s">
        <v>2935</v>
      </c>
      <c r="V221" s="251"/>
    </row>
    <row r="222" spans="1:22" ht="30" customHeight="1">
      <c r="A222" s="239" t="s">
        <v>3914</v>
      </c>
      <c r="B222" s="239" t="s">
        <v>3915</v>
      </c>
      <c r="C222" s="240" t="s">
        <v>3916</v>
      </c>
      <c r="D222" s="239" t="s">
        <v>74</v>
      </c>
      <c r="E222" s="241" t="s">
        <v>2795</v>
      </c>
      <c r="F222" s="239" t="s">
        <v>2924</v>
      </c>
      <c r="G222" s="241"/>
      <c r="H222" s="241">
        <v>40</v>
      </c>
      <c r="I222" s="240" t="s">
        <v>3964</v>
      </c>
      <c r="J222" s="240"/>
      <c r="K222" s="240"/>
      <c r="L222" s="240"/>
      <c r="M222" s="240" t="s">
        <v>3919</v>
      </c>
      <c r="N222" s="240" t="s">
        <v>3965</v>
      </c>
      <c r="O222" s="240" t="s">
        <v>1198</v>
      </c>
      <c r="P222" s="240" t="s">
        <v>3966</v>
      </c>
      <c r="Q222" s="239" t="s">
        <v>3922</v>
      </c>
      <c r="R222" s="241">
        <v>1</v>
      </c>
      <c r="S222" s="240" t="s">
        <v>3967</v>
      </c>
      <c r="T222" s="242" t="s">
        <v>1198</v>
      </c>
      <c r="U222" s="239" t="s">
        <v>2935</v>
      </c>
      <c r="V222" s="251"/>
    </row>
    <row r="223" spans="1:22" ht="30" customHeight="1">
      <c r="A223" s="239" t="s">
        <v>3914</v>
      </c>
      <c r="B223" s="239" t="s">
        <v>3915</v>
      </c>
      <c r="C223" s="240" t="s">
        <v>3916</v>
      </c>
      <c r="D223" s="239" t="s">
        <v>74</v>
      </c>
      <c r="E223" s="241" t="s">
        <v>2795</v>
      </c>
      <c r="F223" s="239" t="s">
        <v>2924</v>
      </c>
      <c r="G223" s="241"/>
      <c r="H223" s="241">
        <v>40</v>
      </c>
      <c r="I223" s="240" t="s">
        <v>3968</v>
      </c>
      <c r="J223" s="240"/>
      <c r="K223" s="240"/>
      <c r="L223" s="240"/>
      <c r="M223" s="240" t="s">
        <v>3919</v>
      </c>
      <c r="N223" s="240" t="s">
        <v>3969</v>
      </c>
      <c r="O223" s="240" t="s">
        <v>1198</v>
      </c>
      <c r="P223" s="240" t="s">
        <v>3970</v>
      </c>
      <c r="Q223" s="239" t="s">
        <v>3922</v>
      </c>
      <c r="R223" s="241">
        <v>1</v>
      </c>
      <c r="S223" s="240" t="s">
        <v>3971</v>
      </c>
      <c r="T223" s="242" t="s">
        <v>1198</v>
      </c>
      <c r="U223" s="239" t="s">
        <v>2935</v>
      </c>
      <c r="V223" s="251"/>
    </row>
    <row r="224" spans="1:22" ht="30" customHeight="1">
      <c r="A224" s="239" t="s">
        <v>3914</v>
      </c>
      <c r="B224" s="239" t="s">
        <v>3915</v>
      </c>
      <c r="C224" s="240" t="s">
        <v>3916</v>
      </c>
      <c r="D224" s="239" t="s">
        <v>74</v>
      </c>
      <c r="E224" s="241" t="s">
        <v>2795</v>
      </c>
      <c r="F224" s="239" t="s">
        <v>2924</v>
      </c>
      <c r="G224" s="241"/>
      <c r="H224" s="241">
        <v>40</v>
      </c>
      <c r="I224" s="240" t="s">
        <v>3972</v>
      </c>
      <c r="J224" s="240"/>
      <c r="K224" s="240"/>
      <c r="L224" s="240"/>
      <c r="M224" s="240" t="s">
        <v>3919</v>
      </c>
      <c r="N224" s="240" t="s">
        <v>3973</v>
      </c>
      <c r="O224" s="240" t="s">
        <v>1198</v>
      </c>
      <c r="P224" s="240" t="s">
        <v>3974</v>
      </c>
      <c r="Q224" s="239" t="s">
        <v>3922</v>
      </c>
      <c r="R224" s="241">
        <v>1</v>
      </c>
      <c r="S224" s="240" t="s">
        <v>3975</v>
      </c>
      <c r="T224" s="242" t="s">
        <v>1198</v>
      </c>
      <c r="U224" s="239" t="s">
        <v>2935</v>
      </c>
      <c r="V224" s="251"/>
    </row>
    <row r="225" spans="1:22" ht="30" customHeight="1">
      <c r="A225" s="239" t="s">
        <v>3914</v>
      </c>
      <c r="B225" s="239" t="s">
        <v>3915</v>
      </c>
      <c r="C225" s="240" t="s">
        <v>3916</v>
      </c>
      <c r="D225" s="239" t="s">
        <v>74</v>
      </c>
      <c r="E225" s="241" t="s">
        <v>2795</v>
      </c>
      <c r="F225" s="239" t="s">
        <v>2924</v>
      </c>
      <c r="G225" s="241"/>
      <c r="H225" s="241">
        <v>40</v>
      </c>
      <c r="I225" s="240" t="s">
        <v>3976</v>
      </c>
      <c r="J225" s="240"/>
      <c r="K225" s="240"/>
      <c r="L225" s="240"/>
      <c r="M225" s="240" t="s">
        <v>3919</v>
      </c>
      <c r="N225" s="240" t="s">
        <v>3977</v>
      </c>
      <c r="O225" s="240" t="s">
        <v>1198</v>
      </c>
      <c r="P225" s="240" t="s">
        <v>3978</v>
      </c>
      <c r="Q225" s="239" t="s">
        <v>3922</v>
      </c>
      <c r="R225" s="241">
        <v>1</v>
      </c>
      <c r="S225" s="240" t="s">
        <v>3979</v>
      </c>
      <c r="T225" s="242" t="s">
        <v>1198</v>
      </c>
      <c r="U225" s="239" t="s">
        <v>2935</v>
      </c>
      <c r="V225" s="251"/>
    </row>
    <row r="226" spans="1:22" ht="30" customHeight="1">
      <c r="A226" s="239" t="s">
        <v>3914</v>
      </c>
      <c r="B226" s="239" t="s">
        <v>3915</v>
      </c>
      <c r="C226" s="240" t="s">
        <v>3916</v>
      </c>
      <c r="D226" s="239" t="s">
        <v>74</v>
      </c>
      <c r="E226" s="241" t="s">
        <v>2795</v>
      </c>
      <c r="F226" s="239" t="s">
        <v>2924</v>
      </c>
      <c r="G226" s="241"/>
      <c r="H226" s="241">
        <v>40</v>
      </c>
      <c r="I226" s="240" t="s">
        <v>3980</v>
      </c>
      <c r="J226" s="240"/>
      <c r="K226" s="240"/>
      <c r="L226" s="240"/>
      <c r="M226" s="240" t="s">
        <v>3919</v>
      </c>
      <c r="N226" s="240" t="s">
        <v>3981</v>
      </c>
      <c r="O226" s="240" t="s">
        <v>1198</v>
      </c>
      <c r="P226" s="240" t="s">
        <v>3982</v>
      </c>
      <c r="Q226" s="239" t="s">
        <v>3922</v>
      </c>
      <c r="R226" s="241">
        <v>1</v>
      </c>
      <c r="S226" s="240" t="s">
        <v>3983</v>
      </c>
      <c r="T226" s="242" t="s">
        <v>1198</v>
      </c>
      <c r="U226" s="239" t="s">
        <v>2935</v>
      </c>
      <c r="V226" s="251"/>
    </row>
    <row r="227" spans="1:22" ht="30" customHeight="1">
      <c r="A227" s="239" t="s">
        <v>3914</v>
      </c>
      <c r="B227" s="239" t="s">
        <v>3915</v>
      </c>
      <c r="C227" s="240" t="s">
        <v>3916</v>
      </c>
      <c r="D227" s="239" t="s">
        <v>74</v>
      </c>
      <c r="E227" s="241" t="s">
        <v>2795</v>
      </c>
      <c r="F227" s="239" t="s">
        <v>2924</v>
      </c>
      <c r="G227" s="241"/>
      <c r="H227" s="241">
        <v>40</v>
      </c>
      <c r="I227" s="240" t="s">
        <v>3984</v>
      </c>
      <c r="J227" s="240"/>
      <c r="K227" s="240"/>
      <c r="L227" s="240"/>
      <c r="M227" s="240" t="s">
        <v>3919</v>
      </c>
      <c r="N227" s="240" t="s">
        <v>3985</v>
      </c>
      <c r="O227" s="240" t="s">
        <v>1198</v>
      </c>
      <c r="P227" s="240" t="s">
        <v>3986</v>
      </c>
      <c r="Q227" s="239" t="s">
        <v>3922</v>
      </c>
      <c r="R227" s="241">
        <v>1</v>
      </c>
      <c r="S227" s="240" t="s">
        <v>3987</v>
      </c>
      <c r="T227" s="242" t="s">
        <v>1198</v>
      </c>
      <c r="U227" s="239" t="s">
        <v>2935</v>
      </c>
      <c r="V227" s="251"/>
    </row>
    <row r="228" spans="1:22" ht="30" customHeight="1">
      <c r="A228" s="239" t="s">
        <v>3914</v>
      </c>
      <c r="B228" s="239" t="s">
        <v>3915</v>
      </c>
      <c r="C228" s="240" t="s">
        <v>3916</v>
      </c>
      <c r="D228" s="239" t="s">
        <v>74</v>
      </c>
      <c r="E228" s="241" t="s">
        <v>2795</v>
      </c>
      <c r="F228" s="239" t="s">
        <v>2924</v>
      </c>
      <c r="G228" s="241"/>
      <c r="H228" s="241">
        <v>40</v>
      </c>
      <c r="I228" s="240" t="s">
        <v>3988</v>
      </c>
      <c r="J228" s="240"/>
      <c r="K228" s="240"/>
      <c r="L228" s="240"/>
      <c r="M228" s="240" t="s">
        <v>3919</v>
      </c>
      <c r="N228" s="240" t="s">
        <v>3989</v>
      </c>
      <c r="O228" s="240" t="s">
        <v>1198</v>
      </c>
      <c r="P228" s="240" t="s">
        <v>3990</v>
      </c>
      <c r="Q228" s="239" t="s">
        <v>3922</v>
      </c>
      <c r="R228" s="241">
        <v>1</v>
      </c>
      <c r="S228" s="240" t="s">
        <v>3991</v>
      </c>
      <c r="T228" s="242" t="s">
        <v>1198</v>
      </c>
      <c r="U228" s="239" t="s">
        <v>2935</v>
      </c>
      <c r="V228" s="251"/>
    </row>
    <row r="229" spans="1:22" ht="30" customHeight="1">
      <c r="A229" s="239" t="s">
        <v>3914</v>
      </c>
      <c r="B229" s="239" t="s">
        <v>3915</v>
      </c>
      <c r="C229" s="240" t="s">
        <v>3916</v>
      </c>
      <c r="D229" s="239" t="s">
        <v>74</v>
      </c>
      <c r="E229" s="241" t="s">
        <v>2795</v>
      </c>
      <c r="F229" s="239" t="s">
        <v>2924</v>
      </c>
      <c r="G229" s="241"/>
      <c r="H229" s="241">
        <v>40</v>
      </c>
      <c r="I229" s="240" t="s">
        <v>3992</v>
      </c>
      <c r="J229" s="240"/>
      <c r="K229" s="240"/>
      <c r="L229" s="240"/>
      <c r="M229" s="240" t="s">
        <v>3919</v>
      </c>
      <c r="N229" s="240" t="s">
        <v>3993</v>
      </c>
      <c r="O229" s="240" t="s">
        <v>1198</v>
      </c>
      <c r="P229" s="240" t="s">
        <v>3994</v>
      </c>
      <c r="Q229" s="239" t="s">
        <v>3922</v>
      </c>
      <c r="R229" s="241">
        <v>1</v>
      </c>
      <c r="S229" s="240" t="s">
        <v>3995</v>
      </c>
      <c r="T229" s="242" t="s">
        <v>1198</v>
      </c>
      <c r="U229" s="239" t="s">
        <v>2935</v>
      </c>
      <c r="V229" s="251"/>
    </row>
    <row r="230" spans="1:22" ht="30" customHeight="1">
      <c r="A230" s="239" t="s">
        <v>3914</v>
      </c>
      <c r="B230" s="239" t="s">
        <v>3915</v>
      </c>
      <c r="C230" s="240" t="s">
        <v>3916</v>
      </c>
      <c r="D230" s="239" t="s">
        <v>74</v>
      </c>
      <c r="E230" s="241" t="s">
        <v>2795</v>
      </c>
      <c r="F230" s="239" t="s">
        <v>2924</v>
      </c>
      <c r="G230" s="241"/>
      <c r="H230" s="241">
        <v>40</v>
      </c>
      <c r="I230" s="240" t="s">
        <v>3996</v>
      </c>
      <c r="J230" s="240"/>
      <c r="K230" s="240"/>
      <c r="L230" s="240"/>
      <c r="M230" s="240" t="s">
        <v>3919</v>
      </c>
      <c r="N230" s="240" t="s">
        <v>3997</v>
      </c>
      <c r="O230" s="240" t="s">
        <v>1198</v>
      </c>
      <c r="P230" s="240" t="s">
        <v>3998</v>
      </c>
      <c r="Q230" s="239" t="s">
        <v>3922</v>
      </c>
      <c r="R230" s="241">
        <v>1</v>
      </c>
      <c r="S230" s="240" t="s">
        <v>3999</v>
      </c>
      <c r="T230" s="242" t="s">
        <v>1198</v>
      </c>
      <c r="U230" s="239" t="s">
        <v>2935</v>
      </c>
      <c r="V230" s="251"/>
    </row>
    <row r="231" spans="1:22" ht="30" customHeight="1">
      <c r="A231" s="239" t="s">
        <v>3914</v>
      </c>
      <c r="B231" s="239" t="s">
        <v>3915</v>
      </c>
      <c r="C231" s="240" t="s">
        <v>3916</v>
      </c>
      <c r="D231" s="239" t="s">
        <v>74</v>
      </c>
      <c r="E231" s="241" t="s">
        <v>2795</v>
      </c>
      <c r="F231" s="239" t="s">
        <v>2924</v>
      </c>
      <c r="G231" s="241"/>
      <c r="H231" s="241">
        <v>40</v>
      </c>
      <c r="I231" s="240" t="s">
        <v>4000</v>
      </c>
      <c r="J231" s="240"/>
      <c r="K231" s="240"/>
      <c r="L231" s="240"/>
      <c r="M231" s="240" t="s">
        <v>3919</v>
      </c>
      <c r="N231" s="240" t="s">
        <v>4001</v>
      </c>
      <c r="O231" s="240" t="s">
        <v>1198</v>
      </c>
      <c r="P231" s="240" t="s">
        <v>4002</v>
      </c>
      <c r="Q231" s="239" t="s">
        <v>3922</v>
      </c>
      <c r="R231" s="241">
        <v>1</v>
      </c>
      <c r="S231" s="240" t="s">
        <v>4003</v>
      </c>
      <c r="T231" s="242" t="s">
        <v>1198</v>
      </c>
      <c r="U231" s="239" t="s">
        <v>2935</v>
      </c>
      <c r="V231" s="251"/>
    </row>
    <row r="232" spans="1:22" ht="30" customHeight="1">
      <c r="A232" s="239" t="s">
        <v>3914</v>
      </c>
      <c r="B232" s="239" t="s">
        <v>3915</v>
      </c>
      <c r="C232" s="240" t="s">
        <v>3916</v>
      </c>
      <c r="D232" s="239" t="s">
        <v>74</v>
      </c>
      <c r="E232" s="241" t="s">
        <v>2795</v>
      </c>
      <c r="F232" s="239" t="s">
        <v>2924</v>
      </c>
      <c r="G232" s="241"/>
      <c r="H232" s="241">
        <v>40</v>
      </c>
      <c r="I232" s="240" t="s">
        <v>4004</v>
      </c>
      <c r="J232" s="240"/>
      <c r="K232" s="240"/>
      <c r="L232" s="240"/>
      <c r="M232" s="240" t="s">
        <v>3919</v>
      </c>
      <c r="N232" s="240" t="s">
        <v>4005</v>
      </c>
      <c r="O232" s="240" t="s">
        <v>1198</v>
      </c>
      <c r="P232" s="240" t="s">
        <v>4002</v>
      </c>
      <c r="Q232" s="239" t="s">
        <v>3922</v>
      </c>
      <c r="R232" s="241">
        <v>1</v>
      </c>
      <c r="S232" s="240" t="s">
        <v>4006</v>
      </c>
      <c r="T232" s="242" t="s">
        <v>1198</v>
      </c>
      <c r="U232" s="239" t="s">
        <v>2935</v>
      </c>
      <c r="V232" s="251"/>
    </row>
    <row r="233" spans="1:22" ht="30" customHeight="1">
      <c r="A233" s="239" t="s">
        <v>3914</v>
      </c>
      <c r="B233" s="239" t="s">
        <v>3915</v>
      </c>
      <c r="C233" s="240" t="s">
        <v>3916</v>
      </c>
      <c r="D233" s="239" t="s">
        <v>74</v>
      </c>
      <c r="E233" s="241" t="s">
        <v>2795</v>
      </c>
      <c r="F233" s="239" t="s">
        <v>2924</v>
      </c>
      <c r="G233" s="241"/>
      <c r="H233" s="241">
        <v>40</v>
      </c>
      <c r="I233" s="240" t="s">
        <v>4007</v>
      </c>
      <c r="J233" s="240"/>
      <c r="K233" s="240"/>
      <c r="L233" s="240"/>
      <c r="M233" s="240" t="s">
        <v>3919</v>
      </c>
      <c r="N233" s="240" t="s">
        <v>4008</v>
      </c>
      <c r="O233" s="240" t="s">
        <v>1198</v>
      </c>
      <c r="P233" s="240" t="s">
        <v>4009</v>
      </c>
      <c r="Q233" s="239" t="s">
        <v>3922</v>
      </c>
      <c r="R233" s="241">
        <v>1</v>
      </c>
      <c r="S233" s="240" t="s">
        <v>4010</v>
      </c>
      <c r="T233" s="242" t="s">
        <v>1198</v>
      </c>
      <c r="U233" s="239" t="s">
        <v>2935</v>
      </c>
      <c r="V233" s="251"/>
    </row>
    <row r="234" spans="1:22" ht="30" customHeight="1">
      <c r="A234" s="239" t="s">
        <v>3914</v>
      </c>
      <c r="B234" s="239" t="s">
        <v>3915</v>
      </c>
      <c r="C234" s="240" t="s">
        <v>3916</v>
      </c>
      <c r="D234" s="239" t="s">
        <v>74</v>
      </c>
      <c r="E234" s="241" t="s">
        <v>2795</v>
      </c>
      <c r="F234" s="239" t="s">
        <v>2924</v>
      </c>
      <c r="G234" s="241"/>
      <c r="H234" s="241">
        <v>40</v>
      </c>
      <c r="I234" s="240" t="s">
        <v>4011</v>
      </c>
      <c r="J234" s="240"/>
      <c r="K234" s="240"/>
      <c r="L234" s="240"/>
      <c r="M234" s="240" t="s">
        <v>3919</v>
      </c>
      <c r="N234" s="240" t="s">
        <v>4012</v>
      </c>
      <c r="O234" s="240" t="s">
        <v>1198</v>
      </c>
      <c r="P234" s="240" t="s">
        <v>4013</v>
      </c>
      <c r="Q234" s="239" t="s">
        <v>3922</v>
      </c>
      <c r="R234" s="241">
        <v>1</v>
      </c>
      <c r="S234" s="240" t="s">
        <v>4014</v>
      </c>
      <c r="T234" s="242" t="s">
        <v>1198</v>
      </c>
      <c r="U234" s="239" t="s">
        <v>2935</v>
      </c>
      <c r="V234" s="251"/>
    </row>
    <row r="235" spans="1:22" ht="30" customHeight="1">
      <c r="A235" s="239" t="s">
        <v>3914</v>
      </c>
      <c r="B235" s="239" t="s">
        <v>3915</v>
      </c>
      <c r="C235" s="240" t="s">
        <v>3916</v>
      </c>
      <c r="D235" s="239" t="s">
        <v>74</v>
      </c>
      <c r="E235" s="241" t="s">
        <v>2795</v>
      </c>
      <c r="F235" s="239" t="s">
        <v>2924</v>
      </c>
      <c r="G235" s="241"/>
      <c r="H235" s="241">
        <v>40</v>
      </c>
      <c r="I235" s="240" t="s">
        <v>4015</v>
      </c>
      <c r="J235" s="240"/>
      <c r="K235" s="240"/>
      <c r="L235" s="240"/>
      <c r="M235" s="240" t="s">
        <v>3919</v>
      </c>
      <c r="N235" s="240" t="s">
        <v>4016</v>
      </c>
      <c r="O235" s="240" t="s">
        <v>1198</v>
      </c>
      <c r="P235" s="240" t="s">
        <v>4017</v>
      </c>
      <c r="Q235" s="239" t="s">
        <v>3922</v>
      </c>
      <c r="R235" s="241">
        <v>1</v>
      </c>
      <c r="S235" s="240" t="s">
        <v>4018</v>
      </c>
      <c r="T235" s="242" t="s">
        <v>1198</v>
      </c>
      <c r="U235" s="239" t="s">
        <v>2935</v>
      </c>
      <c r="V235" s="251"/>
    </row>
    <row r="236" spans="1:22" ht="30" customHeight="1">
      <c r="A236" s="239" t="s">
        <v>3914</v>
      </c>
      <c r="B236" s="239" t="s">
        <v>3915</v>
      </c>
      <c r="C236" s="240" t="s">
        <v>3916</v>
      </c>
      <c r="D236" s="239" t="s">
        <v>74</v>
      </c>
      <c r="E236" s="241" t="s">
        <v>2795</v>
      </c>
      <c r="F236" s="239" t="s">
        <v>2924</v>
      </c>
      <c r="G236" s="241"/>
      <c r="H236" s="241">
        <v>40</v>
      </c>
      <c r="I236" s="240" t="s">
        <v>4019</v>
      </c>
      <c r="J236" s="240"/>
      <c r="K236" s="240"/>
      <c r="L236" s="240"/>
      <c r="M236" s="240" t="s">
        <v>3919</v>
      </c>
      <c r="N236" s="240" t="s">
        <v>4020</v>
      </c>
      <c r="O236" s="240" t="s">
        <v>1198</v>
      </c>
      <c r="P236" s="240" t="s">
        <v>4021</v>
      </c>
      <c r="Q236" s="239" t="s">
        <v>3922</v>
      </c>
      <c r="R236" s="241">
        <v>1</v>
      </c>
      <c r="S236" s="240" t="s">
        <v>4022</v>
      </c>
      <c r="T236" s="242" t="s">
        <v>1198</v>
      </c>
      <c r="U236" s="239" t="s">
        <v>2935</v>
      </c>
      <c r="V236" s="251"/>
    </row>
    <row r="237" spans="1:22" ht="30" customHeight="1">
      <c r="A237" s="239" t="s">
        <v>3914</v>
      </c>
      <c r="B237" s="239" t="s">
        <v>3915</v>
      </c>
      <c r="C237" s="240" t="s">
        <v>3916</v>
      </c>
      <c r="D237" s="239" t="s">
        <v>74</v>
      </c>
      <c r="E237" s="241" t="s">
        <v>2795</v>
      </c>
      <c r="F237" s="239" t="s">
        <v>2924</v>
      </c>
      <c r="G237" s="241"/>
      <c r="H237" s="241">
        <v>40</v>
      </c>
      <c r="I237" s="240" t="s">
        <v>4023</v>
      </c>
      <c r="J237" s="240"/>
      <c r="K237" s="240"/>
      <c r="L237" s="240"/>
      <c r="M237" s="240" t="s">
        <v>3919</v>
      </c>
      <c r="N237" s="240" t="s">
        <v>4024</v>
      </c>
      <c r="O237" s="240" t="s">
        <v>1198</v>
      </c>
      <c r="P237" s="240" t="s">
        <v>4025</v>
      </c>
      <c r="Q237" s="239" t="s">
        <v>3922</v>
      </c>
      <c r="R237" s="241">
        <v>1</v>
      </c>
      <c r="S237" s="240" t="s">
        <v>4026</v>
      </c>
      <c r="T237" s="242" t="s">
        <v>1198</v>
      </c>
      <c r="U237" s="239" t="s">
        <v>2935</v>
      </c>
      <c r="V237" s="251"/>
    </row>
    <row r="238" spans="1:22" ht="30" customHeight="1">
      <c r="A238" s="239" t="s">
        <v>3914</v>
      </c>
      <c r="B238" s="239" t="s">
        <v>3915</v>
      </c>
      <c r="C238" s="240" t="s">
        <v>3916</v>
      </c>
      <c r="D238" s="239" t="s">
        <v>74</v>
      </c>
      <c r="E238" s="241" t="s">
        <v>2795</v>
      </c>
      <c r="F238" s="239" t="s">
        <v>2924</v>
      </c>
      <c r="G238" s="241"/>
      <c r="H238" s="241">
        <v>40</v>
      </c>
      <c r="I238" s="240" t="s">
        <v>4027</v>
      </c>
      <c r="J238" s="240"/>
      <c r="K238" s="240"/>
      <c r="L238" s="240"/>
      <c r="M238" s="240" t="s">
        <v>3919</v>
      </c>
      <c r="N238" s="240" t="s">
        <v>4028</v>
      </c>
      <c r="O238" s="240" t="s">
        <v>1198</v>
      </c>
      <c r="P238" s="240" t="s">
        <v>4029</v>
      </c>
      <c r="Q238" s="239" t="s">
        <v>3922</v>
      </c>
      <c r="R238" s="241">
        <v>1</v>
      </c>
      <c r="S238" s="240" t="s">
        <v>4030</v>
      </c>
      <c r="T238" s="242" t="s">
        <v>1198</v>
      </c>
      <c r="U238" s="239" t="s">
        <v>2935</v>
      </c>
      <c r="V238" s="251"/>
    </row>
    <row r="239" spans="1:22" ht="30" customHeight="1">
      <c r="A239" s="239" t="s">
        <v>3914</v>
      </c>
      <c r="B239" s="239" t="s">
        <v>3915</v>
      </c>
      <c r="C239" s="240" t="s">
        <v>3916</v>
      </c>
      <c r="D239" s="239" t="s">
        <v>74</v>
      </c>
      <c r="E239" s="241" t="s">
        <v>2795</v>
      </c>
      <c r="F239" s="239" t="s">
        <v>2924</v>
      </c>
      <c r="G239" s="241"/>
      <c r="H239" s="241">
        <v>40</v>
      </c>
      <c r="I239" s="240" t="s">
        <v>4031</v>
      </c>
      <c r="J239" s="240"/>
      <c r="K239" s="240"/>
      <c r="L239" s="240"/>
      <c r="M239" s="240" t="s">
        <v>3919</v>
      </c>
      <c r="N239" s="240" t="s">
        <v>4032</v>
      </c>
      <c r="O239" s="240" t="s">
        <v>1198</v>
      </c>
      <c r="P239" s="240" t="s">
        <v>4033</v>
      </c>
      <c r="Q239" s="239" t="s">
        <v>3922</v>
      </c>
      <c r="R239" s="241">
        <v>1</v>
      </c>
      <c r="S239" s="240" t="s">
        <v>4034</v>
      </c>
      <c r="T239" s="242" t="s">
        <v>1198</v>
      </c>
      <c r="U239" s="239" t="s">
        <v>2935</v>
      </c>
      <c r="V239" s="251"/>
    </row>
    <row r="240" spans="1:22" ht="30" customHeight="1">
      <c r="A240" s="239" t="s">
        <v>3914</v>
      </c>
      <c r="B240" s="239" t="s">
        <v>3915</v>
      </c>
      <c r="C240" s="240" t="s">
        <v>3916</v>
      </c>
      <c r="D240" s="239" t="s">
        <v>74</v>
      </c>
      <c r="E240" s="241" t="s">
        <v>2795</v>
      </c>
      <c r="F240" s="239" t="s">
        <v>2924</v>
      </c>
      <c r="G240" s="241"/>
      <c r="H240" s="241">
        <v>40</v>
      </c>
      <c r="I240" s="240" t="s">
        <v>4035</v>
      </c>
      <c r="J240" s="240"/>
      <c r="K240" s="240"/>
      <c r="L240" s="240"/>
      <c r="M240" s="240" t="s">
        <v>3919</v>
      </c>
      <c r="N240" s="240" t="s">
        <v>4036</v>
      </c>
      <c r="O240" s="240" t="s">
        <v>1198</v>
      </c>
      <c r="P240" s="240" t="s">
        <v>4037</v>
      </c>
      <c r="Q240" s="239" t="s">
        <v>3922</v>
      </c>
      <c r="R240" s="241">
        <v>1</v>
      </c>
      <c r="S240" s="240" t="s">
        <v>4038</v>
      </c>
      <c r="T240" s="242" t="s">
        <v>1198</v>
      </c>
      <c r="U240" s="239" t="s">
        <v>2935</v>
      </c>
      <c r="V240" s="251"/>
    </row>
    <row r="241" spans="1:22" ht="30" customHeight="1">
      <c r="A241" s="239" t="s">
        <v>4039</v>
      </c>
      <c r="B241" s="239" t="s">
        <v>4040</v>
      </c>
      <c r="C241" s="240" t="s">
        <v>4041</v>
      </c>
      <c r="D241" s="239" t="s">
        <v>74</v>
      </c>
      <c r="E241" s="241" t="s">
        <v>2795</v>
      </c>
      <c r="F241" s="239" t="s">
        <v>2924</v>
      </c>
      <c r="G241" s="241"/>
      <c r="H241" s="241">
        <v>40</v>
      </c>
      <c r="I241" s="240" t="s">
        <v>4042</v>
      </c>
      <c r="J241" s="240" t="s">
        <v>2998</v>
      </c>
      <c r="K241" s="240" t="s">
        <v>2953</v>
      </c>
      <c r="L241" s="240" t="s">
        <v>2954</v>
      </c>
      <c r="M241" s="240" t="s">
        <v>2801</v>
      </c>
      <c r="N241" s="240" t="s">
        <v>2801</v>
      </c>
      <c r="O241" s="240" t="s">
        <v>2801</v>
      </c>
      <c r="P241" s="240" t="s">
        <v>2801</v>
      </c>
      <c r="Q241" s="239" t="s">
        <v>2802</v>
      </c>
      <c r="R241" s="241">
        <v>1</v>
      </c>
      <c r="S241" s="240" t="s">
        <v>2801</v>
      </c>
      <c r="T241" s="242" t="s">
        <v>2801</v>
      </c>
      <c r="U241" s="239" t="s">
        <v>2803</v>
      </c>
      <c r="V241" s="251"/>
    </row>
    <row r="242" spans="1:22" ht="30" customHeight="1">
      <c r="A242" s="239" t="s">
        <v>4039</v>
      </c>
      <c r="B242" s="239" t="s">
        <v>4040</v>
      </c>
      <c r="C242" s="240" t="s">
        <v>4041</v>
      </c>
      <c r="D242" s="239" t="s">
        <v>74</v>
      </c>
      <c r="E242" s="241" t="s">
        <v>2795</v>
      </c>
      <c r="F242" s="239" t="s">
        <v>2924</v>
      </c>
      <c r="G242" s="241"/>
      <c r="H242" s="241">
        <v>40</v>
      </c>
      <c r="I242" s="240" t="s">
        <v>4043</v>
      </c>
      <c r="J242" s="240"/>
      <c r="K242" s="240"/>
      <c r="L242" s="240"/>
      <c r="M242" s="240" t="s">
        <v>4044</v>
      </c>
      <c r="N242" s="240" t="s">
        <v>4045</v>
      </c>
      <c r="O242" s="240" t="s">
        <v>1198</v>
      </c>
      <c r="P242" s="240" t="s">
        <v>4046</v>
      </c>
      <c r="Q242" s="239" t="s">
        <v>2864</v>
      </c>
      <c r="R242" s="241">
        <v>1</v>
      </c>
      <c r="S242" s="240" t="s">
        <v>4047</v>
      </c>
      <c r="T242" s="242" t="s">
        <v>1198</v>
      </c>
      <c r="U242" s="239" t="s">
        <v>2935</v>
      </c>
      <c r="V242" s="251"/>
    </row>
    <row r="243" spans="1:22" ht="30" customHeight="1">
      <c r="A243" s="239" t="s">
        <v>4039</v>
      </c>
      <c r="B243" s="239" t="s">
        <v>4040</v>
      </c>
      <c r="C243" s="240" t="s">
        <v>4041</v>
      </c>
      <c r="D243" s="239" t="s">
        <v>74</v>
      </c>
      <c r="E243" s="241" t="s">
        <v>2795</v>
      </c>
      <c r="F243" s="239" t="s">
        <v>2924</v>
      </c>
      <c r="G243" s="241"/>
      <c r="H243" s="241">
        <v>40</v>
      </c>
      <c r="I243" s="240" t="s">
        <v>4048</v>
      </c>
      <c r="J243" s="240"/>
      <c r="K243" s="240"/>
      <c r="L243" s="240"/>
      <c r="M243" s="240" t="s">
        <v>4049</v>
      </c>
      <c r="N243" s="240" t="s">
        <v>4050</v>
      </c>
      <c r="O243" s="240" t="s">
        <v>4051</v>
      </c>
      <c r="P243" s="240" t="s">
        <v>4052</v>
      </c>
      <c r="Q243" s="239" t="s">
        <v>2864</v>
      </c>
      <c r="R243" s="241">
        <v>1</v>
      </c>
      <c r="S243" s="240" t="s">
        <v>4053</v>
      </c>
      <c r="T243" s="242" t="s">
        <v>4054</v>
      </c>
      <c r="U243" s="239" t="s">
        <v>2935</v>
      </c>
      <c r="V243" s="251"/>
    </row>
    <row r="244" spans="1:22" ht="30" customHeight="1">
      <c r="A244" s="239" t="s">
        <v>4039</v>
      </c>
      <c r="B244" s="239" t="s">
        <v>4040</v>
      </c>
      <c r="C244" s="240" t="s">
        <v>4041</v>
      </c>
      <c r="D244" s="239" t="s">
        <v>74</v>
      </c>
      <c r="E244" s="241" t="s">
        <v>2795</v>
      </c>
      <c r="F244" s="239" t="s">
        <v>2924</v>
      </c>
      <c r="G244" s="241"/>
      <c r="H244" s="241">
        <v>40</v>
      </c>
      <c r="I244" s="240" t="s">
        <v>4055</v>
      </c>
      <c r="J244" s="240"/>
      <c r="K244" s="240"/>
      <c r="L244" s="240"/>
      <c r="M244" s="240" t="s">
        <v>4044</v>
      </c>
      <c r="N244" s="240" t="s">
        <v>4056</v>
      </c>
      <c r="O244" s="240" t="s">
        <v>4057</v>
      </c>
      <c r="P244" s="240" t="s">
        <v>4058</v>
      </c>
      <c r="Q244" s="239" t="s">
        <v>2864</v>
      </c>
      <c r="R244" s="241">
        <v>1</v>
      </c>
      <c r="S244" s="240" t="s">
        <v>4059</v>
      </c>
      <c r="T244" s="242" t="s">
        <v>4060</v>
      </c>
      <c r="U244" s="239" t="s">
        <v>2935</v>
      </c>
      <c r="V244" s="251"/>
    </row>
    <row r="245" spans="1:22" ht="30" customHeight="1">
      <c r="A245" s="239" t="s">
        <v>4039</v>
      </c>
      <c r="B245" s="239" t="s">
        <v>4040</v>
      </c>
      <c r="C245" s="240" t="s">
        <v>4041</v>
      </c>
      <c r="D245" s="239" t="s">
        <v>74</v>
      </c>
      <c r="E245" s="241" t="s">
        <v>2795</v>
      </c>
      <c r="F245" s="239" t="s">
        <v>2924</v>
      </c>
      <c r="G245" s="241"/>
      <c r="H245" s="241">
        <v>40</v>
      </c>
      <c r="I245" s="240" t="s">
        <v>4061</v>
      </c>
      <c r="J245" s="240"/>
      <c r="K245" s="240"/>
      <c r="L245" s="240"/>
      <c r="M245" s="240" t="s">
        <v>4044</v>
      </c>
      <c r="N245" s="240" t="s">
        <v>4062</v>
      </c>
      <c r="O245" s="240" t="s">
        <v>4063</v>
      </c>
      <c r="P245" s="240" t="s">
        <v>4064</v>
      </c>
      <c r="Q245" s="239" t="s">
        <v>2864</v>
      </c>
      <c r="R245" s="241">
        <v>1</v>
      </c>
      <c r="S245" s="240" t="s">
        <v>4065</v>
      </c>
      <c r="T245" s="242" t="s">
        <v>4060</v>
      </c>
      <c r="U245" s="239" t="s">
        <v>2935</v>
      </c>
      <c r="V245" s="251"/>
    </row>
    <row r="246" spans="1:22" ht="30" customHeight="1">
      <c r="A246" s="239" t="s">
        <v>4039</v>
      </c>
      <c r="B246" s="239" t="s">
        <v>4040</v>
      </c>
      <c r="C246" s="240" t="s">
        <v>4041</v>
      </c>
      <c r="D246" s="239" t="s">
        <v>74</v>
      </c>
      <c r="E246" s="241" t="s">
        <v>2795</v>
      </c>
      <c r="F246" s="239" t="s">
        <v>2924</v>
      </c>
      <c r="G246" s="241"/>
      <c r="H246" s="241">
        <v>40</v>
      </c>
      <c r="I246" s="240" t="s">
        <v>4066</v>
      </c>
      <c r="J246" s="240"/>
      <c r="K246" s="240"/>
      <c r="L246" s="240"/>
      <c r="M246" s="240" t="s">
        <v>4044</v>
      </c>
      <c r="N246" s="240" t="s">
        <v>4067</v>
      </c>
      <c r="O246" s="240" t="s">
        <v>4068</v>
      </c>
      <c r="P246" s="240" t="s">
        <v>4069</v>
      </c>
      <c r="Q246" s="239" t="s">
        <v>2864</v>
      </c>
      <c r="R246" s="241">
        <v>1</v>
      </c>
      <c r="S246" s="240" t="s">
        <v>4070</v>
      </c>
      <c r="T246" s="242" t="s">
        <v>4060</v>
      </c>
      <c r="U246" s="239" t="s">
        <v>2935</v>
      </c>
      <c r="V246" s="251"/>
    </row>
    <row r="247" spans="1:22" ht="30" customHeight="1">
      <c r="A247" s="239" t="s">
        <v>4039</v>
      </c>
      <c r="B247" s="239" t="s">
        <v>4040</v>
      </c>
      <c r="C247" s="240" t="s">
        <v>4041</v>
      </c>
      <c r="D247" s="239" t="s">
        <v>74</v>
      </c>
      <c r="E247" s="241" t="s">
        <v>2795</v>
      </c>
      <c r="F247" s="239" t="s">
        <v>2924</v>
      </c>
      <c r="G247" s="241"/>
      <c r="H247" s="241">
        <v>40</v>
      </c>
      <c r="I247" s="240" t="s">
        <v>4071</v>
      </c>
      <c r="J247" s="240"/>
      <c r="K247" s="240"/>
      <c r="L247" s="240"/>
      <c r="M247" s="240" t="s">
        <v>4044</v>
      </c>
      <c r="N247" s="240" t="s">
        <v>4072</v>
      </c>
      <c r="O247" s="240" t="s">
        <v>1198</v>
      </c>
      <c r="P247" s="240" t="s">
        <v>4073</v>
      </c>
      <c r="Q247" s="239" t="s">
        <v>2864</v>
      </c>
      <c r="R247" s="241">
        <v>1</v>
      </c>
      <c r="S247" s="240" t="s">
        <v>4074</v>
      </c>
      <c r="T247" s="242" t="s">
        <v>1198</v>
      </c>
      <c r="U247" s="239" t="s">
        <v>2935</v>
      </c>
      <c r="V247" s="251"/>
    </row>
    <row r="248" spans="1:22" ht="30" customHeight="1">
      <c r="A248" s="239" t="s">
        <v>4039</v>
      </c>
      <c r="B248" s="239" t="s">
        <v>4040</v>
      </c>
      <c r="C248" s="240" t="s">
        <v>4041</v>
      </c>
      <c r="D248" s="239" t="s">
        <v>74</v>
      </c>
      <c r="E248" s="241" t="s">
        <v>2795</v>
      </c>
      <c r="F248" s="239" t="s">
        <v>2924</v>
      </c>
      <c r="G248" s="241"/>
      <c r="H248" s="241">
        <v>40</v>
      </c>
      <c r="I248" s="240" t="s">
        <v>4075</v>
      </c>
      <c r="J248" s="240"/>
      <c r="K248" s="240"/>
      <c r="L248" s="240"/>
      <c r="M248" s="240" t="s">
        <v>4044</v>
      </c>
      <c r="N248" s="240" t="s">
        <v>4076</v>
      </c>
      <c r="O248" s="240" t="s">
        <v>4077</v>
      </c>
      <c r="P248" s="240" t="s">
        <v>4078</v>
      </c>
      <c r="Q248" s="239" t="s">
        <v>2864</v>
      </c>
      <c r="R248" s="241">
        <v>1</v>
      </c>
      <c r="S248" s="240" t="s">
        <v>4079</v>
      </c>
      <c r="T248" s="242" t="s">
        <v>4060</v>
      </c>
      <c r="U248" s="239" t="s">
        <v>2935</v>
      </c>
      <c r="V248" s="251"/>
    </row>
    <row r="249" spans="1:22" ht="30" customHeight="1">
      <c r="A249" s="239" t="s">
        <v>4039</v>
      </c>
      <c r="B249" s="239" t="s">
        <v>4040</v>
      </c>
      <c r="C249" s="240" t="s">
        <v>4041</v>
      </c>
      <c r="D249" s="239" t="s">
        <v>74</v>
      </c>
      <c r="E249" s="241" t="s">
        <v>2795</v>
      </c>
      <c r="F249" s="239" t="s">
        <v>2924</v>
      </c>
      <c r="G249" s="241"/>
      <c r="H249" s="241">
        <v>40</v>
      </c>
      <c r="I249" s="240" t="s">
        <v>4080</v>
      </c>
      <c r="J249" s="240"/>
      <c r="K249" s="240"/>
      <c r="L249" s="240"/>
      <c r="M249" s="240" t="s">
        <v>4044</v>
      </c>
      <c r="N249" s="240" t="s">
        <v>4081</v>
      </c>
      <c r="O249" s="240" t="s">
        <v>4082</v>
      </c>
      <c r="P249" s="240" t="s">
        <v>4083</v>
      </c>
      <c r="Q249" s="239" t="s">
        <v>2864</v>
      </c>
      <c r="R249" s="241">
        <v>1</v>
      </c>
      <c r="S249" s="240" t="s">
        <v>4084</v>
      </c>
      <c r="T249" s="242" t="s">
        <v>4060</v>
      </c>
      <c r="U249" s="239" t="s">
        <v>2935</v>
      </c>
      <c r="V249" s="251"/>
    </row>
    <row r="250" spans="1:22" ht="30" customHeight="1">
      <c r="A250" s="239" t="s">
        <v>4039</v>
      </c>
      <c r="B250" s="239" t="s">
        <v>4040</v>
      </c>
      <c r="C250" s="240" t="s">
        <v>4041</v>
      </c>
      <c r="D250" s="239" t="s">
        <v>74</v>
      </c>
      <c r="E250" s="241" t="s">
        <v>2795</v>
      </c>
      <c r="F250" s="239" t="s">
        <v>2924</v>
      </c>
      <c r="G250" s="241"/>
      <c r="H250" s="241">
        <v>40</v>
      </c>
      <c r="I250" s="240" t="s">
        <v>4085</v>
      </c>
      <c r="J250" s="240"/>
      <c r="K250" s="240"/>
      <c r="L250" s="240"/>
      <c r="M250" s="240" t="s">
        <v>2805</v>
      </c>
      <c r="N250" s="240" t="s">
        <v>4086</v>
      </c>
      <c r="O250" s="240" t="s">
        <v>1198</v>
      </c>
      <c r="P250" s="240" t="s">
        <v>4087</v>
      </c>
      <c r="Q250" s="239" t="s">
        <v>4088</v>
      </c>
      <c r="R250" s="241">
        <v>1</v>
      </c>
      <c r="S250" s="240" t="s">
        <v>4089</v>
      </c>
      <c r="T250" s="242" t="s">
        <v>1198</v>
      </c>
      <c r="U250" s="239" t="s">
        <v>2935</v>
      </c>
      <c r="V250" s="251"/>
    </row>
    <row r="251" spans="1:22" ht="30" customHeight="1">
      <c r="A251" s="239" t="s">
        <v>4090</v>
      </c>
      <c r="B251" s="239" t="s">
        <v>4091</v>
      </c>
      <c r="C251" s="240" t="s">
        <v>4092</v>
      </c>
      <c r="D251" s="239" t="s">
        <v>74</v>
      </c>
      <c r="E251" s="241" t="s">
        <v>246</v>
      </c>
      <c r="F251" s="239" t="s">
        <v>2855</v>
      </c>
      <c r="G251" s="241"/>
      <c r="H251" s="241">
        <v>40</v>
      </c>
      <c r="I251" s="240" t="s">
        <v>4093</v>
      </c>
      <c r="J251" s="240" t="s">
        <v>2798</v>
      </c>
      <c r="K251" s="240" t="s">
        <v>4094</v>
      </c>
      <c r="L251" s="240" t="s">
        <v>4095</v>
      </c>
      <c r="M251" s="240" t="s">
        <v>2801</v>
      </c>
      <c r="N251" s="240" t="s">
        <v>2801</v>
      </c>
      <c r="O251" s="240" t="s">
        <v>2801</v>
      </c>
      <c r="P251" s="240" t="s">
        <v>2801</v>
      </c>
      <c r="Q251" s="239" t="s">
        <v>2864</v>
      </c>
      <c r="R251" s="241">
        <v>0</v>
      </c>
      <c r="S251" s="240" t="s">
        <v>2801</v>
      </c>
      <c r="T251" s="242" t="s">
        <v>2801</v>
      </c>
      <c r="U251" s="239" t="s">
        <v>2803</v>
      </c>
      <c r="V251" s="251"/>
    </row>
    <row r="252" spans="1:22" ht="30" customHeight="1">
      <c r="A252" s="239" t="s">
        <v>4090</v>
      </c>
      <c r="B252" s="239" t="s">
        <v>4091</v>
      </c>
      <c r="C252" s="240" t="s">
        <v>4092</v>
      </c>
      <c r="D252" s="239" t="s">
        <v>74</v>
      </c>
      <c r="E252" s="241" t="s">
        <v>246</v>
      </c>
      <c r="F252" s="239" t="s">
        <v>2855</v>
      </c>
      <c r="G252" s="241"/>
      <c r="H252" s="241">
        <v>40</v>
      </c>
      <c r="I252" s="240" t="s">
        <v>4096</v>
      </c>
      <c r="J252" s="240"/>
      <c r="K252" s="240"/>
      <c r="L252" s="240"/>
      <c r="M252" s="240" t="s">
        <v>4097</v>
      </c>
      <c r="N252" s="240" t="s">
        <v>4098</v>
      </c>
      <c r="O252" s="240" t="s">
        <v>4099</v>
      </c>
      <c r="P252" s="240" t="s">
        <v>4100</v>
      </c>
      <c r="Q252" s="239" t="s">
        <v>2864</v>
      </c>
      <c r="R252" s="241">
        <v>0</v>
      </c>
      <c r="S252" s="240" t="s">
        <v>4101</v>
      </c>
      <c r="T252" s="242" t="s">
        <v>4102</v>
      </c>
      <c r="U252" s="239" t="s">
        <v>2823</v>
      </c>
      <c r="V252" s="251"/>
    </row>
    <row r="253" spans="1:22" ht="30" customHeight="1">
      <c r="A253" s="239" t="s">
        <v>4090</v>
      </c>
      <c r="B253" s="239" t="s">
        <v>4091</v>
      </c>
      <c r="C253" s="240" t="s">
        <v>4092</v>
      </c>
      <c r="D253" s="239" t="s">
        <v>74</v>
      </c>
      <c r="E253" s="241" t="s">
        <v>246</v>
      </c>
      <c r="F253" s="239" t="s">
        <v>2855</v>
      </c>
      <c r="G253" s="241"/>
      <c r="H253" s="241">
        <v>40</v>
      </c>
      <c r="I253" s="240" t="s">
        <v>4103</v>
      </c>
      <c r="J253" s="240"/>
      <c r="K253" s="240"/>
      <c r="L253" s="240"/>
      <c r="M253" s="240" t="s">
        <v>4097</v>
      </c>
      <c r="N253" s="240" t="s">
        <v>4104</v>
      </c>
      <c r="O253" s="240" t="s">
        <v>4105</v>
      </c>
      <c r="P253" s="240" t="s">
        <v>4106</v>
      </c>
      <c r="Q253" s="239" t="s">
        <v>4107</v>
      </c>
      <c r="R253" s="241">
        <v>0</v>
      </c>
      <c r="S253" s="240" t="s">
        <v>4108</v>
      </c>
      <c r="T253" s="242" t="s">
        <v>4109</v>
      </c>
      <c r="U253" s="239" t="s">
        <v>2823</v>
      </c>
      <c r="V253" s="251"/>
    </row>
    <row r="254" spans="1:22" ht="30" customHeight="1">
      <c r="A254" s="239" t="s">
        <v>4090</v>
      </c>
      <c r="B254" s="239" t="s">
        <v>4091</v>
      </c>
      <c r="C254" s="240" t="s">
        <v>4092</v>
      </c>
      <c r="D254" s="239" t="s">
        <v>74</v>
      </c>
      <c r="E254" s="241" t="s">
        <v>246</v>
      </c>
      <c r="F254" s="239" t="s">
        <v>2855</v>
      </c>
      <c r="G254" s="241"/>
      <c r="H254" s="241">
        <v>40</v>
      </c>
      <c r="I254" s="240" t="s">
        <v>4110</v>
      </c>
      <c r="J254" s="240"/>
      <c r="K254" s="240"/>
      <c r="L254" s="240"/>
      <c r="M254" s="240" t="s">
        <v>4097</v>
      </c>
      <c r="N254" s="240" t="s">
        <v>4111</v>
      </c>
      <c r="O254" s="240" t="s">
        <v>4112</v>
      </c>
      <c r="P254" s="240" t="s">
        <v>4113</v>
      </c>
      <c r="Q254" s="239" t="s">
        <v>2864</v>
      </c>
      <c r="R254" s="241">
        <v>0</v>
      </c>
      <c r="S254" s="240" t="s">
        <v>4114</v>
      </c>
      <c r="T254" s="242" t="s">
        <v>4115</v>
      </c>
      <c r="U254" s="239" t="s">
        <v>2823</v>
      </c>
      <c r="V254" s="251"/>
    </row>
    <row r="255" spans="1:22" ht="30" customHeight="1">
      <c r="A255" s="239" t="s">
        <v>4090</v>
      </c>
      <c r="B255" s="239" t="s">
        <v>4091</v>
      </c>
      <c r="C255" s="240" t="s">
        <v>4092</v>
      </c>
      <c r="D255" s="239" t="s">
        <v>74</v>
      </c>
      <c r="E255" s="241" t="s">
        <v>246</v>
      </c>
      <c r="F255" s="239" t="s">
        <v>2855</v>
      </c>
      <c r="G255" s="241"/>
      <c r="H255" s="241">
        <v>40</v>
      </c>
      <c r="I255" s="240" t="s">
        <v>4116</v>
      </c>
      <c r="J255" s="240"/>
      <c r="K255" s="240"/>
      <c r="L255" s="240"/>
      <c r="M255" s="240" t="s">
        <v>4117</v>
      </c>
      <c r="N255" s="240" t="s">
        <v>4118</v>
      </c>
      <c r="O255" s="240" t="s">
        <v>4119</v>
      </c>
      <c r="P255" s="240" t="s">
        <v>4120</v>
      </c>
      <c r="Q255" s="239" t="s">
        <v>2864</v>
      </c>
      <c r="R255" s="241">
        <v>0</v>
      </c>
      <c r="S255" s="240" t="s">
        <v>4121</v>
      </c>
      <c r="T255" s="242" t="s">
        <v>4122</v>
      </c>
      <c r="U255" s="239" t="s">
        <v>2823</v>
      </c>
      <c r="V255" s="251"/>
    </row>
    <row r="256" spans="1:22" ht="30" customHeight="1">
      <c r="A256" s="239" t="s">
        <v>4090</v>
      </c>
      <c r="B256" s="239" t="s">
        <v>4091</v>
      </c>
      <c r="C256" s="240" t="s">
        <v>4092</v>
      </c>
      <c r="D256" s="239" t="s">
        <v>74</v>
      </c>
      <c r="E256" s="241" t="s">
        <v>246</v>
      </c>
      <c r="F256" s="239" t="s">
        <v>2855</v>
      </c>
      <c r="G256" s="241"/>
      <c r="H256" s="241">
        <v>40</v>
      </c>
      <c r="I256" s="240" t="s">
        <v>4123</v>
      </c>
      <c r="J256" s="240"/>
      <c r="K256" s="240"/>
      <c r="L256" s="240"/>
      <c r="M256" s="240" t="s">
        <v>4117</v>
      </c>
      <c r="N256" s="240" t="s">
        <v>4124</v>
      </c>
      <c r="O256" s="240" t="s">
        <v>4125</v>
      </c>
      <c r="P256" s="240" t="s">
        <v>4126</v>
      </c>
      <c r="Q256" s="239" t="s">
        <v>2864</v>
      </c>
      <c r="R256" s="241">
        <v>0</v>
      </c>
      <c r="S256" s="240" t="s">
        <v>4127</v>
      </c>
      <c r="T256" s="242" t="s">
        <v>4128</v>
      </c>
      <c r="U256" s="239" t="s">
        <v>2823</v>
      </c>
      <c r="V256" s="251"/>
    </row>
    <row r="257" spans="1:22" ht="30" customHeight="1">
      <c r="A257" s="239" t="s">
        <v>4090</v>
      </c>
      <c r="B257" s="239" t="s">
        <v>4091</v>
      </c>
      <c r="C257" s="240" t="s">
        <v>4092</v>
      </c>
      <c r="D257" s="239" t="s">
        <v>74</v>
      </c>
      <c r="E257" s="241" t="s">
        <v>246</v>
      </c>
      <c r="F257" s="239" t="s">
        <v>2855</v>
      </c>
      <c r="G257" s="241"/>
      <c r="H257" s="241">
        <v>40</v>
      </c>
      <c r="I257" s="240" t="s">
        <v>4129</v>
      </c>
      <c r="J257" s="240"/>
      <c r="K257" s="240"/>
      <c r="L257" s="240"/>
      <c r="M257" s="240" t="s">
        <v>4130</v>
      </c>
      <c r="N257" s="240" t="s">
        <v>4131</v>
      </c>
      <c r="O257" s="240" t="s">
        <v>4132</v>
      </c>
      <c r="P257" s="240" t="s">
        <v>4133</v>
      </c>
      <c r="Q257" s="239" t="s">
        <v>2864</v>
      </c>
      <c r="R257" s="241"/>
      <c r="S257" s="240" t="s">
        <v>4134</v>
      </c>
      <c r="T257" s="242" t="s">
        <v>4135</v>
      </c>
      <c r="U257" s="239" t="s">
        <v>2823</v>
      </c>
      <c r="V257" s="251"/>
    </row>
    <row r="258" spans="1:22" ht="30" customHeight="1">
      <c r="A258" s="239" t="s">
        <v>4090</v>
      </c>
      <c r="B258" s="239" t="s">
        <v>4091</v>
      </c>
      <c r="C258" s="240" t="s">
        <v>4092</v>
      </c>
      <c r="D258" s="239" t="s">
        <v>74</v>
      </c>
      <c r="E258" s="241" t="s">
        <v>246</v>
      </c>
      <c r="F258" s="239" t="s">
        <v>2855</v>
      </c>
      <c r="G258" s="241"/>
      <c r="H258" s="241">
        <v>40</v>
      </c>
      <c r="I258" s="240" t="s">
        <v>4136</v>
      </c>
      <c r="J258" s="240"/>
      <c r="K258" s="240"/>
      <c r="L258" s="240"/>
      <c r="M258" s="240" t="s">
        <v>4137</v>
      </c>
      <c r="N258" s="240" t="s">
        <v>4138</v>
      </c>
      <c r="O258" s="240" t="s">
        <v>4139</v>
      </c>
      <c r="P258" s="240" t="s">
        <v>4140</v>
      </c>
      <c r="Q258" s="239" t="s">
        <v>2864</v>
      </c>
      <c r="R258" s="241"/>
      <c r="S258" s="240" t="s">
        <v>4141</v>
      </c>
      <c r="T258" s="242" t="s">
        <v>4142</v>
      </c>
      <c r="U258" s="239" t="s">
        <v>2823</v>
      </c>
      <c r="V258" s="251"/>
    </row>
    <row r="259" spans="1:22" ht="30" customHeight="1">
      <c r="A259" s="239" t="s">
        <v>4090</v>
      </c>
      <c r="B259" s="239" t="s">
        <v>4091</v>
      </c>
      <c r="C259" s="240" t="s">
        <v>4092</v>
      </c>
      <c r="D259" s="239" t="s">
        <v>74</v>
      </c>
      <c r="E259" s="241" t="s">
        <v>246</v>
      </c>
      <c r="F259" s="239" t="s">
        <v>2855</v>
      </c>
      <c r="G259" s="241"/>
      <c r="H259" s="241">
        <v>40</v>
      </c>
      <c r="I259" s="240" t="s">
        <v>4143</v>
      </c>
      <c r="J259" s="240"/>
      <c r="K259" s="240"/>
      <c r="L259" s="240"/>
      <c r="M259" s="240" t="s">
        <v>4144</v>
      </c>
      <c r="N259" s="240" t="s">
        <v>4145</v>
      </c>
      <c r="O259" s="240" t="s">
        <v>4146</v>
      </c>
      <c r="P259" s="240" t="s">
        <v>4147</v>
      </c>
      <c r="Q259" s="239" t="s">
        <v>2864</v>
      </c>
      <c r="R259" s="241"/>
      <c r="S259" s="240" t="s">
        <v>4148</v>
      </c>
      <c r="T259" s="242" t="s">
        <v>4149</v>
      </c>
      <c r="U259" s="239" t="s">
        <v>2823</v>
      </c>
      <c r="V259" s="251"/>
    </row>
    <row r="260" spans="1:22" ht="30" customHeight="1">
      <c r="A260" s="239" t="s">
        <v>4090</v>
      </c>
      <c r="B260" s="239" t="s">
        <v>4091</v>
      </c>
      <c r="C260" s="240" t="s">
        <v>4092</v>
      </c>
      <c r="D260" s="239" t="s">
        <v>74</v>
      </c>
      <c r="E260" s="241" t="s">
        <v>246</v>
      </c>
      <c r="F260" s="239" t="s">
        <v>2855</v>
      </c>
      <c r="G260" s="241"/>
      <c r="H260" s="241">
        <v>40</v>
      </c>
      <c r="I260" s="240" t="s">
        <v>4150</v>
      </c>
      <c r="J260" s="240"/>
      <c r="K260" s="240"/>
      <c r="L260" s="240"/>
      <c r="M260" s="240" t="s">
        <v>4151</v>
      </c>
      <c r="N260" s="240" t="s">
        <v>4152</v>
      </c>
      <c r="O260" s="240" t="s">
        <v>4153</v>
      </c>
      <c r="P260" s="240" t="s">
        <v>4154</v>
      </c>
      <c r="Q260" s="239" t="s">
        <v>2864</v>
      </c>
      <c r="R260" s="241"/>
      <c r="S260" s="240" t="s">
        <v>4155</v>
      </c>
      <c r="T260" s="242" t="s">
        <v>4156</v>
      </c>
      <c r="U260" s="239" t="s">
        <v>2823</v>
      </c>
      <c r="V260" s="251"/>
    </row>
    <row r="261" spans="1:22" ht="30" customHeight="1">
      <c r="A261" s="239" t="s">
        <v>4090</v>
      </c>
      <c r="B261" s="239" t="s">
        <v>4091</v>
      </c>
      <c r="C261" s="240" t="s">
        <v>4092</v>
      </c>
      <c r="D261" s="239" t="s">
        <v>74</v>
      </c>
      <c r="E261" s="241" t="s">
        <v>246</v>
      </c>
      <c r="F261" s="239" t="s">
        <v>2855</v>
      </c>
      <c r="G261" s="241"/>
      <c r="H261" s="241">
        <v>40</v>
      </c>
      <c r="I261" s="240" t="s">
        <v>4157</v>
      </c>
      <c r="J261" s="240"/>
      <c r="K261" s="240"/>
      <c r="L261" s="240"/>
      <c r="M261" s="240" t="s">
        <v>4151</v>
      </c>
      <c r="N261" s="240" t="s">
        <v>4158</v>
      </c>
      <c r="O261" s="240" t="s">
        <v>4159</v>
      </c>
      <c r="P261" s="240" t="s">
        <v>4160</v>
      </c>
      <c r="Q261" s="239" t="s">
        <v>2864</v>
      </c>
      <c r="R261" s="241"/>
      <c r="S261" s="240" t="s">
        <v>4161</v>
      </c>
      <c r="T261" s="242" t="s">
        <v>4162</v>
      </c>
      <c r="U261" s="239" t="s">
        <v>2823</v>
      </c>
      <c r="V261" s="251"/>
    </row>
    <row r="262" spans="1:22" ht="30" customHeight="1">
      <c r="A262" s="239" t="s">
        <v>4090</v>
      </c>
      <c r="B262" s="239" t="s">
        <v>4091</v>
      </c>
      <c r="C262" s="240" t="s">
        <v>4092</v>
      </c>
      <c r="D262" s="239" t="s">
        <v>74</v>
      </c>
      <c r="E262" s="241" t="s">
        <v>246</v>
      </c>
      <c r="F262" s="239" t="s">
        <v>2855</v>
      </c>
      <c r="G262" s="241"/>
      <c r="H262" s="241">
        <v>40</v>
      </c>
      <c r="I262" s="240" t="s">
        <v>4163</v>
      </c>
      <c r="J262" s="240"/>
      <c r="K262" s="240"/>
      <c r="L262" s="240"/>
      <c r="M262" s="240" t="s">
        <v>4151</v>
      </c>
      <c r="N262" s="240" t="s">
        <v>4164</v>
      </c>
      <c r="O262" s="240" t="s">
        <v>4165</v>
      </c>
      <c r="P262" s="240" t="s">
        <v>4166</v>
      </c>
      <c r="Q262" s="239" t="s">
        <v>2864</v>
      </c>
      <c r="R262" s="241"/>
      <c r="S262" s="240" t="s">
        <v>4167</v>
      </c>
      <c r="T262" s="242" t="s">
        <v>4168</v>
      </c>
      <c r="U262" s="239" t="s">
        <v>2823</v>
      </c>
      <c r="V262" s="251"/>
    </row>
    <row r="263" spans="1:22" ht="30" customHeight="1">
      <c r="A263" s="239" t="s">
        <v>4090</v>
      </c>
      <c r="B263" s="239" t="s">
        <v>4091</v>
      </c>
      <c r="C263" s="240" t="s">
        <v>4092</v>
      </c>
      <c r="D263" s="239" t="s">
        <v>74</v>
      </c>
      <c r="E263" s="241" t="s">
        <v>246</v>
      </c>
      <c r="F263" s="239" t="s">
        <v>2855</v>
      </c>
      <c r="G263" s="241"/>
      <c r="H263" s="241">
        <v>40</v>
      </c>
      <c r="I263" s="240" t="s">
        <v>4169</v>
      </c>
      <c r="J263" s="240"/>
      <c r="K263" s="240"/>
      <c r="L263" s="240"/>
      <c r="M263" s="240" t="s">
        <v>3497</v>
      </c>
      <c r="N263" s="240" t="s">
        <v>4170</v>
      </c>
      <c r="O263" s="240" t="s">
        <v>4171</v>
      </c>
      <c r="P263" s="240" t="s">
        <v>4172</v>
      </c>
      <c r="Q263" s="239" t="s">
        <v>2864</v>
      </c>
      <c r="R263" s="241"/>
      <c r="S263" s="240" t="s">
        <v>4173</v>
      </c>
      <c r="T263" s="242" t="s">
        <v>4174</v>
      </c>
      <c r="U263" s="239" t="s">
        <v>2823</v>
      </c>
      <c r="V263" s="251"/>
    </row>
    <row r="264" spans="1:22" ht="30" customHeight="1">
      <c r="A264" s="239" t="s">
        <v>4090</v>
      </c>
      <c r="B264" s="239" t="s">
        <v>4091</v>
      </c>
      <c r="C264" s="240" t="s">
        <v>4092</v>
      </c>
      <c r="D264" s="239" t="s">
        <v>74</v>
      </c>
      <c r="E264" s="241" t="s">
        <v>246</v>
      </c>
      <c r="F264" s="239" t="s">
        <v>2855</v>
      </c>
      <c r="G264" s="241"/>
      <c r="H264" s="241">
        <v>40</v>
      </c>
      <c r="I264" s="240" t="s">
        <v>4175</v>
      </c>
      <c r="J264" s="240"/>
      <c r="K264" s="240"/>
      <c r="L264" s="240"/>
      <c r="M264" s="240" t="s">
        <v>4176</v>
      </c>
      <c r="N264" s="240" t="s">
        <v>4177</v>
      </c>
      <c r="O264" s="240" t="s">
        <v>4178</v>
      </c>
      <c r="P264" s="240" t="s">
        <v>4179</v>
      </c>
      <c r="Q264" s="239" t="s">
        <v>2864</v>
      </c>
      <c r="R264" s="241"/>
      <c r="S264" s="240" t="s">
        <v>4180</v>
      </c>
      <c r="T264" s="242" t="s">
        <v>4181</v>
      </c>
      <c r="U264" s="239" t="s">
        <v>2823</v>
      </c>
      <c r="V264" s="251"/>
    </row>
    <row r="265" spans="1:22" ht="30" customHeight="1">
      <c r="A265" s="239" t="s">
        <v>4090</v>
      </c>
      <c r="B265" s="239" t="s">
        <v>4091</v>
      </c>
      <c r="C265" s="240" t="s">
        <v>4092</v>
      </c>
      <c r="D265" s="239" t="s">
        <v>74</v>
      </c>
      <c r="E265" s="241" t="s">
        <v>246</v>
      </c>
      <c r="F265" s="239" t="s">
        <v>2855</v>
      </c>
      <c r="G265" s="241"/>
      <c r="H265" s="241">
        <v>40</v>
      </c>
      <c r="I265" s="240" t="s">
        <v>4182</v>
      </c>
      <c r="J265" s="240"/>
      <c r="K265" s="240"/>
      <c r="L265" s="240"/>
      <c r="M265" s="240" t="s">
        <v>2805</v>
      </c>
      <c r="N265" s="240" t="s">
        <v>4183</v>
      </c>
      <c r="O265" s="240" t="s">
        <v>1198</v>
      </c>
      <c r="P265" s="240" t="s">
        <v>4184</v>
      </c>
      <c r="Q265" s="239" t="s">
        <v>2864</v>
      </c>
      <c r="R265" s="241"/>
      <c r="S265" s="240" t="s">
        <v>4185</v>
      </c>
      <c r="T265" s="242" t="s">
        <v>1198</v>
      </c>
      <c r="U265" s="239" t="s">
        <v>2823</v>
      </c>
      <c r="V265" s="251"/>
    </row>
    <row r="266" spans="1:22" ht="30" customHeight="1">
      <c r="A266" s="239" t="s">
        <v>4090</v>
      </c>
      <c r="B266" s="239" t="s">
        <v>4091</v>
      </c>
      <c r="C266" s="240" t="s">
        <v>4092</v>
      </c>
      <c r="D266" s="239" t="s">
        <v>74</v>
      </c>
      <c r="E266" s="241" t="s">
        <v>246</v>
      </c>
      <c r="F266" s="239" t="s">
        <v>2855</v>
      </c>
      <c r="G266" s="241"/>
      <c r="H266" s="241">
        <v>40</v>
      </c>
      <c r="I266" s="240" t="s">
        <v>4186</v>
      </c>
      <c r="J266" s="240"/>
      <c r="K266" s="240"/>
      <c r="L266" s="240"/>
      <c r="M266" s="240" t="s">
        <v>4151</v>
      </c>
      <c r="N266" s="240" t="s">
        <v>4187</v>
      </c>
      <c r="O266" s="240" t="s">
        <v>4188</v>
      </c>
      <c r="P266" s="240" t="s">
        <v>4189</v>
      </c>
      <c r="Q266" s="239" t="s">
        <v>2864</v>
      </c>
      <c r="R266" s="241"/>
      <c r="S266" s="240" t="s">
        <v>4190</v>
      </c>
      <c r="T266" s="242" t="s">
        <v>4191</v>
      </c>
      <c r="U266" s="239" t="s">
        <v>2823</v>
      </c>
      <c r="V266" s="251"/>
    </row>
    <row r="267" spans="1:22" ht="30" customHeight="1">
      <c r="A267" s="239" t="s">
        <v>4090</v>
      </c>
      <c r="B267" s="239" t="s">
        <v>4091</v>
      </c>
      <c r="C267" s="240" t="s">
        <v>4092</v>
      </c>
      <c r="D267" s="239" t="s">
        <v>74</v>
      </c>
      <c r="E267" s="241" t="s">
        <v>246</v>
      </c>
      <c r="F267" s="239" t="s">
        <v>2855</v>
      </c>
      <c r="G267" s="241"/>
      <c r="H267" s="241">
        <v>40</v>
      </c>
      <c r="I267" s="240" t="s">
        <v>4192</v>
      </c>
      <c r="J267" s="240"/>
      <c r="K267" s="240"/>
      <c r="L267" s="240"/>
      <c r="M267" s="240" t="s">
        <v>4151</v>
      </c>
      <c r="N267" s="240" t="s">
        <v>4193</v>
      </c>
      <c r="O267" s="240" t="s">
        <v>4194</v>
      </c>
      <c r="P267" s="240" t="s">
        <v>4195</v>
      </c>
      <c r="Q267" s="239" t="s">
        <v>2864</v>
      </c>
      <c r="R267" s="241"/>
      <c r="S267" s="240" t="s">
        <v>4196</v>
      </c>
      <c r="T267" s="242" t="s">
        <v>4197</v>
      </c>
      <c r="U267" s="239" t="s">
        <v>2823</v>
      </c>
      <c r="V267" s="251"/>
    </row>
    <row r="268" spans="1:22" ht="30" customHeight="1">
      <c r="A268" s="239" t="s">
        <v>4090</v>
      </c>
      <c r="B268" s="239" t="s">
        <v>4091</v>
      </c>
      <c r="C268" s="240" t="s">
        <v>4092</v>
      </c>
      <c r="D268" s="239" t="s">
        <v>74</v>
      </c>
      <c r="E268" s="241" t="s">
        <v>246</v>
      </c>
      <c r="F268" s="239" t="s">
        <v>2855</v>
      </c>
      <c r="G268" s="241"/>
      <c r="H268" s="241">
        <v>40</v>
      </c>
      <c r="I268" s="240" t="s">
        <v>4198</v>
      </c>
      <c r="J268" s="240"/>
      <c r="K268" s="240"/>
      <c r="L268" s="240"/>
      <c r="M268" s="240" t="s">
        <v>4199</v>
      </c>
      <c r="N268" s="240" t="s">
        <v>4200</v>
      </c>
      <c r="O268" s="240" t="s">
        <v>4201</v>
      </c>
      <c r="P268" s="240" t="s">
        <v>4202</v>
      </c>
      <c r="Q268" s="239" t="s">
        <v>2864</v>
      </c>
      <c r="R268" s="241"/>
      <c r="S268" s="240" t="s">
        <v>4203</v>
      </c>
      <c r="T268" s="242" t="s">
        <v>4204</v>
      </c>
      <c r="U268" s="239" t="s">
        <v>2823</v>
      </c>
      <c r="V268" s="251"/>
    </row>
    <row r="269" spans="1:22" ht="30" customHeight="1">
      <c r="A269" s="239" t="s">
        <v>4205</v>
      </c>
      <c r="B269" s="239" t="s">
        <v>4206</v>
      </c>
      <c r="C269" s="240" t="s">
        <v>4207</v>
      </c>
      <c r="D269" s="239" t="s">
        <v>74</v>
      </c>
      <c r="E269" s="241" t="s">
        <v>2795</v>
      </c>
      <c r="F269" s="239" t="s">
        <v>2924</v>
      </c>
      <c r="G269" s="241"/>
      <c r="H269" s="241">
        <v>40</v>
      </c>
      <c r="I269" s="240" t="s">
        <v>4208</v>
      </c>
      <c r="J269" s="240" t="s">
        <v>2998</v>
      </c>
      <c r="K269" s="240" t="s">
        <v>4209</v>
      </c>
      <c r="L269" s="240" t="s">
        <v>4210</v>
      </c>
      <c r="M269" s="240" t="s">
        <v>2801</v>
      </c>
      <c r="N269" s="240" t="s">
        <v>2801</v>
      </c>
      <c r="O269" s="240" t="s">
        <v>2801</v>
      </c>
      <c r="P269" s="240" t="s">
        <v>2801</v>
      </c>
      <c r="Q269" s="239" t="s">
        <v>2864</v>
      </c>
      <c r="R269" s="241"/>
      <c r="S269" s="240" t="s">
        <v>2801</v>
      </c>
      <c r="T269" s="242" t="s">
        <v>2801</v>
      </c>
      <c r="U269" s="239" t="s">
        <v>2803</v>
      </c>
      <c r="V269" s="251"/>
    </row>
    <row r="270" spans="1:22" ht="30" customHeight="1">
      <c r="A270" s="239" t="s">
        <v>4205</v>
      </c>
      <c r="B270" s="239" t="s">
        <v>4206</v>
      </c>
      <c r="C270" s="240" t="s">
        <v>4207</v>
      </c>
      <c r="D270" s="239" t="s">
        <v>74</v>
      </c>
      <c r="E270" s="241" t="s">
        <v>2795</v>
      </c>
      <c r="F270" s="239" t="s">
        <v>2924</v>
      </c>
      <c r="G270" s="241"/>
      <c r="H270" s="241">
        <v>40</v>
      </c>
      <c r="I270" s="240" t="s">
        <v>4211</v>
      </c>
      <c r="J270" s="240"/>
      <c r="K270" s="240"/>
      <c r="L270" s="240"/>
      <c r="M270" s="240" t="s">
        <v>4212</v>
      </c>
      <c r="N270" s="240" t="s">
        <v>4213</v>
      </c>
      <c r="O270" s="240" t="s">
        <v>4214</v>
      </c>
      <c r="P270" s="240" t="s">
        <v>4215</v>
      </c>
      <c r="Q270" s="239" t="s">
        <v>2864</v>
      </c>
      <c r="R270" s="241"/>
      <c r="S270" s="240" t="s">
        <v>4216</v>
      </c>
      <c r="T270" s="242" t="s">
        <v>4217</v>
      </c>
      <c r="U270" s="239" t="s">
        <v>2823</v>
      </c>
      <c r="V270" s="251"/>
    </row>
    <row r="271" spans="1:22" ht="30" customHeight="1">
      <c r="A271" s="239" t="s">
        <v>4205</v>
      </c>
      <c r="B271" s="239" t="s">
        <v>4206</v>
      </c>
      <c r="C271" s="240" t="s">
        <v>4207</v>
      </c>
      <c r="D271" s="239" t="s">
        <v>74</v>
      </c>
      <c r="E271" s="241" t="s">
        <v>2795</v>
      </c>
      <c r="F271" s="239" t="s">
        <v>2924</v>
      </c>
      <c r="G271" s="241"/>
      <c r="H271" s="241">
        <v>40</v>
      </c>
      <c r="I271" s="240" t="s">
        <v>4218</v>
      </c>
      <c r="J271" s="240"/>
      <c r="K271" s="240"/>
      <c r="L271" s="240"/>
      <c r="M271" s="240" t="s">
        <v>4151</v>
      </c>
      <c r="N271" s="240" t="s">
        <v>4219</v>
      </c>
      <c r="O271" s="240" t="s">
        <v>4220</v>
      </c>
      <c r="P271" s="240" t="s">
        <v>4221</v>
      </c>
      <c r="Q271" s="239" t="s">
        <v>2864</v>
      </c>
      <c r="R271" s="241"/>
      <c r="S271" s="240" t="s">
        <v>4222</v>
      </c>
      <c r="T271" s="242" t="s">
        <v>4223</v>
      </c>
      <c r="U271" s="239" t="s">
        <v>2935</v>
      </c>
      <c r="V271" s="251"/>
    </row>
    <row r="272" spans="1:22" ht="30" customHeight="1">
      <c r="A272" s="239" t="s">
        <v>4224</v>
      </c>
      <c r="B272" s="239" t="s">
        <v>4225</v>
      </c>
      <c r="C272" s="240" t="s">
        <v>4226</v>
      </c>
      <c r="D272" s="239" t="s">
        <v>74</v>
      </c>
      <c r="E272" s="241" t="s">
        <v>2795</v>
      </c>
      <c r="F272" s="239" t="s">
        <v>2924</v>
      </c>
      <c r="G272" s="241"/>
      <c r="H272" s="241">
        <v>40</v>
      </c>
      <c r="I272" s="240" t="s">
        <v>4227</v>
      </c>
      <c r="J272" s="240" t="s">
        <v>4228</v>
      </c>
      <c r="K272" s="240" t="s">
        <v>4229</v>
      </c>
      <c r="L272" s="240" t="s">
        <v>4230</v>
      </c>
      <c r="M272" s="240" t="s">
        <v>2801</v>
      </c>
      <c r="N272" s="240" t="s">
        <v>2801</v>
      </c>
      <c r="O272" s="240" t="s">
        <v>2801</v>
      </c>
      <c r="P272" s="240" t="s">
        <v>2801</v>
      </c>
      <c r="Q272" s="239" t="s">
        <v>2864</v>
      </c>
      <c r="R272" s="241"/>
      <c r="S272" s="240" t="s">
        <v>2801</v>
      </c>
      <c r="T272" s="242" t="s">
        <v>2801</v>
      </c>
      <c r="U272" s="239" t="s">
        <v>2803</v>
      </c>
      <c r="V272" s="251"/>
    </row>
    <row r="273" spans="1:22" ht="30" customHeight="1">
      <c r="A273" s="239" t="s">
        <v>4224</v>
      </c>
      <c r="B273" s="239" t="s">
        <v>4225</v>
      </c>
      <c r="C273" s="240" t="s">
        <v>4226</v>
      </c>
      <c r="D273" s="239" t="s">
        <v>74</v>
      </c>
      <c r="E273" s="241" t="s">
        <v>2795</v>
      </c>
      <c r="F273" s="239" t="s">
        <v>2924</v>
      </c>
      <c r="G273" s="241"/>
      <c r="H273" s="241">
        <v>40</v>
      </c>
      <c r="I273" s="240" t="s">
        <v>4231</v>
      </c>
      <c r="J273" s="240"/>
      <c r="K273" s="240"/>
      <c r="L273" s="240"/>
      <c r="M273" s="240" t="s">
        <v>4232</v>
      </c>
      <c r="N273" s="240" t="s">
        <v>4233</v>
      </c>
      <c r="O273" s="240" t="s">
        <v>4234</v>
      </c>
      <c r="P273" s="240" t="s">
        <v>4235</v>
      </c>
      <c r="Q273" s="239" t="s">
        <v>2864</v>
      </c>
      <c r="R273" s="241"/>
      <c r="S273" s="240" t="s">
        <v>4236</v>
      </c>
      <c r="T273" s="242" t="s">
        <v>4237</v>
      </c>
      <c r="U273" s="239" t="s">
        <v>2823</v>
      </c>
      <c r="V273" s="251"/>
    </row>
    <row r="274" spans="1:22" ht="30" customHeight="1">
      <c r="A274" s="239" t="s">
        <v>4224</v>
      </c>
      <c r="B274" s="239" t="s">
        <v>4225</v>
      </c>
      <c r="C274" s="240" t="s">
        <v>4226</v>
      </c>
      <c r="D274" s="239" t="s">
        <v>74</v>
      </c>
      <c r="E274" s="241"/>
      <c r="F274" s="239"/>
      <c r="G274" s="241"/>
      <c r="H274" s="241">
        <v>40</v>
      </c>
      <c r="I274" s="240" t="s">
        <v>4238</v>
      </c>
      <c r="J274" s="240"/>
      <c r="K274" s="240"/>
      <c r="L274" s="240"/>
      <c r="M274" s="240" t="s">
        <v>4239</v>
      </c>
      <c r="N274" s="240" t="s">
        <v>4240</v>
      </c>
      <c r="O274" s="240" t="s">
        <v>4241</v>
      </c>
      <c r="P274" s="240" t="s">
        <v>4242</v>
      </c>
      <c r="Q274" s="239" t="s">
        <v>2864</v>
      </c>
      <c r="R274" s="241"/>
      <c r="S274" s="240" t="s">
        <v>4243</v>
      </c>
      <c r="T274" s="242" t="s">
        <v>4244</v>
      </c>
      <c r="U274" s="239" t="s">
        <v>2823</v>
      </c>
      <c r="V274" s="251"/>
    </row>
    <row r="275" spans="1:22" ht="30" customHeight="1">
      <c r="A275" s="239" t="s">
        <v>4224</v>
      </c>
      <c r="B275" s="239" t="s">
        <v>4225</v>
      </c>
      <c r="C275" s="240" t="s">
        <v>4226</v>
      </c>
      <c r="D275" s="239" t="s">
        <v>74</v>
      </c>
      <c r="E275" s="241"/>
      <c r="F275" s="239"/>
      <c r="G275" s="241"/>
      <c r="H275" s="241">
        <v>40</v>
      </c>
      <c r="I275" s="240" t="s">
        <v>4245</v>
      </c>
      <c r="J275" s="240"/>
      <c r="K275" s="240"/>
      <c r="L275" s="240"/>
      <c r="M275" s="240" t="s">
        <v>4239</v>
      </c>
      <c r="N275" s="240" t="s">
        <v>4246</v>
      </c>
      <c r="O275" s="240" t="s">
        <v>4247</v>
      </c>
      <c r="P275" s="240" t="s">
        <v>4248</v>
      </c>
      <c r="Q275" s="239" t="s">
        <v>2864</v>
      </c>
      <c r="R275" s="241"/>
      <c r="S275" s="240" t="s">
        <v>4249</v>
      </c>
      <c r="T275" s="242" t="s">
        <v>4250</v>
      </c>
      <c r="U275" s="239" t="s">
        <v>2823</v>
      </c>
      <c r="V275" s="251"/>
    </row>
    <row r="276" spans="1:22" ht="30" customHeight="1">
      <c r="A276" s="239" t="s">
        <v>4224</v>
      </c>
      <c r="B276" s="239" t="s">
        <v>4225</v>
      </c>
      <c r="C276" s="240" t="s">
        <v>4226</v>
      </c>
      <c r="D276" s="239" t="s">
        <v>74</v>
      </c>
      <c r="E276" s="241" t="s">
        <v>2795</v>
      </c>
      <c r="F276" s="239" t="s">
        <v>2924</v>
      </c>
      <c r="G276" s="241"/>
      <c r="H276" s="241">
        <v>40</v>
      </c>
      <c r="I276" s="240" t="s">
        <v>4251</v>
      </c>
      <c r="J276" s="240"/>
      <c r="K276" s="240"/>
      <c r="L276" s="240"/>
      <c r="M276" s="240" t="s">
        <v>4151</v>
      </c>
      <c r="N276" s="240" t="s">
        <v>4252</v>
      </c>
      <c r="O276" s="240" t="s">
        <v>4253</v>
      </c>
      <c r="P276" s="240" t="s">
        <v>4254</v>
      </c>
      <c r="Q276" s="239" t="s">
        <v>2864</v>
      </c>
      <c r="R276" s="241"/>
      <c r="S276" s="240" t="s">
        <v>4255</v>
      </c>
      <c r="T276" s="242" t="s">
        <v>4256</v>
      </c>
      <c r="U276" s="239" t="s">
        <v>2935</v>
      </c>
      <c r="V276" s="251"/>
    </row>
    <row r="277" spans="1:22" ht="30" customHeight="1">
      <c r="A277" s="239" t="s">
        <v>4224</v>
      </c>
      <c r="B277" s="239" t="s">
        <v>4225</v>
      </c>
      <c r="C277" s="240" t="s">
        <v>4226</v>
      </c>
      <c r="D277" s="239" t="s">
        <v>74</v>
      </c>
      <c r="E277" s="241" t="s">
        <v>2795</v>
      </c>
      <c r="F277" s="239" t="s">
        <v>2924</v>
      </c>
      <c r="G277" s="241"/>
      <c r="H277" s="241">
        <v>40</v>
      </c>
      <c r="I277" s="240" t="s">
        <v>4257</v>
      </c>
      <c r="J277" s="240"/>
      <c r="K277" s="240"/>
      <c r="L277" s="240"/>
      <c r="M277" s="240" t="s">
        <v>4151</v>
      </c>
      <c r="N277" s="240" t="s">
        <v>4258</v>
      </c>
      <c r="O277" s="240" t="s">
        <v>4259</v>
      </c>
      <c r="P277" s="240" t="s">
        <v>4260</v>
      </c>
      <c r="Q277" s="239" t="s">
        <v>2864</v>
      </c>
      <c r="R277" s="241"/>
      <c r="S277" s="240" t="s">
        <v>4261</v>
      </c>
      <c r="T277" s="242" t="s">
        <v>4262</v>
      </c>
      <c r="U277" s="239" t="s">
        <v>3375</v>
      </c>
      <c r="V277" s="251"/>
    </row>
    <row r="278" spans="1:22" ht="30" customHeight="1">
      <c r="A278" s="239" t="s">
        <v>4263</v>
      </c>
      <c r="B278" s="239" t="s">
        <v>4264</v>
      </c>
      <c r="C278" s="240" t="s">
        <v>4265</v>
      </c>
      <c r="D278" s="239" t="s">
        <v>74</v>
      </c>
      <c r="E278" s="241" t="s">
        <v>2795</v>
      </c>
      <c r="F278" s="239"/>
      <c r="G278" s="241"/>
      <c r="H278" s="241">
        <v>40</v>
      </c>
      <c r="I278" s="240" t="s">
        <v>4266</v>
      </c>
      <c r="J278" s="240" t="s">
        <v>2798</v>
      </c>
      <c r="K278" s="240" t="s">
        <v>4267</v>
      </c>
      <c r="L278" s="240" t="s">
        <v>4230</v>
      </c>
      <c r="M278" s="240" t="s">
        <v>4268</v>
      </c>
      <c r="N278" s="240" t="s">
        <v>4269</v>
      </c>
      <c r="O278" s="240" t="s">
        <v>4270</v>
      </c>
      <c r="P278" s="240" t="s">
        <v>4271</v>
      </c>
      <c r="Q278" s="239" t="s">
        <v>2864</v>
      </c>
      <c r="R278" s="241"/>
      <c r="S278" s="240" t="s">
        <v>4272</v>
      </c>
      <c r="T278" s="242" t="s">
        <v>4273</v>
      </c>
      <c r="U278" s="239" t="s">
        <v>2823</v>
      </c>
      <c r="V278" s="251"/>
    </row>
    <row r="279" spans="1:22" ht="30" customHeight="1">
      <c r="A279" s="239" t="s">
        <v>4263</v>
      </c>
      <c r="B279" s="239" t="s">
        <v>4264</v>
      </c>
      <c r="C279" s="240" t="s">
        <v>4265</v>
      </c>
      <c r="D279" s="239" t="s">
        <v>74</v>
      </c>
      <c r="E279" s="241"/>
      <c r="F279" s="239"/>
      <c r="G279" s="241"/>
      <c r="H279" s="241">
        <v>40</v>
      </c>
      <c r="I279" s="240" t="s">
        <v>4274</v>
      </c>
      <c r="J279" s="240"/>
      <c r="K279" s="240"/>
      <c r="L279" s="240"/>
      <c r="M279" s="240" t="s">
        <v>4275</v>
      </c>
      <c r="N279" s="240" t="s">
        <v>4276</v>
      </c>
      <c r="O279" s="240" t="s">
        <v>4277</v>
      </c>
      <c r="P279" s="240" t="s">
        <v>4278</v>
      </c>
      <c r="Q279" s="239" t="s">
        <v>2864</v>
      </c>
      <c r="R279" s="241"/>
      <c r="S279" s="240" t="s">
        <v>4279</v>
      </c>
      <c r="T279" s="242" t="s">
        <v>4280</v>
      </c>
      <c r="U279" s="239" t="s">
        <v>2823</v>
      </c>
      <c r="V279" s="251"/>
    </row>
    <row r="280" spans="1:22" ht="30" customHeight="1">
      <c r="A280" s="239" t="s">
        <v>4263</v>
      </c>
      <c r="B280" s="239" t="s">
        <v>4264</v>
      </c>
      <c r="C280" s="240" t="s">
        <v>4265</v>
      </c>
      <c r="D280" s="239" t="s">
        <v>74</v>
      </c>
      <c r="E280" s="241"/>
      <c r="F280" s="239"/>
      <c r="G280" s="241"/>
      <c r="H280" s="241">
        <v>40</v>
      </c>
      <c r="I280" s="240" t="s">
        <v>4281</v>
      </c>
      <c r="J280" s="240"/>
      <c r="K280" s="240"/>
      <c r="L280" s="240"/>
      <c r="M280" s="240" t="s">
        <v>4282</v>
      </c>
      <c r="N280" s="240" t="s">
        <v>4283</v>
      </c>
      <c r="O280" s="240" t="s">
        <v>4284</v>
      </c>
      <c r="P280" s="240" t="s">
        <v>4285</v>
      </c>
      <c r="Q280" s="239" t="s">
        <v>2864</v>
      </c>
      <c r="R280" s="241"/>
      <c r="S280" s="240" t="s">
        <v>4286</v>
      </c>
      <c r="T280" s="242" t="s">
        <v>4280</v>
      </c>
      <c r="U280" s="239" t="s">
        <v>2823</v>
      </c>
      <c r="V280" s="251"/>
    </row>
    <row r="281" spans="1:22" ht="30" customHeight="1">
      <c r="A281" s="239" t="s">
        <v>4287</v>
      </c>
      <c r="B281" s="239" t="s">
        <v>4288</v>
      </c>
      <c r="C281" s="240" t="s">
        <v>4289</v>
      </c>
      <c r="D281" s="239" t="s">
        <v>74</v>
      </c>
      <c r="E281" s="241" t="s">
        <v>2795</v>
      </c>
      <c r="F281" s="239" t="s">
        <v>2924</v>
      </c>
      <c r="G281" s="241"/>
      <c r="H281" s="241">
        <v>40</v>
      </c>
      <c r="I281" s="240" t="s">
        <v>4290</v>
      </c>
      <c r="J281" s="240" t="s">
        <v>4291</v>
      </c>
      <c r="K281" s="240" t="s">
        <v>4267</v>
      </c>
      <c r="L281" s="240" t="s">
        <v>4230</v>
      </c>
      <c r="M281" s="240" t="s">
        <v>2801</v>
      </c>
      <c r="N281" s="240" t="s">
        <v>2801</v>
      </c>
      <c r="O281" s="240" t="s">
        <v>2801</v>
      </c>
      <c r="P281" s="240" t="s">
        <v>2801</v>
      </c>
      <c r="Q281" s="239" t="s">
        <v>2864</v>
      </c>
      <c r="R281" s="241"/>
      <c r="S281" s="240" t="s">
        <v>2801</v>
      </c>
      <c r="T281" s="242" t="s">
        <v>2801</v>
      </c>
      <c r="U281" s="239" t="s">
        <v>2803</v>
      </c>
      <c r="V281" s="251"/>
    </row>
    <row r="282" spans="1:22" ht="30" customHeight="1">
      <c r="A282" s="239" t="s">
        <v>4287</v>
      </c>
      <c r="B282" s="239" t="s">
        <v>4288</v>
      </c>
      <c r="C282" s="240" t="s">
        <v>4289</v>
      </c>
      <c r="D282" s="239" t="s">
        <v>74</v>
      </c>
      <c r="E282" s="241" t="s">
        <v>2795</v>
      </c>
      <c r="F282" s="239" t="s">
        <v>2924</v>
      </c>
      <c r="G282" s="241"/>
      <c r="H282" s="241">
        <v>40</v>
      </c>
      <c r="I282" s="240" t="s">
        <v>4292</v>
      </c>
      <c r="J282" s="240"/>
      <c r="K282" s="240"/>
      <c r="L282" s="240"/>
      <c r="M282" s="240" t="s">
        <v>4293</v>
      </c>
      <c r="N282" s="240" t="s">
        <v>4294</v>
      </c>
      <c r="O282" s="240" t="s">
        <v>4295</v>
      </c>
      <c r="P282" s="240" t="s">
        <v>4296</v>
      </c>
      <c r="Q282" s="239" t="s">
        <v>2864</v>
      </c>
      <c r="R282" s="241"/>
      <c r="S282" s="240" t="s">
        <v>4297</v>
      </c>
      <c r="T282" s="242" t="s">
        <v>4298</v>
      </c>
      <c r="U282" s="239" t="s">
        <v>4299</v>
      </c>
      <c r="V282" s="251"/>
    </row>
    <row r="283" spans="1:22" ht="30" customHeight="1">
      <c r="A283" s="239" t="s">
        <v>4287</v>
      </c>
      <c r="B283" s="239" t="s">
        <v>4288</v>
      </c>
      <c r="C283" s="240" t="s">
        <v>4289</v>
      </c>
      <c r="D283" s="239" t="s">
        <v>74</v>
      </c>
      <c r="E283" s="241" t="s">
        <v>2795</v>
      </c>
      <c r="F283" s="239" t="s">
        <v>2924</v>
      </c>
      <c r="G283" s="241"/>
      <c r="H283" s="241">
        <v>40</v>
      </c>
      <c r="I283" s="240" t="s">
        <v>4300</v>
      </c>
      <c r="J283" s="240"/>
      <c r="K283" s="240"/>
      <c r="L283" s="240"/>
      <c r="M283" s="240" t="s">
        <v>4301</v>
      </c>
      <c r="N283" s="240" t="s">
        <v>4302</v>
      </c>
      <c r="O283" s="240" t="s">
        <v>4303</v>
      </c>
      <c r="P283" s="240" t="s">
        <v>4304</v>
      </c>
      <c r="Q283" s="239" t="s">
        <v>2864</v>
      </c>
      <c r="R283" s="241"/>
      <c r="S283" s="240" t="s">
        <v>4305</v>
      </c>
      <c r="T283" s="242" t="s">
        <v>4306</v>
      </c>
      <c r="U283" s="239" t="s">
        <v>2823</v>
      </c>
      <c r="V283" s="251"/>
    </row>
    <row r="284" spans="1:22" ht="30" customHeight="1">
      <c r="A284" s="239" t="s">
        <v>4307</v>
      </c>
      <c r="B284" s="239" t="s">
        <v>4308</v>
      </c>
      <c r="C284" s="240" t="s">
        <v>4309</v>
      </c>
      <c r="D284" s="239" t="s">
        <v>74</v>
      </c>
      <c r="E284" s="241" t="s">
        <v>2795</v>
      </c>
      <c r="F284" s="239" t="s">
        <v>2924</v>
      </c>
      <c r="G284" s="241"/>
      <c r="H284" s="241">
        <v>40</v>
      </c>
      <c r="I284" s="240" t="s">
        <v>4310</v>
      </c>
      <c r="J284" s="240" t="s">
        <v>4291</v>
      </c>
      <c r="K284" s="240" t="s">
        <v>4267</v>
      </c>
      <c r="L284" s="240" t="s">
        <v>4230</v>
      </c>
      <c r="M284" s="240" t="s">
        <v>2801</v>
      </c>
      <c r="N284" s="240" t="s">
        <v>2801</v>
      </c>
      <c r="O284" s="240" t="s">
        <v>2801</v>
      </c>
      <c r="P284" s="240" t="s">
        <v>2801</v>
      </c>
      <c r="Q284" s="239" t="s">
        <v>2864</v>
      </c>
      <c r="R284" s="241"/>
      <c r="S284" s="240" t="s">
        <v>2801</v>
      </c>
      <c r="T284" s="242" t="s">
        <v>2801</v>
      </c>
      <c r="U284" s="239" t="s">
        <v>2803</v>
      </c>
      <c r="V284" s="251"/>
    </row>
    <row r="285" spans="1:22" ht="30" customHeight="1">
      <c r="A285" s="239" t="s">
        <v>4307</v>
      </c>
      <c r="B285" s="239" t="s">
        <v>4308</v>
      </c>
      <c r="C285" s="240" t="s">
        <v>4309</v>
      </c>
      <c r="D285" s="239" t="s">
        <v>74</v>
      </c>
      <c r="E285" s="241" t="s">
        <v>2795</v>
      </c>
      <c r="F285" s="239" t="s">
        <v>2924</v>
      </c>
      <c r="G285" s="241"/>
      <c r="H285" s="241">
        <v>40</v>
      </c>
      <c r="I285" s="240" t="s">
        <v>4311</v>
      </c>
      <c r="J285" s="240"/>
      <c r="K285" s="240"/>
      <c r="L285" s="240"/>
      <c r="M285" s="240" t="s">
        <v>4293</v>
      </c>
      <c r="N285" s="240" t="s">
        <v>4312</v>
      </c>
      <c r="O285" s="240" t="s">
        <v>4313</v>
      </c>
      <c r="P285" s="240" t="s">
        <v>4314</v>
      </c>
      <c r="Q285" s="239" t="s">
        <v>2864</v>
      </c>
      <c r="R285" s="241"/>
      <c r="S285" s="240" t="s">
        <v>4315</v>
      </c>
      <c r="T285" s="242" t="s">
        <v>4316</v>
      </c>
      <c r="U285" s="239" t="s">
        <v>4299</v>
      </c>
      <c r="V285" s="251"/>
    </row>
    <row r="286" spans="1:22" ht="30" customHeight="1">
      <c r="A286" s="239" t="s">
        <v>4317</v>
      </c>
      <c r="B286" s="239" t="s">
        <v>4318</v>
      </c>
      <c r="C286" s="240" t="s">
        <v>4319</v>
      </c>
      <c r="D286" s="239" t="s">
        <v>74</v>
      </c>
      <c r="E286" s="241" t="s">
        <v>2795</v>
      </c>
      <c r="F286" s="239" t="s">
        <v>2924</v>
      </c>
      <c r="G286" s="241"/>
      <c r="H286" s="241">
        <v>40</v>
      </c>
      <c r="I286" s="240" t="s">
        <v>4320</v>
      </c>
      <c r="J286" s="240" t="s">
        <v>4321</v>
      </c>
      <c r="K286" s="240" t="s">
        <v>4322</v>
      </c>
      <c r="L286" s="240" t="s">
        <v>4323</v>
      </c>
      <c r="M286" s="240" t="s">
        <v>2801</v>
      </c>
      <c r="N286" s="240" t="s">
        <v>2801</v>
      </c>
      <c r="O286" s="240" t="s">
        <v>2801</v>
      </c>
      <c r="P286" s="240" t="s">
        <v>2801</v>
      </c>
      <c r="Q286" s="239" t="s">
        <v>2864</v>
      </c>
      <c r="R286" s="241"/>
      <c r="S286" s="240" t="s">
        <v>2801</v>
      </c>
      <c r="T286" s="242" t="s">
        <v>2801</v>
      </c>
      <c r="U286" s="239" t="s">
        <v>2803</v>
      </c>
      <c r="V286" s="251"/>
    </row>
    <row r="287" spans="1:22" ht="30" customHeight="1">
      <c r="A287" s="239" t="s">
        <v>4317</v>
      </c>
      <c r="B287" s="239" t="s">
        <v>4318</v>
      </c>
      <c r="C287" s="240" t="s">
        <v>4319</v>
      </c>
      <c r="D287" s="239" t="s">
        <v>74</v>
      </c>
      <c r="E287" s="241" t="s">
        <v>2795</v>
      </c>
      <c r="F287" s="239" t="s">
        <v>2924</v>
      </c>
      <c r="G287" s="241"/>
      <c r="H287" s="241">
        <v>40</v>
      </c>
      <c r="I287" s="240" t="s">
        <v>4324</v>
      </c>
      <c r="J287" s="240"/>
      <c r="K287" s="240"/>
      <c r="L287" s="240"/>
      <c r="M287" s="240" t="s">
        <v>4325</v>
      </c>
      <c r="N287" s="240" t="s">
        <v>4326</v>
      </c>
      <c r="O287" s="240" t="s">
        <v>4327</v>
      </c>
      <c r="P287" s="240" t="s">
        <v>4328</v>
      </c>
      <c r="Q287" s="239" t="s">
        <v>2864</v>
      </c>
      <c r="R287" s="241"/>
      <c r="S287" s="240" t="s">
        <v>4329</v>
      </c>
      <c r="T287" s="242" t="s">
        <v>4330</v>
      </c>
      <c r="U287" s="239" t="s">
        <v>2935</v>
      </c>
      <c r="V287" s="251"/>
    </row>
    <row r="288" spans="1:22" ht="30" customHeight="1">
      <c r="A288" s="239" t="s">
        <v>4317</v>
      </c>
      <c r="B288" s="239" t="s">
        <v>4318</v>
      </c>
      <c r="C288" s="240" t="s">
        <v>4319</v>
      </c>
      <c r="D288" s="239" t="s">
        <v>74</v>
      </c>
      <c r="E288" s="241" t="s">
        <v>2795</v>
      </c>
      <c r="F288" s="239" t="s">
        <v>2924</v>
      </c>
      <c r="G288" s="241"/>
      <c r="H288" s="241">
        <v>40</v>
      </c>
      <c r="I288" s="240" t="s">
        <v>4331</v>
      </c>
      <c r="J288" s="240"/>
      <c r="K288" s="240"/>
      <c r="L288" s="240"/>
      <c r="M288" s="240" t="s">
        <v>4332</v>
      </c>
      <c r="N288" s="240" t="s">
        <v>4333</v>
      </c>
      <c r="O288" s="240" t="s">
        <v>4334</v>
      </c>
      <c r="P288" s="240" t="s">
        <v>4335</v>
      </c>
      <c r="Q288" s="239" t="s">
        <v>2864</v>
      </c>
      <c r="R288" s="241"/>
      <c r="S288" s="240" t="s">
        <v>4336</v>
      </c>
      <c r="T288" s="242" t="s">
        <v>4337</v>
      </c>
      <c r="U288" s="239" t="s">
        <v>2935</v>
      </c>
      <c r="V288" s="251"/>
    </row>
    <row r="289" spans="1:22" ht="30" customHeight="1">
      <c r="A289" s="239" t="s">
        <v>4317</v>
      </c>
      <c r="B289" s="239" t="s">
        <v>4318</v>
      </c>
      <c r="C289" s="240" t="s">
        <v>4319</v>
      </c>
      <c r="D289" s="239" t="s">
        <v>74</v>
      </c>
      <c r="E289" s="241" t="s">
        <v>2795</v>
      </c>
      <c r="F289" s="239" t="s">
        <v>2924</v>
      </c>
      <c r="G289" s="241"/>
      <c r="H289" s="241">
        <v>40</v>
      </c>
      <c r="I289" s="240" t="s">
        <v>4338</v>
      </c>
      <c r="J289" s="240"/>
      <c r="K289" s="240"/>
      <c r="L289" s="240"/>
      <c r="M289" s="240" t="s">
        <v>4339</v>
      </c>
      <c r="N289" s="240" t="s">
        <v>4340</v>
      </c>
      <c r="O289" s="240" t="s">
        <v>4341</v>
      </c>
      <c r="P289" s="240" t="s">
        <v>4342</v>
      </c>
      <c r="Q289" s="239" t="s">
        <v>2864</v>
      </c>
      <c r="R289" s="241"/>
      <c r="S289" s="240" t="s">
        <v>4343</v>
      </c>
      <c r="T289" s="242" t="s">
        <v>4344</v>
      </c>
      <c r="U289" s="239" t="s">
        <v>2935</v>
      </c>
      <c r="V289" s="251"/>
    </row>
    <row r="290" spans="1:22" ht="30" customHeight="1">
      <c r="A290" s="239" t="s">
        <v>4317</v>
      </c>
      <c r="B290" s="239" t="s">
        <v>4318</v>
      </c>
      <c r="C290" s="240" t="s">
        <v>4319</v>
      </c>
      <c r="D290" s="239" t="s">
        <v>74</v>
      </c>
      <c r="E290" s="241" t="s">
        <v>2795</v>
      </c>
      <c r="F290" s="239" t="s">
        <v>2924</v>
      </c>
      <c r="G290" s="241"/>
      <c r="H290" s="241">
        <v>40</v>
      </c>
      <c r="I290" s="240" t="s">
        <v>4345</v>
      </c>
      <c r="J290" s="240"/>
      <c r="K290" s="240"/>
      <c r="L290" s="240"/>
      <c r="M290" s="240" t="s">
        <v>4346</v>
      </c>
      <c r="N290" s="240" t="s">
        <v>4347</v>
      </c>
      <c r="O290" s="240" t="s">
        <v>4348</v>
      </c>
      <c r="P290" s="240" t="s">
        <v>4349</v>
      </c>
      <c r="Q290" s="239" t="s">
        <v>2864</v>
      </c>
      <c r="R290" s="241"/>
      <c r="S290" s="240" t="s">
        <v>4350</v>
      </c>
      <c r="T290" s="242" t="s">
        <v>4351</v>
      </c>
      <c r="U290" s="239" t="s">
        <v>2935</v>
      </c>
      <c r="V290" s="251"/>
    </row>
    <row r="291" spans="1:22" ht="30" customHeight="1">
      <c r="A291" s="239" t="s">
        <v>4317</v>
      </c>
      <c r="B291" s="239" t="s">
        <v>4318</v>
      </c>
      <c r="C291" s="240" t="s">
        <v>4319</v>
      </c>
      <c r="D291" s="239" t="s">
        <v>74</v>
      </c>
      <c r="E291" s="241" t="s">
        <v>2795</v>
      </c>
      <c r="F291" s="239" t="s">
        <v>2924</v>
      </c>
      <c r="G291" s="241"/>
      <c r="H291" s="241">
        <v>40</v>
      </c>
      <c r="I291" s="240" t="s">
        <v>4352</v>
      </c>
      <c r="J291" s="240"/>
      <c r="K291" s="240"/>
      <c r="L291" s="240"/>
      <c r="M291" s="240" t="s">
        <v>4353</v>
      </c>
      <c r="N291" s="240" t="s">
        <v>4354</v>
      </c>
      <c r="O291" s="240" t="s">
        <v>4355</v>
      </c>
      <c r="P291" s="240" t="s">
        <v>4356</v>
      </c>
      <c r="Q291" s="239" t="s">
        <v>2864</v>
      </c>
      <c r="R291" s="241"/>
      <c r="S291" s="240" t="s">
        <v>4357</v>
      </c>
      <c r="T291" s="242" t="s">
        <v>4358</v>
      </c>
      <c r="U291" s="239" t="s">
        <v>2935</v>
      </c>
      <c r="V291" s="251"/>
    </row>
    <row r="292" spans="1:22" ht="30" customHeight="1">
      <c r="A292" s="239" t="s">
        <v>4317</v>
      </c>
      <c r="B292" s="239" t="s">
        <v>4318</v>
      </c>
      <c r="C292" s="240" t="s">
        <v>4319</v>
      </c>
      <c r="D292" s="239" t="s">
        <v>74</v>
      </c>
      <c r="E292" s="241" t="s">
        <v>2795</v>
      </c>
      <c r="F292" s="239" t="s">
        <v>2924</v>
      </c>
      <c r="G292" s="241"/>
      <c r="H292" s="241">
        <v>40</v>
      </c>
      <c r="I292" s="240" t="s">
        <v>4359</v>
      </c>
      <c r="J292" s="240"/>
      <c r="K292" s="240"/>
      <c r="L292" s="240"/>
      <c r="M292" s="240" t="s">
        <v>4360</v>
      </c>
      <c r="N292" s="240" t="s">
        <v>4361</v>
      </c>
      <c r="O292" s="240" t="s">
        <v>4362</v>
      </c>
      <c r="P292" s="240" t="s">
        <v>4363</v>
      </c>
      <c r="Q292" s="239" t="s">
        <v>2864</v>
      </c>
      <c r="R292" s="241"/>
      <c r="S292" s="240" t="s">
        <v>4364</v>
      </c>
      <c r="T292" s="242" t="s">
        <v>4365</v>
      </c>
      <c r="U292" s="239" t="s">
        <v>2935</v>
      </c>
      <c r="V292" s="251"/>
    </row>
    <row r="293" spans="1:22" ht="30" customHeight="1">
      <c r="A293" s="239" t="s">
        <v>4366</v>
      </c>
      <c r="B293" s="239" t="s">
        <v>4367</v>
      </c>
      <c r="C293" s="240" t="s">
        <v>4368</v>
      </c>
      <c r="D293" s="239" t="s">
        <v>74</v>
      </c>
      <c r="E293" s="241" t="s">
        <v>246</v>
      </c>
      <c r="F293" s="239" t="s">
        <v>2855</v>
      </c>
      <c r="G293" s="241"/>
      <c r="H293" s="241">
        <v>40</v>
      </c>
      <c r="I293" s="240" t="s">
        <v>4369</v>
      </c>
      <c r="J293" s="240" t="s">
        <v>2798</v>
      </c>
      <c r="K293" s="240" t="s">
        <v>4370</v>
      </c>
      <c r="L293" s="240" t="s">
        <v>4371</v>
      </c>
      <c r="M293" s="240" t="s">
        <v>2801</v>
      </c>
      <c r="N293" s="240" t="s">
        <v>2801</v>
      </c>
      <c r="O293" s="240" t="s">
        <v>2801</v>
      </c>
      <c r="P293" s="240" t="s">
        <v>2801</v>
      </c>
      <c r="Q293" s="239" t="s">
        <v>2864</v>
      </c>
      <c r="R293" s="241"/>
      <c r="S293" s="240" t="s">
        <v>2801</v>
      </c>
      <c r="T293" s="242" t="s">
        <v>2801</v>
      </c>
      <c r="U293" s="239" t="s">
        <v>2803</v>
      </c>
      <c r="V293" s="251"/>
    </row>
    <row r="294" spans="1:22" ht="30" customHeight="1">
      <c r="A294" s="239" t="s">
        <v>4366</v>
      </c>
      <c r="B294" s="239" t="s">
        <v>4367</v>
      </c>
      <c r="C294" s="240" t="s">
        <v>4368</v>
      </c>
      <c r="D294" s="239" t="s">
        <v>74</v>
      </c>
      <c r="E294" s="241" t="s">
        <v>246</v>
      </c>
      <c r="F294" s="239" t="s">
        <v>2855</v>
      </c>
      <c r="G294" s="241"/>
      <c r="H294" s="241">
        <v>40</v>
      </c>
      <c r="I294" s="240" t="s">
        <v>4372</v>
      </c>
      <c r="J294" s="240"/>
      <c r="K294" s="240"/>
      <c r="L294" s="240"/>
      <c r="M294" s="240" t="s">
        <v>4151</v>
      </c>
      <c r="N294" s="240" t="s">
        <v>4373</v>
      </c>
      <c r="O294" s="240" t="s">
        <v>4374</v>
      </c>
      <c r="P294" s="240" t="s">
        <v>4375</v>
      </c>
      <c r="Q294" s="239" t="s">
        <v>2864</v>
      </c>
      <c r="R294" s="241"/>
      <c r="S294" s="240" t="s">
        <v>4376</v>
      </c>
      <c r="T294" s="242" t="s">
        <v>4377</v>
      </c>
      <c r="U294" s="239" t="s">
        <v>2809</v>
      </c>
      <c r="V294" s="251"/>
    </row>
    <row r="295" spans="1:22" ht="30" customHeight="1">
      <c r="A295" s="239" t="s">
        <v>4378</v>
      </c>
      <c r="B295" s="239" t="s">
        <v>4379</v>
      </c>
      <c r="C295" s="240" t="s">
        <v>4380</v>
      </c>
      <c r="D295" s="239" t="s">
        <v>74</v>
      </c>
      <c r="E295" s="241" t="s">
        <v>2795</v>
      </c>
      <c r="F295" s="239" t="s">
        <v>2924</v>
      </c>
      <c r="G295" s="241"/>
      <c r="H295" s="241">
        <v>40</v>
      </c>
      <c r="I295" s="240" t="s">
        <v>4381</v>
      </c>
      <c r="J295" s="240" t="s">
        <v>4321</v>
      </c>
      <c r="K295" s="240" t="s">
        <v>2953</v>
      </c>
      <c r="L295" s="240" t="s">
        <v>2954</v>
      </c>
      <c r="M295" s="240" t="s">
        <v>4382</v>
      </c>
      <c r="N295" s="240" t="s">
        <v>4383</v>
      </c>
      <c r="O295" s="240" t="s">
        <v>1198</v>
      </c>
      <c r="P295" s="240" t="s">
        <v>4384</v>
      </c>
      <c r="Q295" s="239" t="s">
        <v>2802</v>
      </c>
      <c r="R295" s="241"/>
      <c r="S295" s="240" t="s">
        <v>4385</v>
      </c>
      <c r="T295" s="242" t="s">
        <v>1198</v>
      </c>
      <c r="U295" s="239" t="s">
        <v>2935</v>
      </c>
      <c r="V295" s="251"/>
    </row>
    <row r="296" spans="1:22" ht="30" customHeight="1">
      <c r="A296" s="239" t="s">
        <v>4386</v>
      </c>
      <c r="B296" s="239" t="s">
        <v>4387</v>
      </c>
      <c r="C296" s="240" t="s">
        <v>4388</v>
      </c>
      <c r="D296" s="239" t="s">
        <v>74</v>
      </c>
      <c r="E296" s="241" t="s">
        <v>2795</v>
      </c>
      <c r="F296" s="239" t="s">
        <v>2924</v>
      </c>
      <c r="G296" s="241"/>
      <c r="H296" s="241">
        <v>40</v>
      </c>
      <c r="I296" s="240" t="s">
        <v>4389</v>
      </c>
      <c r="J296" s="240" t="s">
        <v>4321</v>
      </c>
      <c r="K296" s="240" t="s">
        <v>2953</v>
      </c>
      <c r="L296" s="240" t="s">
        <v>2954</v>
      </c>
      <c r="M296" s="240" t="s">
        <v>2801</v>
      </c>
      <c r="N296" s="240" t="s">
        <v>2801</v>
      </c>
      <c r="O296" s="240" t="s">
        <v>2801</v>
      </c>
      <c r="P296" s="240" t="s">
        <v>2801</v>
      </c>
      <c r="Q296" s="239" t="s">
        <v>2802</v>
      </c>
      <c r="R296" s="241"/>
      <c r="S296" s="240" t="s">
        <v>2801</v>
      </c>
      <c r="T296" s="242" t="s">
        <v>2801</v>
      </c>
      <c r="U296" s="239" t="s">
        <v>2803</v>
      </c>
      <c r="V296" s="251"/>
    </row>
    <row r="297" spans="1:22" ht="30" customHeight="1">
      <c r="A297" s="239" t="s">
        <v>4386</v>
      </c>
      <c r="B297" s="239" t="s">
        <v>4387</v>
      </c>
      <c r="C297" s="240" t="s">
        <v>4388</v>
      </c>
      <c r="D297" s="239" t="s">
        <v>74</v>
      </c>
      <c r="E297" s="241" t="s">
        <v>2795</v>
      </c>
      <c r="F297" s="239" t="s">
        <v>2924</v>
      </c>
      <c r="G297" s="241"/>
      <c r="H297" s="241">
        <v>40</v>
      </c>
      <c r="I297" s="240" t="s">
        <v>4390</v>
      </c>
      <c r="J297" s="240"/>
      <c r="K297" s="240"/>
      <c r="L297" s="240"/>
      <c r="M297" s="240" t="s">
        <v>4391</v>
      </c>
      <c r="N297" s="240" t="s">
        <v>4392</v>
      </c>
      <c r="O297" s="240" t="s">
        <v>4393</v>
      </c>
      <c r="P297" s="240" t="s">
        <v>4394</v>
      </c>
      <c r="Q297" s="239" t="s">
        <v>2802</v>
      </c>
      <c r="R297" s="241"/>
      <c r="S297" s="240" t="s">
        <v>4395</v>
      </c>
      <c r="T297" s="242" t="s">
        <v>4396</v>
      </c>
      <c r="U297" s="239" t="s">
        <v>2935</v>
      </c>
      <c r="V297" s="251"/>
    </row>
    <row r="298" spans="1:22" ht="30" customHeight="1">
      <c r="A298" s="239" t="s">
        <v>4397</v>
      </c>
      <c r="B298" s="239" t="s">
        <v>4398</v>
      </c>
      <c r="C298" s="240" t="s">
        <v>4399</v>
      </c>
      <c r="D298" s="239" t="s">
        <v>74</v>
      </c>
      <c r="E298" s="241" t="s">
        <v>2795</v>
      </c>
      <c r="F298" s="239" t="s">
        <v>2924</v>
      </c>
      <c r="G298" s="241"/>
      <c r="H298" s="241">
        <v>40</v>
      </c>
      <c r="I298" s="240" t="s">
        <v>4400</v>
      </c>
      <c r="J298" s="240" t="s">
        <v>4321</v>
      </c>
      <c r="K298" s="240" t="s">
        <v>2953</v>
      </c>
      <c r="L298" s="240" t="s">
        <v>2954</v>
      </c>
      <c r="M298" s="240" t="s">
        <v>2801</v>
      </c>
      <c r="N298" s="240" t="s">
        <v>2801</v>
      </c>
      <c r="O298" s="240" t="s">
        <v>2801</v>
      </c>
      <c r="P298" s="240" t="s">
        <v>2801</v>
      </c>
      <c r="Q298" s="239" t="s">
        <v>2802</v>
      </c>
      <c r="R298" s="241"/>
      <c r="S298" s="240" t="s">
        <v>2801</v>
      </c>
      <c r="T298" s="242" t="s">
        <v>2801</v>
      </c>
      <c r="U298" s="239" t="s">
        <v>2803</v>
      </c>
      <c r="V298" s="251"/>
    </row>
    <row r="299" spans="1:22" ht="30" customHeight="1">
      <c r="A299" s="239" t="s">
        <v>4397</v>
      </c>
      <c r="B299" s="239" t="s">
        <v>4398</v>
      </c>
      <c r="C299" s="240" t="s">
        <v>4399</v>
      </c>
      <c r="D299" s="239" t="s">
        <v>74</v>
      </c>
      <c r="E299" s="241" t="s">
        <v>2795</v>
      </c>
      <c r="F299" s="239" t="s">
        <v>2924</v>
      </c>
      <c r="G299" s="241"/>
      <c r="H299" s="241">
        <v>40</v>
      </c>
      <c r="I299" s="240" t="s">
        <v>4401</v>
      </c>
      <c r="J299" s="240"/>
      <c r="K299" s="240"/>
      <c r="L299" s="240"/>
      <c r="M299" s="240" t="s">
        <v>4402</v>
      </c>
      <c r="N299" s="240" t="s">
        <v>4403</v>
      </c>
      <c r="O299" s="240" t="s">
        <v>4404</v>
      </c>
      <c r="P299" s="240" t="s">
        <v>4405</v>
      </c>
      <c r="Q299" s="239" t="s">
        <v>2802</v>
      </c>
      <c r="R299" s="241"/>
      <c r="S299" s="240" t="s">
        <v>4406</v>
      </c>
      <c r="T299" s="242" t="s">
        <v>4407</v>
      </c>
      <c r="U299" s="239" t="s">
        <v>2935</v>
      </c>
      <c r="V299" s="251"/>
    </row>
    <row r="300" spans="1:22" ht="30" customHeight="1">
      <c r="A300" s="239" t="s">
        <v>4408</v>
      </c>
      <c r="B300" s="239" t="s">
        <v>4409</v>
      </c>
      <c r="C300" s="240" t="s">
        <v>4410</v>
      </c>
      <c r="D300" s="239" t="s">
        <v>74</v>
      </c>
      <c r="E300" s="241" t="s">
        <v>2795</v>
      </c>
      <c r="F300" s="239" t="s">
        <v>2924</v>
      </c>
      <c r="G300" s="241"/>
      <c r="H300" s="241">
        <v>40</v>
      </c>
      <c r="I300" s="240" t="s">
        <v>4411</v>
      </c>
      <c r="J300" s="240" t="s">
        <v>4321</v>
      </c>
      <c r="K300" s="240" t="s">
        <v>2953</v>
      </c>
      <c r="L300" s="240" t="s">
        <v>2954</v>
      </c>
      <c r="M300" s="240" t="s">
        <v>4412</v>
      </c>
      <c r="N300" s="240" t="s">
        <v>4413</v>
      </c>
      <c r="O300" s="240" t="s">
        <v>1198</v>
      </c>
      <c r="P300" s="240" t="s">
        <v>4414</v>
      </c>
      <c r="Q300" s="239" t="s">
        <v>2802</v>
      </c>
      <c r="R300" s="241"/>
      <c r="S300" s="240" t="s">
        <v>4415</v>
      </c>
      <c r="T300" s="242" t="s">
        <v>1198</v>
      </c>
      <c r="U300" s="239" t="s">
        <v>2935</v>
      </c>
      <c r="V300" s="251"/>
    </row>
    <row r="301" spans="1:22" ht="30" customHeight="1">
      <c r="A301" s="239" t="s">
        <v>4416</v>
      </c>
      <c r="B301" s="239" t="s">
        <v>4417</v>
      </c>
      <c r="C301" s="240" t="s">
        <v>4418</v>
      </c>
      <c r="D301" s="239" t="s">
        <v>74</v>
      </c>
      <c r="E301" s="241" t="s">
        <v>2795</v>
      </c>
      <c r="F301" s="239" t="s">
        <v>2924</v>
      </c>
      <c r="G301" s="241"/>
      <c r="H301" s="241">
        <v>40</v>
      </c>
      <c r="I301" s="240" t="s">
        <v>4419</v>
      </c>
      <c r="J301" s="240" t="s">
        <v>4321</v>
      </c>
      <c r="K301" s="240" t="s">
        <v>2953</v>
      </c>
      <c r="L301" s="240" t="s">
        <v>2954</v>
      </c>
      <c r="M301" s="240" t="s">
        <v>2801</v>
      </c>
      <c r="N301" s="240" t="s">
        <v>2801</v>
      </c>
      <c r="O301" s="240" t="s">
        <v>2801</v>
      </c>
      <c r="P301" s="240" t="s">
        <v>2801</v>
      </c>
      <c r="Q301" s="239" t="s">
        <v>2802</v>
      </c>
      <c r="R301" s="241"/>
      <c r="S301" s="240" t="s">
        <v>2801</v>
      </c>
      <c r="T301" s="242" t="s">
        <v>2801</v>
      </c>
      <c r="U301" s="239" t="s">
        <v>2803</v>
      </c>
      <c r="V301" s="251"/>
    </row>
    <row r="302" spans="1:22" ht="30" customHeight="1">
      <c r="A302" s="239" t="s">
        <v>4416</v>
      </c>
      <c r="B302" s="239" t="s">
        <v>4417</v>
      </c>
      <c r="C302" s="240" t="s">
        <v>4418</v>
      </c>
      <c r="D302" s="239" t="s">
        <v>74</v>
      </c>
      <c r="E302" s="241" t="s">
        <v>2795</v>
      </c>
      <c r="F302" s="239" t="s">
        <v>2924</v>
      </c>
      <c r="G302" s="241"/>
      <c r="H302" s="241">
        <v>40</v>
      </c>
      <c r="I302" s="240" t="s">
        <v>4420</v>
      </c>
      <c r="J302" s="240"/>
      <c r="K302" s="240"/>
      <c r="L302" s="240"/>
      <c r="M302" s="240" t="s">
        <v>4402</v>
      </c>
      <c r="N302" s="240" t="s">
        <v>4421</v>
      </c>
      <c r="O302" s="240" t="s">
        <v>4422</v>
      </c>
      <c r="P302" s="240" t="s">
        <v>4423</v>
      </c>
      <c r="Q302" s="239" t="s">
        <v>2802</v>
      </c>
      <c r="R302" s="241"/>
      <c r="S302" s="240" t="s">
        <v>4424</v>
      </c>
      <c r="T302" s="242" t="s">
        <v>4425</v>
      </c>
      <c r="U302" s="239" t="s">
        <v>2935</v>
      </c>
      <c r="V302" s="251"/>
    </row>
    <row r="303" spans="1:22" ht="30" customHeight="1">
      <c r="A303" s="239" t="s">
        <v>4426</v>
      </c>
      <c r="B303" s="239" t="s">
        <v>4427</v>
      </c>
      <c r="C303" s="240" t="s">
        <v>4428</v>
      </c>
      <c r="D303" s="239" t="s">
        <v>74</v>
      </c>
      <c r="E303" s="241" t="s">
        <v>2795</v>
      </c>
      <c r="F303" s="239" t="s">
        <v>2924</v>
      </c>
      <c r="G303" s="241"/>
      <c r="H303" s="241">
        <v>40</v>
      </c>
      <c r="I303" s="240" t="s">
        <v>4429</v>
      </c>
      <c r="J303" s="240" t="s">
        <v>4321</v>
      </c>
      <c r="K303" s="240" t="s">
        <v>2953</v>
      </c>
      <c r="L303" s="240" t="s">
        <v>2954</v>
      </c>
      <c r="M303" s="240" t="s">
        <v>2801</v>
      </c>
      <c r="N303" s="240" t="s">
        <v>2801</v>
      </c>
      <c r="O303" s="240" t="s">
        <v>2801</v>
      </c>
      <c r="P303" s="240" t="s">
        <v>2801</v>
      </c>
      <c r="Q303" s="239" t="s">
        <v>2802</v>
      </c>
      <c r="R303" s="241"/>
      <c r="S303" s="240" t="s">
        <v>2801</v>
      </c>
      <c r="T303" s="242" t="s">
        <v>2801</v>
      </c>
      <c r="U303" s="239" t="s">
        <v>2803</v>
      </c>
      <c r="V303" s="251"/>
    </row>
    <row r="304" spans="1:22" ht="30" customHeight="1">
      <c r="A304" s="239" t="s">
        <v>4426</v>
      </c>
      <c r="B304" s="239" t="s">
        <v>4427</v>
      </c>
      <c r="C304" s="240" t="s">
        <v>4428</v>
      </c>
      <c r="D304" s="239" t="s">
        <v>74</v>
      </c>
      <c r="E304" s="241" t="s">
        <v>2795</v>
      </c>
      <c r="F304" s="239" t="s">
        <v>2924</v>
      </c>
      <c r="G304" s="241"/>
      <c r="H304" s="241">
        <v>40</v>
      </c>
      <c r="I304" s="240" t="s">
        <v>4430</v>
      </c>
      <c r="J304" s="240"/>
      <c r="K304" s="240"/>
      <c r="L304" s="240"/>
      <c r="M304" s="240" t="s">
        <v>4431</v>
      </c>
      <c r="N304" s="240" t="s">
        <v>4432</v>
      </c>
      <c r="O304" s="240" t="s">
        <v>4433</v>
      </c>
      <c r="P304" s="240" t="s">
        <v>4434</v>
      </c>
      <c r="Q304" s="239" t="s">
        <v>2802</v>
      </c>
      <c r="R304" s="241"/>
      <c r="S304" s="240" t="s">
        <v>4435</v>
      </c>
      <c r="T304" s="242" t="s">
        <v>4436</v>
      </c>
      <c r="U304" s="239" t="s">
        <v>2935</v>
      </c>
      <c r="V304" s="251"/>
    </row>
    <row r="305" spans="1:22" ht="30" customHeight="1">
      <c r="A305" s="239" t="s">
        <v>4437</v>
      </c>
      <c r="B305" s="239" t="s">
        <v>4438</v>
      </c>
      <c r="C305" s="240" t="s">
        <v>4439</v>
      </c>
      <c r="D305" s="239" t="s">
        <v>74</v>
      </c>
      <c r="E305" s="241" t="s">
        <v>2795</v>
      </c>
      <c r="F305" s="239" t="s">
        <v>2924</v>
      </c>
      <c r="G305" s="241"/>
      <c r="H305" s="241">
        <v>40</v>
      </c>
      <c r="I305" s="240" t="s">
        <v>4440</v>
      </c>
      <c r="J305" s="240" t="s">
        <v>4321</v>
      </c>
      <c r="K305" s="240" t="s">
        <v>2953</v>
      </c>
      <c r="L305" s="240" t="s">
        <v>2954</v>
      </c>
      <c r="M305" s="240" t="s">
        <v>4441</v>
      </c>
      <c r="N305" s="240" t="s">
        <v>4442</v>
      </c>
      <c r="O305" s="240" t="s">
        <v>1198</v>
      </c>
      <c r="P305" s="240" t="s">
        <v>4443</v>
      </c>
      <c r="Q305" s="239" t="s">
        <v>2802</v>
      </c>
      <c r="R305" s="241"/>
      <c r="S305" s="240" t="s">
        <v>4444</v>
      </c>
      <c r="T305" s="242" t="s">
        <v>1198</v>
      </c>
      <c r="U305" s="239" t="s">
        <v>2935</v>
      </c>
      <c r="V305" s="251"/>
    </row>
    <row r="306" spans="1:22" ht="30" customHeight="1">
      <c r="A306" s="239" t="s">
        <v>4445</v>
      </c>
      <c r="B306" s="239" t="s">
        <v>4446</v>
      </c>
      <c r="C306" s="240" t="s">
        <v>4447</v>
      </c>
      <c r="D306" s="239" t="s">
        <v>74</v>
      </c>
      <c r="E306" s="241" t="s">
        <v>2795</v>
      </c>
      <c r="F306" s="239" t="s">
        <v>2924</v>
      </c>
      <c r="G306" s="241"/>
      <c r="H306" s="241">
        <v>40</v>
      </c>
      <c r="I306" s="240" t="s">
        <v>4448</v>
      </c>
      <c r="J306" s="240" t="s">
        <v>4321</v>
      </c>
      <c r="K306" s="240" t="s">
        <v>2953</v>
      </c>
      <c r="L306" s="240" t="s">
        <v>2954</v>
      </c>
      <c r="M306" s="240" t="s">
        <v>2801</v>
      </c>
      <c r="N306" s="240" t="s">
        <v>2801</v>
      </c>
      <c r="O306" s="240" t="s">
        <v>2801</v>
      </c>
      <c r="P306" s="240" t="s">
        <v>2801</v>
      </c>
      <c r="Q306" s="239" t="s">
        <v>2802</v>
      </c>
      <c r="R306" s="241"/>
      <c r="S306" s="240" t="s">
        <v>2801</v>
      </c>
      <c r="T306" s="242" t="s">
        <v>2801</v>
      </c>
      <c r="U306" s="239" t="s">
        <v>2803</v>
      </c>
      <c r="V306" s="251"/>
    </row>
    <row r="307" spans="1:22" ht="30" customHeight="1">
      <c r="A307" s="239" t="s">
        <v>4445</v>
      </c>
      <c r="B307" s="239" t="s">
        <v>4446</v>
      </c>
      <c r="C307" s="240" t="s">
        <v>4447</v>
      </c>
      <c r="D307" s="239" t="s">
        <v>74</v>
      </c>
      <c r="E307" s="241" t="s">
        <v>2795</v>
      </c>
      <c r="F307" s="239" t="s">
        <v>2924</v>
      </c>
      <c r="G307" s="241"/>
      <c r="H307" s="241">
        <v>40</v>
      </c>
      <c r="I307" s="240" t="s">
        <v>4449</v>
      </c>
      <c r="J307" s="240"/>
      <c r="K307" s="240"/>
      <c r="L307" s="240"/>
      <c r="M307" s="240" t="s">
        <v>4431</v>
      </c>
      <c r="N307" s="240" t="s">
        <v>4450</v>
      </c>
      <c r="O307" s="240" t="s">
        <v>4451</v>
      </c>
      <c r="P307" s="240" t="s">
        <v>4452</v>
      </c>
      <c r="Q307" s="239" t="s">
        <v>2802</v>
      </c>
      <c r="R307" s="241"/>
      <c r="S307" s="240" t="s">
        <v>4453</v>
      </c>
      <c r="T307" s="242" t="s">
        <v>4454</v>
      </c>
      <c r="U307" s="239" t="s">
        <v>2935</v>
      </c>
      <c r="V307" s="251"/>
    </row>
    <row r="308" spans="1:22" ht="30" customHeight="1">
      <c r="A308" s="239" t="s">
        <v>4455</v>
      </c>
      <c r="B308" s="239" t="s">
        <v>4456</v>
      </c>
      <c r="C308" s="240" t="s">
        <v>4457</v>
      </c>
      <c r="D308" s="239" t="s">
        <v>74</v>
      </c>
      <c r="E308" s="241" t="s">
        <v>2795</v>
      </c>
      <c r="F308" s="239" t="s">
        <v>2924</v>
      </c>
      <c r="G308" s="241"/>
      <c r="H308" s="241">
        <v>40</v>
      </c>
      <c r="I308" s="240" t="s">
        <v>4458</v>
      </c>
      <c r="J308" s="240" t="s">
        <v>4321</v>
      </c>
      <c r="K308" s="240" t="s">
        <v>2953</v>
      </c>
      <c r="L308" s="240" t="s">
        <v>2954</v>
      </c>
      <c r="M308" s="240" t="s">
        <v>2801</v>
      </c>
      <c r="N308" s="240" t="s">
        <v>2801</v>
      </c>
      <c r="O308" s="240" t="s">
        <v>2801</v>
      </c>
      <c r="P308" s="240" t="s">
        <v>2801</v>
      </c>
      <c r="Q308" s="239" t="s">
        <v>2802</v>
      </c>
      <c r="R308" s="241"/>
      <c r="S308" s="240" t="s">
        <v>2801</v>
      </c>
      <c r="T308" s="242" t="s">
        <v>2801</v>
      </c>
      <c r="U308" s="239" t="s">
        <v>2803</v>
      </c>
      <c r="V308" s="251"/>
    </row>
    <row r="309" spans="1:22" ht="30" customHeight="1">
      <c r="A309" s="239" t="s">
        <v>4455</v>
      </c>
      <c r="B309" s="252" t="s">
        <v>4456</v>
      </c>
      <c r="C309" s="253" t="s">
        <v>4457</v>
      </c>
      <c r="D309" s="239" t="s">
        <v>74</v>
      </c>
      <c r="E309" s="241" t="s">
        <v>2795</v>
      </c>
      <c r="F309" s="239" t="s">
        <v>2924</v>
      </c>
      <c r="G309" s="241"/>
      <c r="H309" s="241">
        <v>40</v>
      </c>
      <c r="I309" s="240" t="s">
        <v>4459</v>
      </c>
      <c r="J309" s="240"/>
      <c r="K309" s="240"/>
      <c r="L309" s="240"/>
      <c r="M309" s="240" t="s">
        <v>4402</v>
      </c>
      <c r="N309" s="240" t="s">
        <v>4460</v>
      </c>
      <c r="O309" s="240" t="s">
        <v>4461</v>
      </c>
      <c r="P309" s="240" t="s">
        <v>4462</v>
      </c>
      <c r="Q309" s="239" t="s">
        <v>2802</v>
      </c>
      <c r="R309" s="241"/>
      <c r="S309" s="240" t="s">
        <v>4463</v>
      </c>
      <c r="T309" s="242" t="s">
        <v>4464</v>
      </c>
      <c r="U309" s="239" t="s">
        <v>2935</v>
      </c>
      <c r="V309" s="251"/>
    </row>
    <row r="310" spans="1:22" ht="30" customHeight="1">
      <c r="A310" s="254" t="s">
        <v>4465</v>
      </c>
      <c r="B310" s="255" t="s">
        <v>4466</v>
      </c>
      <c r="C310" s="256" t="s">
        <v>4467</v>
      </c>
      <c r="D310" s="257" t="s">
        <v>74</v>
      </c>
      <c r="E310" s="241" t="s">
        <v>2795</v>
      </c>
      <c r="F310" s="239" t="s">
        <v>2924</v>
      </c>
      <c r="G310" s="241"/>
      <c r="H310" s="241">
        <v>40</v>
      </c>
      <c r="I310" s="240" t="s">
        <v>4468</v>
      </c>
      <c r="J310" s="240" t="s">
        <v>4321</v>
      </c>
      <c r="K310" s="240" t="s">
        <v>4469</v>
      </c>
      <c r="L310" s="240" t="s">
        <v>4470</v>
      </c>
      <c r="M310" s="240" t="s">
        <v>2801</v>
      </c>
      <c r="N310" s="240" t="s">
        <v>2801</v>
      </c>
      <c r="O310" s="240" t="s">
        <v>2801</v>
      </c>
      <c r="P310" s="240" t="s">
        <v>2801</v>
      </c>
      <c r="Q310" s="239" t="s">
        <v>2802</v>
      </c>
      <c r="R310" s="241"/>
      <c r="S310" s="240" t="s">
        <v>2801</v>
      </c>
      <c r="T310" s="242" t="s">
        <v>2801</v>
      </c>
      <c r="U310" s="239" t="s">
        <v>2803</v>
      </c>
      <c r="V310" s="251"/>
    </row>
    <row r="311" spans="1:22" ht="30" customHeight="1">
      <c r="A311" s="239" t="s">
        <v>4465</v>
      </c>
      <c r="B311" s="258" t="s">
        <v>4466</v>
      </c>
      <c r="C311" s="259" t="s">
        <v>4467</v>
      </c>
      <c r="D311" s="239" t="s">
        <v>74</v>
      </c>
      <c r="E311" s="241" t="s">
        <v>2795</v>
      </c>
      <c r="F311" s="239" t="s">
        <v>2924</v>
      </c>
      <c r="G311" s="241"/>
      <c r="H311" s="241">
        <v>40</v>
      </c>
      <c r="I311" s="240" t="s">
        <v>4471</v>
      </c>
      <c r="J311" s="240"/>
      <c r="K311" s="240"/>
      <c r="L311" s="240"/>
      <c r="M311" s="240" t="s">
        <v>4472</v>
      </c>
      <c r="N311" s="240" t="s">
        <v>4473</v>
      </c>
      <c r="O311" s="240" t="s">
        <v>4474</v>
      </c>
      <c r="P311" s="240" t="s">
        <v>4475</v>
      </c>
      <c r="Q311" s="239" t="s">
        <v>2802</v>
      </c>
      <c r="R311" s="241"/>
      <c r="S311" s="240" t="s">
        <v>4476</v>
      </c>
      <c r="T311" s="242" t="s">
        <v>1198</v>
      </c>
      <c r="U311" s="239" t="s">
        <v>2935</v>
      </c>
      <c r="V311" s="251"/>
    </row>
    <row r="312" spans="1:22" ht="30" customHeight="1">
      <c r="A312" s="239" t="s">
        <v>4465</v>
      </c>
      <c r="B312" s="239" t="s">
        <v>4466</v>
      </c>
      <c r="C312" s="240" t="s">
        <v>4467</v>
      </c>
      <c r="D312" s="239" t="s">
        <v>74</v>
      </c>
      <c r="E312" s="241" t="s">
        <v>2795</v>
      </c>
      <c r="F312" s="239" t="s">
        <v>2924</v>
      </c>
      <c r="G312" s="241"/>
      <c r="H312" s="241">
        <v>40</v>
      </c>
      <c r="I312" s="240" t="s">
        <v>4477</v>
      </c>
      <c r="J312" s="240"/>
      <c r="K312" s="240"/>
      <c r="L312" s="240"/>
      <c r="M312" s="240" t="s">
        <v>4478</v>
      </c>
      <c r="N312" s="240" t="s">
        <v>4479</v>
      </c>
      <c r="O312" s="240" t="s">
        <v>1198</v>
      </c>
      <c r="P312" s="240" t="s">
        <v>4480</v>
      </c>
      <c r="Q312" s="239" t="s">
        <v>2802</v>
      </c>
      <c r="R312" s="241"/>
      <c r="S312" s="240" t="s">
        <v>4481</v>
      </c>
      <c r="T312" s="242" t="s">
        <v>1198</v>
      </c>
      <c r="U312" s="239" t="s">
        <v>2809</v>
      </c>
      <c r="V312" s="251"/>
    </row>
    <row r="313" spans="1:22" ht="30" customHeight="1">
      <c r="A313" s="239" t="s">
        <v>4465</v>
      </c>
      <c r="B313" s="239" t="s">
        <v>4466</v>
      </c>
      <c r="C313" s="240" t="s">
        <v>4467</v>
      </c>
      <c r="D313" s="239" t="s">
        <v>74</v>
      </c>
      <c r="E313" s="241" t="s">
        <v>2795</v>
      </c>
      <c r="F313" s="239" t="s">
        <v>2924</v>
      </c>
      <c r="G313" s="241"/>
      <c r="H313" s="241">
        <v>40</v>
      </c>
      <c r="I313" s="240" t="s">
        <v>4482</v>
      </c>
      <c r="J313" s="240"/>
      <c r="K313" s="240"/>
      <c r="L313" s="240"/>
      <c r="M313" s="240" t="s">
        <v>3002</v>
      </c>
      <c r="N313" s="240" t="s">
        <v>4483</v>
      </c>
      <c r="O313" s="240" t="s">
        <v>1198</v>
      </c>
      <c r="P313" s="240" t="s">
        <v>4484</v>
      </c>
      <c r="Q313" s="239" t="s">
        <v>2802</v>
      </c>
      <c r="R313" s="241"/>
      <c r="S313" s="240" t="s">
        <v>4485</v>
      </c>
      <c r="T313" s="242" t="s">
        <v>1198</v>
      </c>
      <c r="U313" s="239" t="s">
        <v>2809</v>
      </c>
      <c r="V313" s="251"/>
    </row>
    <row r="314" spans="1:22" ht="30" customHeight="1">
      <c r="A314" s="239" t="s">
        <v>4465</v>
      </c>
      <c r="B314" s="239" t="s">
        <v>4466</v>
      </c>
      <c r="C314" s="240" t="s">
        <v>4467</v>
      </c>
      <c r="D314" s="239" t="s">
        <v>74</v>
      </c>
      <c r="E314" s="241" t="s">
        <v>2795</v>
      </c>
      <c r="F314" s="239" t="s">
        <v>2924</v>
      </c>
      <c r="G314" s="241"/>
      <c r="H314" s="241">
        <v>40</v>
      </c>
      <c r="I314" s="240" t="s">
        <v>4486</v>
      </c>
      <c r="J314" s="240"/>
      <c r="K314" s="240"/>
      <c r="L314" s="240"/>
      <c r="M314" s="240" t="s">
        <v>3002</v>
      </c>
      <c r="N314" s="240" t="s">
        <v>4487</v>
      </c>
      <c r="O314" s="240" t="s">
        <v>1198</v>
      </c>
      <c r="P314" s="240" t="s">
        <v>4488</v>
      </c>
      <c r="Q314" s="239" t="s">
        <v>2802</v>
      </c>
      <c r="R314" s="241"/>
      <c r="S314" s="240" t="s">
        <v>4489</v>
      </c>
      <c r="T314" s="242" t="s">
        <v>1198</v>
      </c>
      <c r="U314" s="239" t="s">
        <v>2809</v>
      </c>
      <c r="V314" s="251"/>
    </row>
    <row r="315" spans="1:22" ht="30" customHeight="1">
      <c r="A315" s="239" t="s">
        <v>4465</v>
      </c>
      <c r="B315" s="239" t="s">
        <v>4466</v>
      </c>
      <c r="C315" s="240" t="s">
        <v>4467</v>
      </c>
      <c r="D315" s="239" t="s">
        <v>74</v>
      </c>
      <c r="E315" s="241" t="s">
        <v>2795</v>
      </c>
      <c r="F315" s="239" t="s">
        <v>2924</v>
      </c>
      <c r="G315" s="241"/>
      <c r="H315" s="241">
        <v>40</v>
      </c>
      <c r="I315" s="240" t="s">
        <v>4490</v>
      </c>
      <c r="J315" s="240"/>
      <c r="K315" s="240"/>
      <c r="L315" s="240"/>
      <c r="M315" s="240" t="s">
        <v>4491</v>
      </c>
      <c r="N315" s="240" t="s">
        <v>4492</v>
      </c>
      <c r="O315" s="240" t="s">
        <v>4493</v>
      </c>
      <c r="P315" s="240" t="s">
        <v>4494</v>
      </c>
      <c r="Q315" s="239" t="s">
        <v>2946</v>
      </c>
      <c r="R315" s="241"/>
      <c r="S315" s="240" t="s">
        <v>4495</v>
      </c>
      <c r="T315" s="242" t="s">
        <v>1198</v>
      </c>
      <c r="U315" s="239" t="s">
        <v>2935</v>
      </c>
      <c r="V315" s="251"/>
    </row>
    <row r="316" spans="1:22" ht="30" customHeight="1">
      <c r="A316" s="239" t="s">
        <v>4496</v>
      </c>
      <c r="B316" s="239" t="s">
        <v>4497</v>
      </c>
      <c r="C316" s="240" t="s">
        <v>4498</v>
      </c>
      <c r="D316" s="239" t="s">
        <v>74</v>
      </c>
      <c r="E316" s="241" t="s">
        <v>2795</v>
      </c>
      <c r="F316" s="239" t="s">
        <v>2924</v>
      </c>
      <c r="G316" s="241"/>
      <c r="H316" s="241">
        <v>40</v>
      </c>
      <c r="I316" s="240" t="s">
        <v>4499</v>
      </c>
      <c r="J316" s="240" t="s">
        <v>4291</v>
      </c>
      <c r="K316" s="240" t="s">
        <v>2953</v>
      </c>
      <c r="L316" s="240" t="s">
        <v>2954</v>
      </c>
      <c r="M316" s="240" t="s">
        <v>2801</v>
      </c>
      <c r="N316" s="240" t="s">
        <v>2801</v>
      </c>
      <c r="O316" s="240" t="s">
        <v>2801</v>
      </c>
      <c r="P316" s="240" t="s">
        <v>2801</v>
      </c>
      <c r="Q316" s="239" t="s">
        <v>2864</v>
      </c>
      <c r="R316" s="241"/>
      <c r="S316" s="240" t="s">
        <v>2801</v>
      </c>
      <c r="T316" s="242" t="s">
        <v>2801</v>
      </c>
      <c r="U316" s="239" t="s">
        <v>2803</v>
      </c>
      <c r="V316" s="251"/>
    </row>
    <row r="317" spans="1:22" ht="30" customHeight="1">
      <c r="A317" s="239" t="s">
        <v>4496</v>
      </c>
      <c r="B317" s="239" t="s">
        <v>4497</v>
      </c>
      <c r="C317" s="240" t="s">
        <v>4498</v>
      </c>
      <c r="D317" s="239" t="s">
        <v>74</v>
      </c>
      <c r="E317" s="241" t="s">
        <v>2795</v>
      </c>
      <c r="F317" s="239" t="s">
        <v>2924</v>
      </c>
      <c r="G317" s="241"/>
      <c r="H317" s="241">
        <v>40</v>
      </c>
      <c r="I317" s="240" t="s">
        <v>4500</v>
      </c>
      <c r="J317" s="240"/>
      <c r="K317" s="240"/>
      <c r="L317" s="240"/>
      <c r="M317" s="240" t="s">
        <v>4501</v>
      </c>
      <c r="N317" s="240" t="s">
        <v>4502</v>
      </c>
      <c r="O317" s="240" t="s">
        <v>4503</v>
      </c>
      <c r="P317" s="240" t="s">
        <v>4504</v>
      </c>
      <c r="Q317" s="239" t="s">
        <v>2864</v>
      </c>
      <c r="R317" s="241"/>
      <c r="S317" s="240" t="s">
        <v>4505</v>
      </c>
      <c r="T317" s="242" t="s">
        <v>4506</v>
      </c>
      <c r="U317" s="239" t="s">
        <v>4299</v>
      </c>
      <c r="V317" s="251"/>
    </row>
    <row r="318" spans="1:22" ht="30" customHeight="1">
      <c r="A318" s="239" t="s">
        <v>4496</v>
      </c>
      <c r="B318" s="239" t="s">
        <v>4497</v>
      </c>
      <c r="C318" s="240" t="s">
        <v>4498</v>
      </c>
      <c r="D318" s="239" t="s">
        <v>74</v>
      </c>
      <c r="E318" s="241" t="s">
        <v>2795</v>
      </c>
      <c r="F318" s="239" t="s">
        <v>2924</v>
      </c>
      <c r="G318" s="241"/>
      <c r="H318" s="241">
        <v>40</v>
      </c>
      <c r="I318" s="240" t="s">
        <v>4507</v>
      </c>
      <c r="J318" s="240"/>
      <c r="K318" s="240"/>
      <c r="L318" s="240"/>
      <c r="M318" s="240" t="s">
        <v>4501</v>
      </c>
      <c r="N318" s="240" t="s">
        <v>4508</v>
      </c>
      <c r="O318" s="240" t="s">
        <v>4509</v>
      </c>
      <c r="P318" s="240" t="s">
        <v>4510</v>
      </c>
      <c r="Q318" s="239" t="s">
        <v>2864</v>
      </c>
      <c r="R318" s="241"/>
      <c r="S318" s="240" t="s">
        <v>4511</v>
      </c>
      <c r="T318" s="242" t="s">
        <v>4512</v>
      </c>
      <c r="U318" s="239" t="s">
        <v>4299</v>
      </c>
      <c r="V318" s="251"/>
    </row>
    <row r="319" spans="1:22" ht="30" customHeight="1">
      <c r="A319" s="239" t="s">
        <v>4496</v>
      </c>
      <c r="B319" s="239" t="s">
        <v>4497</v>
      </c>
      <c r="C319" s="240" t="s">
        <v>4498</v>
      </c>
      <c r="D319" s="239" t="s">
        <v>74</v>
      </c>
      <c r="E319" s="241" t="s">
        <v>2795</v>
      </c>
      <c r="F319" s="239" t="s">
        <v>2924</v>
      </c>
      <c r="G319" s="241"/>
      <c r="H319" s="241">
        <v>40</v>
      </c>
      <c r="I319" s="240" t="s">
        <v>4513</v>
      </c>
      <c r="J319" s="240"/>
      <c r="K319" s="240"/>
      <c r="L319" s="240"/>
      <c r="M319" s="240" t="s">
        <v>4501</v>
      </c>
      <c r="N319" s="240" t="s">
        <v>4514</v>
      </c>
      <c r="O319" s="240" t="s">
        <v>4515</v>
      </c>
      <c r="P319" s="240" t="s">
        <v>4516</v>
      </c>
      <c r="Q319" s="239" t="s">
        <v>2864</v>
      </c>
      <c r="R319" s="241"/>
      <c r="S319" s="240" t="s">
        <v>4517</v>
      </c>
      <c r="T319" s="242" t="s">
        <v>4518</v>
      </c>
      <c r="U319" s="239" t="s">
        <v>4299</v>
      </c>
      <c r="V319" s="251"/>
    </row>
    <row r="320" spans="1:22" ht="30" customHeight="1">
      <c r="A320" s="239" t="s">
        <v>4496</v>
      </c>
      <c r="B320" s="239" t="s">
        <v>4497</v>
      </c>
      <c r="C320" s="240" t="s">
        <v>4498</v>
      </c>
      <c r="D320" s="239" t="s">
        <v>74</v>
      </c>
      <c r="E320" s="241" t="s">
        <v>2795</v>
      </c>
      <c r="F320" s="239" t="s">
        <v>2924</v>
      </c>
      <c r="G320" s="241"/>
      <c r="H320" s="241">
        <v>40</v>
      </c>
      <c r="I320" s="240" t="s">
        <v>4519</v>
      </c>
      <c r="J320" s="240"/>
      <c r="K320" s="240"/>
      <c r="L320" s="240"/>
      <c r="M320" s="240" t="s">
        <v>4501</v>
      </c>
      <c r="N320" s="240" t="s">
        <v>4520</v>
      </c>
      <c r="O320" s="240" t="s">
        <v>4521</v>
      </c>
      <c r="P320" s="240" t="s">
        <v>4522</v>
      </c>
      <c r="Q320" s="239" t="s">
        <v>2864</v>
      </c>
      <c r="R320" s="241"/>
      <c r="S320" s="240" t="s">
        <v>4523</v>
      </c>
      <c r="T320" s="242" t="s">
        <v>4524</v>
      </c>
      <c r="U320" s="239" t="s">
        <v>4299</v>
      </c>
      <c r="V320" s="251"/>
    </row>
    <row r="321" spans="1:22" ht="30" customHeight="1">
      <c r="A321" s="239" t="s">
        <v>4525</v>
      </c>
      <c r="B321" s="239" t="s">
        <v>4526</v>
      </c>
      <c r="C321" s="240" t="s">
        <v>4527</v>
      </c>
      <c r="D321" s="239" t="s">
        <v>74</v>
      </c>
      <c r="E321" s="241" t="s">
        <v>2795</v>
      </c>
      <c r="F321" s="239" t="s">
        <v>2924</v>
      </c>
      <c r="G321" s="241"/>
      <c r="H321" s="241">
        <v>40</v>
      </c>
      <c r="I321" s="240" t="s">
        <v>4528</v>
      </c>
      <c r="J321" s="240" t="s">
        <v>4291</v>
      </c>
      <c r="K321" s="240" t="s">
        <v>2953</v>
      </c>
      <c r="L321" s="240" t="s">
        <v>2954</v>
      </c>
      <c r="M321" s="240" t="s">
        <v>2801</v>
      </c>
      <c r="N321" s="240" t="s">
        <v>2801</v>
      </c>
      <c r="O321" s="240" t="s">
        <v>2801</v>
      </c>
      <c r="P321" s="240" t="s">
        <v>2801</v>
      </c>
      <c r="Q321" s="239" t="s">
        <v>2864</v>
      </c>
      <c r="R321" s="241"/>
      <c r="S321" s="240" t="s">
        <v>2801</v>
      </c>
      <c r="T321" s="242" t="s">
        <v>2801</v>
      </c>
      <c r="U321" s="239" t="s">
        <v>2803</v>
      </c>
      <c r="V321" s="251"/>
    </row>
    <row r="322" spans="1:22" ht="30" customHeight="1">
      <c r="A322" s="239" t="s">
        <v>4525</v>
      </c>
      <c r="B322" s="239" t="s">
        <v>4526</v>
      </c>
      <c r="C322" s="240" t="s">
        <v>4527</v>
      </c>
      <c r="D322" s="239" t="s">
        <v>74</v>
      </c>
      <c r="E322" s="241" t="s">
        <v>2795</v>
      </c>
      <c r="F322" s="239" t="s">
        <v>2924</v>
      </c>
      <c r="G322" s="241"/>
      <c r="H322" s="241">
        <v>40</v>
      </c>
      <c r="I322" s="240" t="s">
        <v>4529</v>
      </c>
      <c r="J322" s="240"/>
      <c r="K322" s="240"/>
      <c r="L322" s="240"/>
      <c r="M322" s="240" t="s">
        <v>4530</v>
      </c>
      <c r="N322" s="240" t="s">
        <v>4531</v>
      </c>
      <c r="O322" s="240" t="s">
        <v>4532</v>
      </c>
      <c r="P322" s="240" t="s">
        <v>4533</v>
      </c>
      <c r="Q322" s="239" t="s">
        <v>2864</v>
      </c>
      <c r="R322" s="241"/>
      <c r="S322" s="240" t="s">
        <v>4534</v>
      </c>
      <c r="T322" s="242" t="s">
        <v>4535</v>
      </c>
      <c r="U322" s="239" t="s">
        <v>4299</v>
      </c>
      <c r="V322" s="251"/>
    </row>
    <row r="323" spans="1:22" ht="30" customHeight="1">
      <c r="A323" s="239" t="s">
        <v>4525</v>
      </c>
      <c r="B323" s="239" t="s">
        <v>4526</v>
      </c>
      <c r="C323" s="240" t="s">
        <v>4527</v>
      </c>
      <c r="D323" s="239" t="s">
        <v>74</v>
      </c>
      <c r="E323" s="241" t="s">
        <v>2795</v>
      </c>
      <c r="F323" s="239" t="s">
        <v>2924</v>
      </c>
      <c r="G323" s="241"/>
      <c r="H323" s="241">
        <v>40</v>
      </c>
      <c r="I323" s="240" t="s">
        <v>4536</v>
      </c>
      <c r="J323" s="240"/>
      <c r="K323" s="240"/>
      <c r="L323" s="240"/>
      <c r="M323" s="240" t="s">
        <v>4530</v>
      </c>
      <c r="N323" s="240" t="s">
        <v>4537</v>
      </c>
      <c r="O323" s="240" t="s">
        <v>4538</v>
      </c>
      <c r="P323" s="240" t="s">
        <v>4539</v>
      </c>
      <c r="Q323" s="239" t="s">
        <v>2864</v>
      </c>
      <c r="R323" s="241"/>
      <c r="S323" s="240" t="s">
        <v>4540</v>
      </c>
      <c r="T323" s="242" t="s">
        <v>4541</v>
      </c>
      <c r="U323" s="239" t="s">
        <v>4299</v>
      </c>
      <c r="V323" s="251"/>
    </row>
    <row r="324" spans="1:22" ht="30" customHeight="1">
      <c r="A324" s="239" t="s">
        <v>4525</v>
      </c>
      <c r="B324" s="239" t="s">
        <v>4526</v>
      </c>
      <c r="C324" s="240" t="s">
        <v>4527</v>
      </c>
      <c r="D324" s="239" t="s">
        <v>74</v>
      </c>
      <c r="E324" s="241" t="s">
        <v>2795</v>
      </c>
      <c r="F324" s="239" t="s">
        <v>2924</v>
      </c>
      <c r="G324" s="241"/>
      <c r="H324" s="241">
        <v>40</v>
      </c>
      <c r="I324" s="240" t="s">
        <v>4542</v>
      </c>
      <c r="J324" s="240"/>
      <c r="K324" s="240"/>
      <c r="L324" s="240"/>
      <c r="M324" s="240" t="s">
        <v>4530</v>
      </c>
      <c r="N324" s="240" t="s">
        <v>4543</v>
      </c>
      <c r="O324" s="240" t="s">
        <v>4544</v>
      </c>
      <c r="P324" s="240" t="s">
        <v>4545</v>
      </c>
      <c r="Q324" s="239" t="s">
        <v>2864</v>
      </c>
      <c r="R324" s="241"/>
      <c r="S324" s="240" t="s">
        <v>4546</v>
      </c>
      <c r="T324" s="242" t="s">
        <v>4547</v>
      </c>
      <c r="U324" s="239" t="s">
        <v>4299</v>
      </c>
      <c r="V324" s="251"/>
    </row>
    <row r="325" spans="1:22" ht="30" customHeight="1">
      <c r="A325" s="239" t="s">
        <v>4525</v>
      </c>
      <c r="B325" s="239" t="s">
        <v>4526</v>
      </c>
      <c r="C325" s="240" t="s">
        <v>4527</v>
      </c>
      <c r="D325" s="239" t="s">
        <v>74</v>
      </c>
      <c r="E325" s="241" t="s">
        <v>2795</v>
      </c>
      <c r="F325" s="239" t="s">
        <v>2924</v>
      </c>
      <c r="G325" s="241"/>
      <c r="H325" s="241">
        <v>40</v>
      </c>
      <c r="I325" s="240" t="s">
        <v>4548</v>
      </c>
      <c r="J325" s="240"/>
      <c r="K325" s="240"/>
      <c r="L325" s="240"/>
      <c r="M325" s="240" t="s">
        <v>4530</v>
      </c>
      <c r="N325" s="240" t="s">
        <v>4549</v>
      </c>
      <c r="O325" s="240" t="s">
        <v>4550</v>
      </c>
      <c r="P325" s="240" t="s">
        <v>4551</v>
      </c>
      <c r="Q325" s="239" t="s">
        <v>2864</v>
      </c>
      <c r="R325" s="241"/>
      <c r="S325" s="240" t="s">
        <v>4552</v>
      </c>
      <c r="T325" s="242" t="s">
        <v>4553</v>
      </c>
      <c r="U325" s="239" t="s">
        <v>4299</v>
      </c>
      <c r="V325" s="251"/>
    </row>
    <row r="326" spans="1:22" ht="30" customHeight="1">
      <c r="A326" s="239" t="s">
        <v>4554</v>
      </c>
      <c r="B326" s="239" t="s">
        <v>4555</v>
      </c>
      <c r="C326" s="240" t="s">
        <v>4556</v>
      </c>
      <c r="D326" s="239" t="s">
        <v>74</v>
      </c>
      <c r="E326" s="241" t="s">
        <v>2795</v>
      </c>
      <c r="F326" s="239" t="s">
        <v>2924</v>
      </c>
      <c r="G326" s="241"/>
      <c r="H326" s="241">
        <v>40</v>
      </c>
      <c r="I326" s="240" t="s">
        <v>4557</v>
      </c>
      <c r="J326" s="240" t="s">
        <v>4291</v>
      </c>
      <c r="K326" s="240" t="s">
        <v>2953</v>
      </c>
      <c r="L326" s="240" t="s">
        <v>2954</v>
      </c>
      <c r="M326" s="240" t="s">
        <v>2801</v>
      </c>
      <c r="N326" s="240" t="s">
        <v>2801</v>
      </c>
      <c r="O326" s="240" t="s">
        <v>2801</v>
      </c>
      <c r="P326" s="240" t="s">
        <v>2801</v>
      </c>
      <c r="Q326" s="239" t="s">
        <v>2864</v>
      </c>
      <c r="R326" s="241"/>
      <c r="S326" s="240" t="s">
        <v>2801</v>
      </c>
      <c r="T326" s="242" t="s">
        <v>2801</v>
      </c>
      <c r="U326" s="239" t="s">
        <v>2803</v>
      </c>
      <c r="V326" s="251"/>
    </row>
    <row r="327" spans="1:22" ht="30" customHeight="1">
      <c r="A327" s="239" t="s">
        <v>4554</v>
      </c>
      <c r="B327" s="239" t="s">
        <v>4555</v>
      </c>
      <c r="C327" s="240" t="s">
        <v>4556</v>
      </c>
      <c r="D327" s="239" t="s">
        <v>74</v>
      </c>
      <c r="E327" s="241" t="s">
        <v>2795</v>
      </c>
      <c r="F327" s="239" t="s">
        <v>2924</v>
      </c>
      <c r="G327" s="241"/>
      <c r="H327" s="241">
        <v>40</v>
      </c>
      <c r="I327" s="240" t="s">
        <v>4558</v>
      </c>
      <c r="J327" s="240"/>
      <c r="K327" s="240"/>
      <c r="L327" s="240"/>
      <c r="M327" s="240" t="s">
        <v>4530</v>
      </c>
      <c r="N327" s="240" t="s">
        <v>4559</v>
      </c>
      <c r="O327" s="240" t="s">
        <v>4560</v>
      </c>
      <c r="P327" s="240" t="s">
        <v>4561</v>
      </c>
      <c r="Q327" s="239" t="s">
        <v>2864</v>
      </c>
      <c r="R327" s="241"/>
      <c r="S327" s="240" t="s">
        <v>4562</v>
      </c>
      <c r="T327" s="242" t="s">
        <v>4563</v>
      </c>
      <c r="U327" s="239" t="s">
        <v>4299</v>
      </c>
      <c r="V327" s="251"/>
    </row>
    <row r="328" spans="1:22" ht="30" customHeight="1">
      <c r="A328" s="239" t="s">
        <v>4554</v>
      </c>
      <c r="B328" s="239" t="s">
        <v>4555</v>
      </c>
      <c r="C328" s="240" t="s">
        <v>4556</v>
      </c>
      <c r="D328" s="239" t="s">
        <v>74</v>
      </c>
      <c r="E328" s="241" t="s">
        <v>2795</v>
      </c>
      <c r="F328" s="239" t="s">
        <v>2924</v>
      </c>
      <c r="G328" s="241"/>
      <c r="H328" s="241">
        <v>40</v>
      </c>
      <c r="I328" s="240" t="s">
        <v>4564</v>
      </c>
      <c r="J328" s="240"/>
      <c r="K328" s="240"/>
      <c r="L328" s="240"/>
      <c r="M328" s="240" t="s">
        <v>4530</v>
      </c>
      <c r="N328" s="240" t="s">
        <v>4565</v>
      </c>
      <c r="O328" s="240" t="s">
        <v>4566</v>
      </c>
      <c r="P328" s="240" t="s">
        <v>4567</v>
      </c>
      <c r="Q328" s="239" t="s">
        <v>2864</v>
      </c>
      <c r="R328" s="241"/>
      <c r="S328" s="240" t="s">
        <v>4568</v>
      </c>
      <c r="T328" s="242" t="s">
        <v>4569</v>
      </c>
      <c r="U328" s="239" t="s">
        <v>4299</v>
      </c>
      <c r="V328" s="251"/>
    </row>
    <row r="329" spans="1:22" ht="30" customHeight="1">
      <c r="A329" s="239" t="s">
        <v>4554</v>
      </c>
      <c r="B329" s="239" t="s">
        <v>4555</v>
      </c>
      <c r="C329" s="240" t="s">
        <v>4556</v>
      </c>
      <c r="D329" s="239" t="s">
        <v>74</v>
      </c>
      <c r="E329" s="241" t="s">
        <v>2795</v>
      </c>
      <c r="F329" s="239" t="s">
        <v>2924</v>
      </c>
      <c r="G329" s="241"/>
      <c r="H329" s="241">
        <v>40</v>
      </c>
      <c r="I329" s="240" t="s">
        <v>4570</v>
      </c>
      <c r="J329" s="240"/>
      <c r="K329" s="240"/>
      <c r="L329" s="240"/>
      <c r="M329" s="240" t="s">
        <v>4530</v>
      </c>
      <c r="N329" s="240" t="s">
        <v>4571</v>
      </c>
      <c r="O329" s="240" t="s">
        <v>4572</v>
      </c>
      <c r="P329" s="240" t="s">
        <v>4573</v>
      </c>
      <c r="Q329" s="239" t="s">
        <v>2864</v>
      </c>
      <c r="R329" s="241"/>
      <c r="S329" s="240" t="s">
        <v>4574</v>
      </c>
      <c r="T329" s="242" t="s">
        <v>4575</v>
      </c>
      <c r="U329" s="239" t="s">
        <v>4299</v>
      </c>
      <c r="V329" s="251"/>
    </row>
    <row r="330" spans="1:22" ht="30" customHeight="1">
      <c r="A330" s="239" t="s">
        <v>4554</v>
      </c>
      <c r="B330" s="239" t="s">
        <v>4555</v>
      </c>
      <c r="C330" s="240" t="s">
        <v>4556</v>
      </c>
      <c r="D330" s="239" t="s">
        <v>74</v>
      </c>
      <c r="E330" s="241" t="s">
        <v>2795</v>
      </c>
      <c r="F330" s="239" t="s">
        <v>2924</v>
      </c>
      <c r="G330" s="241"/>
      <c r="H330" s="241">
        <v>40</v>
      </c>
      <c r="I330" s="240" t="s">
        <v>4576</v>
      </c>
      <c r="J330" s="240"/>
      <c r="K330" s="240"/>
      <c r="L330" s="240"/>
      <c r="M330" s="240" t="s">
        <v>4530</v>
      </c>
      <c r="N330" s="240" t="s">
        <v>4577</v>
      </c>
      <c r="O330" s="240" t="s">
        <v>4578</v>
      </c>
      <c r="P330" s="240" t="s">
        <v>4579</v>
      </c>
      <c r="Q330" s="239" t="s">
        <v>2864</v>
      </c>
      <c r="R330" s="241"/>
      <c r="S330" s="240" t="s">
        <v>4580</v>
      </c>
      <c r="T330" s="242" t="s">
        <v>4581</v>
      </c>
      <c r="U330" s="239" t="s">
        <v>4299</v>
      </c>
      <c r="V330" s="251"/>
    </row>
    <row r="331" spans="1:22" ht="30" customHeight="1">
      <c r="A331" s="239" t="s">
        <v>4582</v>
      </c>
      <c r="B331" s="239" t="s">
        <v>4583</v>
      </c>
      <c r="C331" s="240" t="s">
        <v>4584</v>
      </c>
      <c r="D331" s="239" t="s">
        <v>74</v>
      </c>
      <c r="E331" s="241" t="s">
        <v>2795</v>
      </c>
      <c r="F331" s="239" t="s">
        <v>2924</v>
      </c>
      <c r="G331" s="241"/>
      <c r="H331" s="241">
        <v>40</v>
      </c>
      <c r="I331" s="240" t="s">
        <v>4585</v>
      </c>
      <c r="J331" s="240" t="s">
        <v>4291</v>
      </c>
      <c r="K331" s="240" t="s">
        <v>2953</v>
      </c>
      <c r="L331" s="240" t="s">
        <v>2954</v>
      </c>
      <c r="M331" s="240" t="s">
        <v>2801</v>
      </c>
      <c r="N331" s="240" t="s">
        <v>2801</v>
      </c>
      <c r="O331" s="240" t="s">
        <v>2801</v>
      </c>
      <c r="P331" s="240" t="s">
        <v>2801</v>
      </c>
      <c r="Q331" s="239" t="s">
        <v>2864</v>
      </c>
      <c r="R331" s="241"/>
      <c r="S331" s="240" t="s">
        <v>2801</v>
      </c>
      <c r="T331" s="242" t="s">
        <v>2801</v>
      </c>
      <c r="U331" s="239" t="s">
        <v>2803</v>
      </c>
      <c r="V331" s="251"/>
    </row>
    <row r="332" spans="1:22" ht="30" customHeight="1">
      <c r="A332" s="239" t="s">
        <v>4582</v>
      </c>
      <c r="B332" s="239" t="s">
        <v>4583</v>
      </c>
      <c r="C332" s="240" t="s">
        <v>4584</v>
      </c>
      <c r="D332" s="239" t="s">
        <v>74</v>
      </c>
      <c r="E332" s="241" t="s">
        <v>2795</v>
      </c>
      <c r="F332" s="239" t="s">
        <v>2924</v>
      </c>
      <c r="G332" s="241"/>
      <c r="H332" s="241">
        <v>40</v>
      </c>
      <c r="I332" s="240" t="s">
        <v>4586</v>
      </c>
      <c r="J332" s="240"/>
      <c r="K332" s="240"/>
      <c r="L332" s="240"/>
      <c r="M332" s="240" t="s">
        <v>4530</v>
      </c>
      <c r="N332" s="240" t="s">
        <v>4587</v>
      </c>
      <c r="O332" s="240" t="s">
        <v>4588</v>
      </c>
      <c r="P332" s="240" t="s">
        <v>4589</v>
      </c>
      <c r="Q332" s="239" t="s">
        <v>2864</v>
      </c>
      <c r="R332" s="241"/>
      <c r="S332" s="240" t="s">
        <v>4590</v>
      </c>
      <c r="T332" s="242" t="s">
        <v>4591</v>
      </c>
      <c r="U332" s="239" t="s">
        <v>4299</v>
      </c>
      <c r="V332" s="251"/>
    </row>
    <row r="333" spans="1:22" ht="30" customHeight="1">
      <c r="A333" s="239" t="s">
        <v>4582</v>
      </c>
      <c r="B333" s="239" t="s">
        <v>4583</v>
      </c>
      <c r="C333" s="240" t="s">
        <v>4584</v>
      </c>
      <c r="D333" s="239" t="s">
        <v>74</v>
      </c>
      <c r="E333" s="241" t="s">
        <v>2795</v>
      </c>
      <c r="F333" s="239" t="s">
        <v>2924</v>
      </c>
      <c r="G333" s="241"/>
      <c r="H333" s="241">
        <v>40</v>
      </c>
      <c r="I333" s="240" t="s">
        <v>4592</v>
      </c>
      <c r="J333" s="240"/>
      <c r="K333" s="240"/>
      <c r="L333" s="240"/>
      <c r="M333" s="240" t="s">
        <v>4530</v>
      </c>
      <c r="N333" s="240" t="s">
        <v>4593</v>
      </c>
      <c r="O333" s="240" t="s">
        <v>4594</v>
      </c>
      <c r="P333" s="240" t="s">
        <v>4595</v>
      </c>
      <c r="Q333" s="239" t="s">
        <v>2864</v>
      </c>
      <c r="R333" s="241"/>
      <c r="S333" s="240" t="s">
        <v>4596</v>
      </c>
      <c r="T333" s="242" t="s">
        <v>4597</v>
      </c>
      <c r="U333" s="239" t="s">
        <v>4299</v>
      </c>
      <c r="V333" s="251"/>
    </row>
    <row r="334" spans="1:22" ht="30" customHeight="1">
      <c r="A334" s="239" t="s">
        <v>4582</v>
      </c>
      <c r="B334" s="239" t="s">
        <v>4583</v>
      </c>
      <c r="C334" s="240" t="s">
        <v>4584</v>
      </c>
      <c r="D334" s="239" t="s">
        <v>74</v>
      </c>
      <c r="E334" s="241" t="s">
        <v>2795</v>
      </c>
      <c r="F334" s="239" t="s">
        <v>2924</v>
      </c>
      <c r="G334" s="241"/>
      <c r="H334" s="241">
        <v>40</v>
      </c>
      <c r="I334" s="240" t="s">
        <v>4598</v>
      </c>
      <c r="J334" s="240"/>
      <c r="K334" s="240"/>
      <c r="L334" s="240"/>
      <c r="M334" s="240" t="s">
        <v>4530</v>
      </c>
      <c r="N334" s="240" t="s">
        <v>4599</v>
      </c>
      <c r="O334" s="240" t="s">
        <v>4600</v>
      </c>
      <c r="P334" s="240" t="s">
        <v>4601</v>
      </c>
      <c r="Q334" s="239" t="s">
        <v>2864</v>
      </c>
      <c r="R334" s="241"/>
      <c r="S334" s="240" t="s">
        <v>4602</v>
      </c>
      <c r="T334" s="242" t="s">
        <v>4603</v>
      </c>
      <c r="U334" s="239" t="s">
        <v>4299</v>
      </c>
      <c r="V334" s="251"/>
    </row>
    <row r="335" spans="1:22" ht="30" customHeight="1">
      <c r="A335" s="239" t="s">
        <v>4582</v>
      </c>
      <c r="B335" s="239" t="s">
        <v>4583</v>
      </c>
      <c r="C335" s="240" t="s">
        <v>4584</v>
      </c>
      <c r="D335" s="239" t="s">
        <v>74</v>
      </c>
      <c r="E335" s="241" t="s">
        <v>2795</v>
      </c>
      <c r="F335" s="239" t="s">
        <v>2924</v>
      </c>
      <c r="G335" s="241"/>
      <c r="H335" s="241">
        <v>40</v>
      </c>
      <c r="I335" s="240" t="s">
        <v>4604</v>
      </c>
      <c r="J335" s="240"/>
      <c r="K335" s="240"/>
      <c r="L335" s="240"/>
      <c r="M335" s="240" t="s">
        <v>4530</v>
      </c>
      <c r="N335" s="240" t="s">
        <v>4605</v>
      </c>
      <c r="O335" s="240" t="s">
        <v>4606</v>
      </c>
      <c r="P335" s="240" t="s">
        <v>4607</v>
      </c>
      <c r="Q335" s="239" t="s">
        <v>2864</v>
      </c>
      <c r="R335" s="241"/>
      <c r="S335" s="240" t="s">
        <v>4608</v>
      </c>
      <c r="T335" s="242" t="s">
        <v>4609</v>
      </c>
      <c r="U335" s="239" t="s">
        <v>4299</v>
      </c>
      <c r="V335" s="251"/>
    </row>
    <row r="336" spans="1:22" ht="30" customHeight="1">
      <c r="A336" s="239" t="s">
        <v>4610</v>
      </c>
      <c r="B336" s="239" t="s">
        <v>4611</v>
      </c>
      <c r="C336" s="240" t="s">
        <v>4612</v>
      </c>
      <c r="D336" s="239" t="s">
        <v>74</v>
      </c>
      <c r="E336" s="241" t="s">
        <v>2795</v>
      </c>
      <c r="F336" s="239" t="s">
        <v>2924</v>
      </c>
      <c r="G336" s="241"/>
      <c r="H336" s="241">
        <v>40</v>
      </c>
      <c r="I336" s="240" t="s">
        <v>4613</v>
      </c>
      <c r="J336" s="240" t="s">
        <v>4291</v>
      </c>
      <c r="K336" s="240" t="s">
        <v>2953</v>
      </c>
      <c r="L336" s="240" t="s">
        <v>2954</v>
      </c>
      <c r="M336" s="240" t="s">
        <v>2801</v>
      </c>
      <c r="N336" s="240" t="s">
        <v>2801</v>
      </c>
      <c r="O336" s="240" t="s">
        <v>2801</v>
      </c>
      <c r="P336" s="240" t="s">
        <v>2801</v>
      </c>
      <c r="Q336" s="239" t="s">
        <v>2864</v>
      </c>
      <c r="R336" s="241"/>
      <c r="S336" s="240" t="s">
        <v>2801</v>
      </c>
      <c r="T336" s="242" t="s">
        <v>2801</v>
      </c>
      <c r="U336" s="239" t="s">
        <v>2803</v>
      </c>
      <c r="V336" s="251"/>
    </row>
    <row r="337" spans="1:22" ht="30" customHeight="1">
      <c r="A337" s="239" t="s">
        <v>4610</v>
      </c>
      <c r="B337" s="239" t="s">
        <v>4611</v>
      </c>
      <c r="C337" s="240" t="s">
        <v>4612</v>
      </c>
      <c r="D337" s="239" t="s">
        <v>74</v>
      </c>
      <c r="E337" s="241" t="s">
        <v>2795</v>
      </c>
      <c r="F337" s="239" t="s">
        <v>2924</v>
      </c>
      <c r="G337" s="241"/>
      <c r="H337" s="241">
        <v>40</v>
      </c>
      <c r="I337" s="240" t="s">
        <v>4614</v>
      </c>
      <c r="J337" s="240"/>
      <c r="K337" s="240"/>
      <c r="L337" s="240"/>
      <c r="M337" s="240" t="s">
        <v>4530</v>
      </c>
      <c r="N337" s="240" t="s">
        <v>4615</v>
      </c>
      <c r="O337" s="240" t="s">
        <v>4616</v>
      </c>
      <c r="P337" s="240" t="s">
        <v>4617</v>
      </c>
      <c r="Q337" s="239" t="s">
        <v>2864</v>
      </c>
      <c r="R337" s="241"/>
      <c r="S337" s="240" t="s">
        <v>4618</v>
      </c>
      <c r="T337" s="242" t="s">
        <v>4619</v>
      </c>
      <c r="U337" s="239" t="s">
        <v>4299</v>
      </c>
      <c r="V337" s="251"/>
    </row>
    <row r="338" spans="1:22" ht="30" customHeight="1">
      <c r="A338" s="239" t="s">
        <v>4610</v>
      </c>
      <c r="B338" s="239" t="s">
        <v>4611</v>
      </c>
      <c r="C338" s="240" t="s">
        <v>4612</v>
      </c>
      <c r="D338" s="239" t="s">
        <v>74</v>
      </c>
      <c r="E338" s="241" t="s">
        <v>2795</v>
      </c>
      <c r="F338" s="239" t="s">
        <v>2924</v>
      </c>
      <c r="G338" s="241"/>
      <c r="H338" s="241">
        <v>40</v>
      </c>
      <c r="I338" s="240" t="s">
        <v>4620</v>
      </c>
      <c r="J338" s="240"/>
      <c r="K338" s="240"/>
      <c r="L338" s="240"/>
      <c r="M338" s="240" t="s">
        <v>4530</v>
      </c>
      <c r="N338" s="240" t="s">
        <v>4621</v>
      </c>
      <c r="O338" s="240" t="s">
        <v>4622</v>
      </c>
      <c r="P338" s="240" t="s">
        <v>4623</v>
      </c>
      <c r="Q338" s="239" t="s">
        <v>2864</v>
      </c>
      <c r="R338" s="241"/>
      <c r="S338" s="240" t="s">
        <v>4624</v>
      </c>
      <c r="T338" s="242" t="s">
        <v>4625</v>
      </c>
      <c r="U338" s="239" t="s">
        <v>4299</v>
      </c>
      <c r="V338" s="251"/>
    </row>
    <row r="339" spans="1:22" ht="30" customHeight="1">
      <c r="A339" s="239" t="s">
        <v>4610</v>
      </c>
      <c r="B339" s="239" t="s">
        <v>4611</v>
      </c>
      <c r="C339" s="240" t="s">
        <v>4612</v>
      </c>
      <c r="D339" s="239" t="s">
        <v>74</v>
      </c>
      <c r="E339" s="241" t="s">
        <v>2795</v>
      </c>
      <c r="F339" s="239" t="s">
        <v>2924</v>
      </c>
      <c r="G339" s="241"/>
      <c r="H339" s="241">
        <v>40</v>
      </c>
      <c r="I339" s="240" t="s">
        <v>4626</v>
      </c>
      <c r="J339" s="240"/>
      <c r="K339" s="240"/>
      <c r="L339" s="240"/>
      <c r="M339" s="240" t="s">
        <v>4530</v>
      </c>
      <c r="N339" s="240" t="s">
        <v>4627</v>
      </c>
      <c r="O339" s="240" t="s">
        <v>4628</v>
      </c>
      <c r="P339" s="240" t="s">
        <v>4629</v>
      </c>
      <c r="Q339" s="239" t="s">
        <v>2864</v>
      </c>
      <c r="R339" s="241"/>
      <c r="S339" s="240" t="s">
        <v>4630</v>
      </c>
      <c r="T339" s="242" t="s">
        <v>4631</v>
      </c>
      <c r="U339" s="239" t="s">
        <v>4299</v>
      </c>
      <c r="V339" s="251"/>
    </row>
    <row r="340" spans="1:22" ht="30" customHeight="1">
      <c r="A340" s="239" t="s">
        <v>4610</v>
      </c>
      <c r="B340" s="239" t="s">
        <v>4611</v>
      </c>
      <c r="C340" s="240" t="s">
        <v>4612</v>
      </c>
      <c r="D340" s="239" t="s">
        <v>74</v>
      </c>
      <c r="E340" s="241" t="s">
        <v>2795</v>
      </c>
      <c r="F340" s="239" t="s">
        <v>2924</v>
      </c>
      <c r="G340" s="241"/>
      <c r="H340" s="241">
        <v>40</v>
      </c>
      <c r="I340" s="240" t="s">
        <v>4632</v>
      </c>
      <c r="J340" s="240"/>
      <c r="K340" s="240"/>
      <c r="L340" s="240"/>
      <c r="M340" s="240" t="s">
        <v>4530</v>
      </c>
      <c r="N340" s="240" t="s">
        <v>4633</v>
      </c>
      <c r="O340" s="240" t="s">
        <v>4634</v>
      </c>
      <c r="P340" s="240" t="s">
        <v>4635</v>
      </c>
      <c r="Q340" s="239" t="s">
        <v>2864</v>
      </c>
      <c r="R340" s="241"/>
      <c r="S340" s="240" t="s">
        <v>4636</v>
      </c>
      <c r="T340" s="242" t="s">
        <v>4637</v>
      </c>
      <c r="U340" s="239" t="s">
        <v>4299</v>
      </c>
      <c r="V340" s="251"/>
    </row>
    <row r="341" spans="1:22" ht="30" customHeight="1">
      <c r="A341" s="239" t="s">
        <v>4638</v>
      </c>
      <c r="B341" s="239" t="s">
        <v>4639</v>
      </c>
      <c r="C341" s="240" t="s">
        <v>4640</v>
      </c>
      <c r="D341" s="239" t="s">
        <v>74</v>
      </c>
      <c r="E341" s="241" t="s">
        <v>2795</v>
      </c>
      <c r="F341" s="239" t="s">
        <v>2924</v>
      </c>
      <c r="G341" s="241"/>
      <c r="H341" s="241">
        <v>40</v>
      </c>
      <c r="I341" s="240" t="s">
        <v>4641</v>
      </c>
      <c r="J341" s="240" t="s">
        <v>4291</v>
      </c>
      <c r="K341" s="240" t="s">
        <v>2953</v>
      </c>
      <c r="L341" s="240" t="s">
        <v>2954</v>
      </c>
      <c r="M341" s="240" t="s">
        <v>2801</v>
      </c>
      <c r="N341" s="240" t="s">
        <v>2801</v>
      </c>
      <c r="O341" s="240" t="s">
        <v>2801</v>
      </c>
      <c r="P341" s="240" t="s">
        <v>2801</v>
      </c>
      <c r="Q341" s="239" t="s">
        <v>2864</v>
      </c>
      <c r="R341" s="241"/>
      <c r="S341" s="240" t="s">
        <v>2801</v>
      </c>
      <c r="T341" s="242" t="s">
        <v>2801</v>
      </c>
      <c r="U341" s="239" t="s">
        <v>2803</v>
      </c>
      <c r="V341" s="251"/>
    </row>
    <row r="342" spans="1:22" ht="30" customHeight="1">
      <c r="A342" s="239" t="s">
        <v>4638</v>
      </c>
      <c r="B342" s="239" t="s">
        <v>4639</v>
      </c>
      <c r="C342" s="240" t="s">
        <v>4640</v>
      </c>
      <c r="D342" s="239" t="s">
        <v>74</v>
      </c>
      <c r="E342" s="241" t="s">
        <v>2795</v>
      </c>
      <c r="F342" s="239" t="s">
        <v>2924</v>
      </c>
      <c r="G342" s="241"/>
      <c r="H342" s="241">
        <v>40</v>
      </c>
      <c r="I342" s="240" t="s">
        <v>4642</v>
      </c>
      <c r="J342" s="240"/>
      <c r="K342" s="240"/>
      <c r="L342" s="240"/>
      <c r="M342" s="240" t="s">
        <v>4530</v>
      </c>
      <c r="N342" s="240" t="s">
        <v>4643</v>
      </c>
      <c r="O342" s="240" t="s">
        <v>4644</v>
      </c>
      <c r="P342" s="240" t="s">
        <v>4645</v>
      </c>
      <c r="Q342" s="239" t="s">
        <v>2864</v>
      </c>
      <c r="R342" s="241"/>
      <c r="S342" s="240" t="s">
        <v>4646</v>
      </c>
      <c r="T342" s="242" t="s">
        <v>4647</v>
      </c>
      <c r="U342" s="239" t="s">
        <v>4299</v>
      </c>
      <c r="V342" s="251"/>
    </row>
    <row r="343" spans="1:22" ht="30" customHeight="1">
      <c r="A343" s="239" t="s">
        <v>4638</v>
      </c>
      <c r="B343" s="239" t="s">
        <v>4639</v>
      </c>
      <c r="C343" s="240" t="s">
        <v>4640</v>
      </c>
      <c r="D343" s="239" t="s">
        <v>74</v>
      </c>
      <c r="E343" s="241" t="s">
        <v>2795</v>
      </c>
      <c r="F343" s="239" t="s">
        <v>2924</v>
      </c>
      <c r="G343" s="241"/>
      <c r="H343" s="241">
        <v>40</v>
      </c>
      <c r="I343" s="240" t="s">
        <v>4648</v>
      </c>
      <c r="J343" s="240"/>
      <c r="K343" s="240"/>
      <c r="L343" s="240"/>
      <c r="M343" s="240" t="s">
        <v>4530</v>
      </c>
      <c r="N343" s="240" t="s">
        <v>4649</v>
      </c>
      <c r="O343" s="240" t="s">
        <v>4650</v>
      </c>
      <c r="P343" s="240" t="s">
        <v>4651</v>
      </c>
      <c r="Q343" s="239" t="s">
        <v>2864</v>
      </c>
      <c r="R343" s="241"/>
      <c r="S343" s="240" t="s">
        <v>4652</v>
      </c>
      <c r="T343" s="242" t="s">
        <v>4653</v>
      </c>
      <c r="U343" s="239" t="s">
        <v>4299</v>
      </c>
      <c r="V343" s="251"/>
    </row>
    <row r="344" spans="1:22" ht="30" customHeight="1">
      <c r="A344" s="239" t="s">
        <v>4638</v>
      </c>
      <c r="B344" s="239" t="s">
        <v>4639</v>
      </c>
      <c r="C344" s="240" t="s">
        <v>4640</v>
      </c>
      <c r="D344" s="239" t="s">
        <v>74</v>
      </c>
      <c r="E344" s="241" t="s">
        <v>2795</v>
      </c>
      <c r="F344" s="239" t="s">
        <v>2924</v>
      </c>
      <c r="G344" s="241"/>
      <c r="H344" s="241">
        <v>40</v>
      </c>
      <c r="I344" s="240" t="s">
        <v>4654</v>
      </c>
      <c r="J344" s="240"/>
      <c r="K344" s="240"/>
      <c r="L344" s="240"/>
      <c r="M344" s="240" t="s">
        <v>4530</v>
      </c>
      <c r="N344" s="240" t="s">
        <v>4655</v>
      </c>
      <c r="O344" s="240" t="s">
        <v>4656</v>
      </c>
      <c r="P344" s="240" t="s">
        <v>4657</v>
      </c>
      <c r="Q344" s="239" t="s">
        <v>2864</v>
      </c>
      <c r="R344" s="241"/>
      <c r="S344" s="240" t="s">
        <v>4658</v>
      </c>
      <c r="T344" s="242" t="s">
        <v>4659</v>
      </c>
      <c r="U344" s="239" t="s">
        <v>4299</v>
      </c>
      <c r="V344" s="251"/>
    </row>
    <row r="345" spans="1:22" ht="30" customHeight="1">
      <c r="A345" s="239" t="s">
        <v>4638</v>
      </c>
      <c r="B345" s="239" t="s">
        <v>4639</v>
      </c>
      <c r="C345" s="240" t="s">
        <v>4640</v>
      </c>
      <c r="D345" s="239" t="s">
        <v>74</v>
      </c>
      <c r="E345" s="241" t="s">
        <v>2795</v>
      </c>
      <c r="F345" s="239" t="s">
        <v>2924</v>
      </c>
      <c r="G345" s="241"/>
      <c r="H345" s="241">
        <v>40</v>
      </c>
      <c r="I345" s="240" t="s">
        <v>4660</v>
      </c>
      <c r="J345" s="240"/>
      <c r="K345" s="240"/>
      <c r="L345" s="240"/>
      <c r="M345" s="240" t="s">
        <v>4530</v>
      </c>
      <c r="N345" s="240" t="s">
        <v>4661</v>
      </c>
      <c r="O345" s="240" t="s">
        <v>4662</v>
      </c>
      <c r="P345" s="240" t="s">
        <v>4663</v>
      </c>
      <c r="Q345" s="239" t="s">
        <v>2864</v>
      </c>
      <c r="R345" s="241"/>
      <c r="S345" s="240" t="s">
        <v>4664</v>
      </c>
      <c r="T345" s="242" t="s">
        <v>4665</v>
      </c>
      <c r="U345" s="239" t="s">
        <v>4299</v>
      </c>
      <c r="V345" s="251"/>
    </row>
    <row r="346" spans="1:22" ht="30" customHeight="1">
      <c r="A346" s="239" t="s">
        <v>4666</v>
      </c>
      <c r="B346" s="239" t="s">
        <v>4667</v>
      </c>
      <c r="C346" s="240" t="s">
        <v>4668</v>
      </c>
      <c r="D346" s="239" t="s">
        <v>74</v>
      </c>
      <c r="E346" s="241" t="s">
        <v>2795</v>
      </c>
      <c r="F346" s="239" t="s">
        <v>2924</v>
      </c>
      <c r="G346" s="241"/>
      <c r="H346" s="241">
        <v>40</v>
      </c>
      <c r="I346" s="240" t="s">
        <v>4669</v>
      </c>
      <c r="J346" s="240" t="s">
        <v>4321</v>
      </c>
      <c r="K346" s="240" t="s">
        <v>4370</v>
      </c>
      <c r="L346" s="240" t="s">
        <v>4371</v>
      </c>
      <c r="M346" s="240" t="s">
        <v>2801</v>
      </c>
      <c r="N346" s="240" t="s">
        <v>2801</v>
      </c>
      <c r="O346" s="240" t="s">
        <v>2801</v>
      </c>
      <c r="P346" s="240" t="s">
        <v>2801</v>
      </c>
      <c r="Q346" s="239" t="s">
        <v>2864</v>
      </c>
      <c r="R346" s="241"/>
      <c r="S346" s="240" t="s">
        <v>2801</v>
      </c>
      <c r="T346" s="242" t="s">
        <v>2801</v>
      </c>
      <c r="U346" s="239" t="s">
        <v>2803</v>
      </c>
      <c r="V346" s="251"/>
    </row>
    <row r="347" spans="1:22" ht="30" customHeight="1">
      <c r="A347" s="239" t="s">
        <v>4666</v>
      </c>
      <c r="B347" s="239" t="s">
        <v>4667</v>
      </c>
      <c r="C347" s="240" t="s">
        <v>4668</v>
      </c>
      <c r="D347" s="239" t="s">
        <v>74</v>
      </c>
      <c r="E347" s="241" t="s">
        <v>2795</v>
      </c>
      <c r="F347" s="239" t="s">
        <v>2924</v>
      </c>
      <c r="G347" s="241"/>
      <c r="H347" s="241">
        <v>40</v>
      </c>
      <c r="I347" s="240" t="s">
        <v>4670</v>
      </c>
      <c r="J347" s="240"/>
      <c r="K347" s="240"/>
      <c r="L347" s="240"/>
      <c r="M347" s="240" t="s">
        <v>4530</v>
      </c>
      <c r="N347" s="240" t="s">
        <v>4671</v>
      </c>
      <c r="O347" s="240" t="s">
        <v>4672</v>
      </c>
      <c r="P347" s="240" t="s">
        <v>4673</v>
      </c>
      <c r="Q347" s="239" t="s">
        <v>2864</v>
      </c>
      <c r="R347" s="241"/>
      <c r="S347" s="240" t="s">
        <v>4674</v>
      </c>
      <c r="T347" s="242" t="s">
        <v>4675</v>
      </c>
      <c r="U347" s="239" t="s">
        <v>2935</v>
      </c>
      <c r="V347" s="251"/>
    </row>
    <row r="348" spans="1:22" ht="30" customHeight="1">
      <c r="A348" s="239" t="s">
        <v>4666</v>
      </c>
      <c r="B348" s="239" t="s">
        <v>4667</v>
      </c>
      <c r="C348" s="240" t="s">
        <v>4668</v>
      </c>
      <c r="D348" s="239" t="s">
        <v>74</v>
      </c>
      <c r="E348" s="241" t="s">
        <v>2795</v>
      </c>
      <c r="F348" s="239" t="s">
        <v>2924</v>
      </c>
      <c r="G348" s="241"/>
      <c r="H348" s="241">
        <v>40</v>
      </c>
      <c r="I348" s="240" t="s">
        <v>4676</v>
      </c>
      <c r="J348" s="240"/>
      <c r="K348" s="240"/>
      <c r="L348" s="240"/>
      <c r="M348" s="240" t="s">
        <v>4530</v>
      </c>
      <c r="N348" s="240" t="s">
        <v>4677</v>
      </c>
      <c r="O348" s="240" t="s">
        <v>4678</v>
      </c>
      <c r="P348" s="240" t="s">
        <v>4679</v>
      </c>
      <c r="Q348" s="239" t="s">
        <v>2864</v>
      </c>
      <c r="R348" s="241"/>
      <c r="S348" s="240" t="s">
        <v>4680</v>
      </c>
      <c r="T348" s="242" t="s">
        <v>4681</v>
      </c>
      <c r="U348" s="239" t="s">
        <v>2935</v>
      </c>
      <c r="V348" s="251"/>
    </row>
    <row r="349" spans="1:22" ht="30" customHeight="1">
      <c r="A349" s="239" t="s">
        <v>4666</v>
      </c>
      <c r="B349" s="239" t="s">
        <v>4667</v>
      </c>
      <c r="C349" s="240" t="s">
        <v>4668</v>
      </c>
      <c r="D349" s="239" t="s">
        <v>74</v>
      </c>
      <c r="E349" s="241" t="s">
        <v>2795</v>
      </c>
      <c r="F349" s="239" t="s">
        <v>2924</v>
      </c>
      <c r="G349" s="241"/>
      <c r="H349" s="241">
        <v>40</v>
      </c>
      <c r="I349" s="240" t="s">
        <v>4682</v>
      </c>
      <c r="J349" s="240"/>
      <c r="K349" s="240"/>
      <c r="L349" s="240"/>
      <c r="M349" s="240" t="s">
        <v>4530</v>
      </c>
      <c r="N349" s="240" t="s">
        <v>4683</v>
      </c>
      <c r="O349" s="240" t="s">
        <v>4684</v>
      </c>
      <c r="P349" s="240" t="s">
        <v>4685</v>
      </c>
      <c r="Q349" s="239" t="s">
        <v>2864</v>
      </c>
      <c r="R349" s="241"/>
      <c r="S349" s="240" t="s">
        <v>4686</v>
      </c>
      <c r="T349" s="242" t="s">
        <v>4687</v>
      </c>
      <c r="U349" s="239" t="s">
        <v>2935</v>
      </c>
      <c r="V349" s="251"/>
    </row>
    <row r="350" spans="1:22" ht="30" customHeight="1">
      <c r="A350" s="239" t="s">
        <v>4666</v>
      </c>
      <c r="B350" s="239" t="s">
        <v>4667</v>
      </c>
      <c r="C350" s="240" t="s">
        <v>4668</v>
      </c>
      <c r="D350" s="239" t="s">
        <v>74</v>
      </c>
      <c r="E350" s="241" t="s">
        <v>2795</v>
      </c>
      <c r="F350" s="239" t="s">
        <v>2924</v>
      </c>
      <c r="G350" s="241"/>
      <c r="H350" s="241">
        <v>40</v>
      </c>
      <c r="I350" s="240" t="s">
        <v>4688</v>
      </c>
      <c r="J350" s="240"/>
      <c r="K350" s="240"/>
      <c r="L350" s="240"/>
      <c r="M350" s="240" t="s">
        <v>4530</v>
      </c>
      <c r="N350" s="240" t="s">
        <v>4689</v>
      </c>
      <c r="O350" s="240" t="s">
        <v>4690</v>
      </c>
      <c r="P350" s="240" t="s">
        <v>4691</v>
      </c>
      <c r="Q350" s="239" t="s">
        <v>2864</v>
      </c>
      <c r="R350" s="241"/>
      <c r="S350" s="240" t="s">
        <v>4692</v>
      </c>
      <c r="T350" s="242" t="s">
        <v>4693</v>
      </c>
      <c r="U350" s="239" t="s">
        <v>2935</v>
      </c>
      <c r="V350" s="251"/>
    </row>
    <row r="351" spans="1:22" ht="30" customHeight="1">
      <c r="A351" s="239" t="s">
        <v>4666</v>
      </c>
      <c r="B351" s="239" t="s">
        <v>4667</v>
      </c>
      <c r="C351" s="240" t="s">
        <v>4668</v>
      </c>
      <c r="D351" s="239" t="s">
        <v>74</v>
      </c>
      <c r="E351" s="241" t="s">
        <v>2795</v>
      </c>
      <c r="F351" s="239" t="s">
        <v>2924</v>
      </c>
      <c r="G351" s="241"/>
      <c r="H351" s="241">
        <v>40</v>
      </c>
      <c r="I351" s="240" t="s">
        <v>4694</v>
      </c>
      <c r="J351" s="240"/>
      <c r="K351" s="240"/>
      <c r="L351" s="240"/>
      <c r="M351" s="240" t="s">
        <v>4530</v>
      </c>
      <c r="N351" s="240" t="s">
        <v>4695</v>
      </c>
      <c r="O351" s="240" t="s">
        <v>4696</v>
      </c>
      <c r="P351" s="240" t="s">
        <v>4697</v>
      </c>
      <c r="Q351" s="239" t="s">
        <v>2864</v>
      </c>
      <c r="R351" s="241"/>
      <c r="S351" s="240" t="s">
        <v>4698</v>
      </c>
      <c r="T351" s="242" t="s">
        <v>4699</v>
      </c>
      <c r="U351" s="239" t="s">
        <v>2935</v>
      </c>
      <c r="V351" s="251"/>
    </row>
    <row r="352" spans="1:22" ht="30" customHeight="1">
      <c r="A352" s="239" t="s">
        <v>4666</v>
      </c>
      <c r="B352" s="239" t="s">
        <v>4667</v>
      </c>
      <c r="C352" s="240" t="s">
        <v>4668</v>
      </c>
      <c r="D352" s="239" t="s">
        <v>74</v>
      </c>
      <c r="E352" s="241" t="s">
        <v>2795</v>
      </c>
      <c r="F352" s="239" t="s">
        <v>2924</v>
      </c>
      <c r="G352" s="241"/>
      <c r="H352" s="241">
        <v>40</v>
      </c>
      <c r="I352" s="240" t="s">
        <v>4700</v>
      </c>
      <c r="J352" s="240"/>
      <c r="K352" s="240"/>
      <c r="L352" s="240"/>
      <c r="M352" s="240" t="s">
        <v>4530</v>
      </c>
      <c r="N352" s="240" t="s">
        <v>4701</v>
      </c>
      <c r="O352" s="240" t="s">
        <v>4702</v>
      </c>
      <c r="P352" s="240" t="s">
        <v>4703</v>
      </c>
      <c r="Q352" s="239" t="s">
        <v>2864</v>
      </c>
      <c r="R352" s="241"/>
      <c r="S352" s="240" t="s">
        <v>4704</v>
      </c>
      <c r="T352" s="242" t="s">
        <v>4705</v>
      </c>
      <c r="U352" s="239" t="s">
        <v>2935</v>
      </c>
      <c r="V352" s="251"/>
    </row>
    <row r="353" spans="1:22" ht="30" customHeight="1">
      <c r="A353" s="239" t="s">
        <v>4666</v>
      </c>
      <c r="B353" s="239" t="s">
        <v>4667</v>
      </c>
      <c r="C353" s="240" t="s">
        <v>4668</v>
      </c>
      <c r="D353" s="239" t="s">
        <v>74</v>
      </c>
      <c r="E353" s="241" t="s">
        <v>2795</v>
      </c>
      <c r="F353" s="239" t="s">
        <v>2924</v>
      </c>
      <c r="G353" s="241"/>
      <c r="H353" s="241">
        <v>40</v>
      </c>
      <c r="I353" s="240" t="s">
        <v>4706</v>
      </c>
      <c r="J353" s="240"/>
      <c r="K353" s="240"/>
      <c r="L353" s="240"/>
      <c r="M353" s="240" t="s">
        <v>4530</v>
      </c>
      <c r="N353" s="240" t="s">
        <v>4707</v>
      </c>
      <c r="O353" s="240" t="s">
        <v>4708</v>
      </c>
      <c r="P353" s="240" t="s">
        <v>4709</v>
      </c>
      <c r="Q353" s="239" t="s">
        <v>2864</v>
      </c>
      <c r="R353" s="241"/>
      <c r="S353" s="240" t="s">
        <v>4710</v>
      </c>
      <c r="T353" s="242" t="s">
        <v>4711</v>
      </c>
      <c r="U353" s="239" t="s">
        <v>2935</v>
      </c>
      <c r="V353" s="251"/>
    </row>
    <row r="354" spans="1:22" ht="30" customHeight="1">
      <c r="A354" s="239" t="s">
        <v>4666</v>
      </c>
      <c r="B354" s="239" t="s">
        <v>4667</v>
      </c>
      <c r="C354" s="240" t="s">
        <v>4668</v>
      </c>
      <c r="D354" s="239" t="s">
        <v>74</v>
      </c>
      <c r="E354" s="241" t="s">
        <v>2795</v>
      </c>
      <c r="F354" s="239" t="s">
        <v>2924</v>
      </c>
      <c r="G354" s="241"/>
      <c r="H354" s="241">
        <v>40</v>
      </c>
      <c r="I354" s="240" t="s">
        <v>4712</v>
      </c>
      <c r="J354" s="240"/>
      <c r="K354" s="240"/>
      <c r="L354" s="240"/>
      <c r="M354" s="240" t="s">
        <v>4530</v>
      </c>
      <c r="N354" s="240" t="s">
        <v>4713</v>
      </c>
      <c r="O354" s="240" t="s">
        <v>4714</v>
      </c>
      <c r="P354" s="240" t="s">
        <v>4715</v>
      </c>
      <c r="Q354" s="239" t="s">
        <v>2864</v>
      </c>
      <c r="R354" s="241"/>
      <c r="S354" s="240" t="s">
        <v>4716</v>
      </c>
      <c r="T354" s="242" t="s">
        <v>4717</v>
      </c>
      <c r="U354" s="239" t="s">
        <v>2935</v>
      </c>
      <c r="V354" s="251"/>
    </row>
    <row r="355" spans="1:22" ht="30" customHeight="1">
      <c r="A355" s="239" t="s">
        <v>4666</v>
      </c>
      <c r="B355" s="239" t="s">
        <v>4667</v>
      </c>
      <c r="C355" s="240" t="s">
        <v>4668</v>
      </c>
      <c r="D355" s="239" t="s">
        <v>74</v>
      </c>
      <c r="E355" s="241" t="s">
        <v>2795</v>
      </c>
      <c r="F355" s="239" t="s">
        <v>2924</v>
      </c>
      <c r="G355" s="241"/>
      <c r="H355" s="241">
        <v>40</v>
      </c>
      <c r="I355" s="240" t="s">
        <v>4718</v>
      </c>
      <c r="J355" s="240"/>
      <c r="K355" s="240"/>
      <c r="L355" s="240"/>
      <c r="M355" s="240" t="s">
        <v>4530</v>
      </c>
      <c r="N355" s="240" t="s">
        <v>4719</v>
      </c>
      <c r="O355" s="240" t="s">
        <v>4720</v>
      </c>
      <c r="P355" s="240" t="s">
        <v>4721</v>
      </c>
      <c r="Q355" s="239" t="s">
        <v>2864</v>
      </c>
      <c r="R355" s="241"/>
      <c r="S355" s="240" t="s">
        <v>4722</v>
      </c>
      <c r="T355" s="242" t="s">
        <v>4723</v>
      </c>
      <c r="U355" s="239" t="s">
        <v>2935</v>
      </c>
      <c r="V355" s="251"/>
    </row>
    <row r="356" spans="1:22" ht="30" customHeight="1">
      <c r="A356" s="239" t="s">
        <v>4666</v>
      </c>
      <c r="B356" s="239" t="s">
        <v>4667</v>
      </c>
      <c r="C356" s="240" t="s">
        <v>4668</v>
      </c>
      <c r="D356" s="239" t="s">
        <v>74</v>
      </c>
      <c r="E356" s="241" t="s">
        <v>2795</v>
      </c>
      <c r="F356" s="239" t="s">
        <v>2924</v>
      </c>
      <c r="G356" s="241"/>
      <c r="H356" s="241">
        <v>40</v>
      </c>
      <c r="I356" s="240" t="s">
        <v>4724</v>
      </c>
      <c r="J356" s="240"/>
      <c r="K356" s="240"/>
      <c r="L356" s="240"/>
      <c r="M356" s="240" t="s">
        <v>4530</v>
      </c>
      <c r="N356" s="240" t="s">
        <v>4725</v>
      </c>
      <c r="O356" s="240" t="s">
        <v>4726</v>
      </c>
      <c r="P356" s="240" t="s">
        <v>4727</v>
      </c>
      <c r="Q356" s="239" t="s">
        <v>2864</v>
      </c>
      <c r="R356" s="241"/>
      <c r="S356" s="240" t="s">
        <v>4728</v>
      </c>
      <c r="T356" s="242" t="s">
        <v>4729</v>
      </c>
      <c r="U356" s="239" t="s">
        <v>2935</v>
      </c>
      <c r="V356" s="251"/>
    </row>
    <row r="357" spans="1:22" ht="30" customHeight="1">
      <c r="A357" s="239" t="s">
        <v>4666</v>
      </c>
      <c r="B357" s="239" t="s">
        <v>4667</v>
      </c>
      <c r="C357" s="240" t="s">
        <v>4668</v>
      </c>
      <c r="D357" s="239" t="s">
        <v>74</v>
      </c>
      <c r="E357" s="241" t="s">
        <v>2795</v>
      </c>
      <c r="F357" s="239" t="s">
        <v>2924</v>
      </c>
      <c r="G357" s="241"/>
      <c r="H357" s="241">
        <v>40</v>
      </c>
      <c r="I357" s="240" t="s">
        <v>4730</v>
      </c>
      <c r="J357" s="240"/>
      <c r="K357" s="240"/>
      <c r="L357" s="240"/>
      <c r="M357" s="240" t="s">
        <v>4530</v>
      </c>
      <c r="N357" s="240" t="s">
        <v>4731</v>
      </c>
      <c r="O357" s="240" t="s">
        <v>4732</v>
      </c>
      <c r="P357" s="240" t="s">
        <v>4733</v>
      </c>
      <c r="Q357" s="239" t="s">
        <v>2864</v>
      </c>
      <c r="R357" s="241"/>
      <c r="S357" s="240" t="s">
        <v>4734</v>
      </c>
      <c r="T357" s="242" t="s">
        <v>4735</v>
      </c>
      <c r="U357" s="239" t="s">
        <v>2935</v>
      </c>
      <c r="V357" s="251"/>
    </row>
    <row r="358" spans="1:22" ht="30" customHeight="1">
      <c r="A358" s="239" t="s">
        <v>4666</v>
      </c>
      <c r="B358" s="239" t="s">
        <v>4667</v>
      </c>
      <c r="C358" s="240" t="s">
        <v>4668</v>
      </c>
      <c r="D358" s="239" t="s">
        <v>74</v>
      </c>
      <c r="E358" s="241" t="s">
        <v>2795</v>
      </c>
      <c r="F358" s="239" t="s">
        <v>2924</v>
      </c>
      <c r="G358" s="241"/>
      <c r="H358" s="241">
        <v>40</v>
      </c>
      <c r="I358" s="240" t="s">
        <v>4736</v>
      </c>
      <c r="J358" s="240"/>
      <c r="K358" s="240"/>
      <c r="L358" s="240"/>
      <c r="M358" s="240" t="s">
        <v>4530</v>
      </c>
      <c r="N358" s="240" t="s">
        <v>4737</v>
      </c>
      <c r="O358" s="240" t="s">
        <v>4738</v>
      </c>
      <c r="P358" s="240" t="s">
        <v>4739</v>
      </c>
      <c r="Q358" s="239" t="s">
        <v>2864</v>
      </c>
      <c r="R358" s="241"/>
      <c r="S358" s="240" t="s">
        <v>4740</v>
      </c>
      <c r="T358" s="242" t="s">
        <v>4741</v>
      </c>
      <c r="U358" s="239" t="s">
        <v>2935</v>
      </c>
      <c r="V358" s="251"/>
    </row>
    <row r="359" spans="1:22" ht="30" customHeight="1">
      <c r="A359" s="239" t="s">
        <v>4666</v>
      </c>
      <c r="B359" s="239" t="s">
        <v>4667</v>
      </c>
      <c r="C359" s="240" t="s">
        <v>4668</v>
      </c>
      <c r="D359" s="239" t="s">
        <v>74</v>
      </c>
      <c r="E359" s="241" t="s">
        <v>2795</v>
      </c>
      <c r="F359" s="239" t="s">
        <v>2924</v>
      </c>
      <c r="G359" s="241"/>
      <c r="H359" s="241">
        <v>40</v>
      </c>
      <c r="I359" s="240" t="s">
        <v>4742</v>
      </c>
      <c r="J359" s="240"/>
      <c r="K359" s="240"/>
      <c r="L359" s="240"/>
      <c r="M359" s="240" t="s">
        <v>4743</v>
      </c>
      <c r="N359" s="240" t="s">
        <v>4744</v>
      </c>
      <c r="O359" s="240" t="s">
        <v>4745</v>
      </c>
      <c r="P359" s="240" t="s">
        <v>4746</v>
      </c>
      <c r="Q359" s="239" t="s">
        <v>2864</v>
      </c>
      <c r="R359" s="241"/>
      <c r="S359" s="240" t="s">
        <v>4747</v>
      </c>
      <c r="T359" s="242" t="s">
        <v>4748</v>
      </c>
      <c r="U359" s="239" t="s">
        <v>2823</v>
      </c>
      <c r="V359" s="251"/>
    </row>
    <row r="360" spans="1:22" ht="30" customHeight="1">
      <c r="A360" s="239" t="s">
        <v>4666</v>
      </c>
      <c r="B360" s="239" t="s">
        <v>4667</v>
      </c>
      <c r="C360" s="240" t="s">
        <v>4668</v>
      </c>
      <c r="D360" s="239" t="s">
        <v>74</v>
      </c>
      <c r="E360" s="241" t="s">
        <v>2795</v>
      </c>
      <c r="F360" s="239" t="s">
        <v>2924</v>
      </c>
      <c r="G360" s="241"/>
      <c r="H360" s="241">
        <v>40</v>
      </c>
      <c r="I360" s="240" t="s">
        <v>4749</v>
      </c>
      <c r="J360" s="240"/>
      <c r="K360" s="240"/>
      <c r="L360" s="240"/>
      <c r="M360" s="240" t="s">
        <v>4530</v>
      </c>
      <c r="N360" s="240" t="s">
        <v>4750</v>
      </c>
      <c r="O360" s="240" t="s">
        <v>4751</v>
      </c>
      <c r="P360" s="240" t="s">
        <v>4752</v>
      </c>
      <c r="Q360" s="239" t="s">
        <v>2864</v>
      </c>
      <c r="R360" s="241"/>
      <c r="S360" s="240" t="s">
        <v>4753</v>
      </c>
      <c r="T360" s="242" t="s">
        <v>4754</v>
      </c>
      <c r="U360" s="239" t="s">
        <v>3375</v>
      </c>
      <c r="V360" s="251"/>
    </row>
    <row r="361" spans="1:22" ht="30" customHeight="1">
      <c r="A361" s="239" t="s">
        <v>4666</v>
      </c>
      <c r="B361" s="239" t="s">
        <v>4667</v>
      </c>
      <c r="C361" s="240" t="s">
        <v>4668</v>
      </c>
      <c r="D361" s="239" t="s">
        <v>74</v>
      </c>
      <c r="E361" s="241" t="s">
        <v>2795</v>
      </c>
      <c r="F361" s="239" t="s">
        <v>2924</v>
      </c>
      <c r="G361" s="241"/>
      <c r="H361" s="241">
        <v>40</v>
      </c>
      <c r="I361" s="240" t="s">
        <v>4755</v>
      </c>
      <c r="J361" s="240"/>
      <c r="K361" s="240"/>
      <c r="L361" s="240"/>
      <c r="M361" s="240" t="s">
        <v>4530</v>
      </c>
      <c r="N361" s="240" t="s">
        <v>4756</v>
      </c>
      <c r="O361" s="240" t="s">
        <v>4757</v>
      </c>
      <c r="P361" s="240" t="s">
        <v>4758</v>
      </c>
      <c r="Q361" s="239" t="s">
        <v>2864</v>
      </c>
      <c r="R361" s="241"/>
      <c r="S361" s="240" t="s">
        <v>4759</v>
      </c>
      <c r="T361" s="242" t="s">
        <v>4760</v>
      </c>
      <c r="U361" s="239" t="s">
        <v>2809</v>
      </c>
      <c r="V361" s="251"/>
    </row>
    <row r="362" spans="1:22" ht="30" customHeight="1">
      <c r="A362" s="239" t="s">
        <v>4666</v>
      </c>
      <c r="B362" s="239" t="s">
        <v>4667</v>
      </c>
      <c r="C362" s="240" t="s">
        <v>4668</v>
      </c>
      <c r="D362" s="239" t="s">
        <v>74</v>
      </c>
      <c r="E362" s="241" t="s">
        <v>2795</v>
      </c>
      <c r="F362" s="239" t="s">
        <v>2924</v>
      </c>
      <c r="G362" s="241"/>
      <c r="H362" s="241">
        <v>40</v>
      </c>
      <c r="I362" s="240" t="s">
        <v>4761</v>
      </c>
      <c r="J362" s="240"/>
      <c r="K362" s="240"/>
      <c r="L362" s="240"/>
      <c r="M362" s="240" t="s">
        <v>4530</v>
      </c>
      <c r="N362" s="240" t="s">
        <v>4762</v>
      </c>
      <c r="O362" s="240" t="s">
        <v>4763</v>
      </c>
      <c r="P362" s="240" t="s">
        <v>4764</v>
      </c>
      <c r="Q362" s="239" t="s">
        <v>2864</v>
      </c>
      <c r="R362" s="241"/>
      <c r="S362" s="240" t="s">
        <v>4765</v>
      </c>
      <c r="T362" s="242" t="s">
        <v>4766</v>
      </c>
      <c r="U362" s="239" t="s">
        <v>2823</v>
      </c>
      <c r="V362" s="251"/>
    </row>
    <row r="363" spans="1:22" ht="30" customHeight="1">
      <c r="A363" s="239" t="s">
        <v>4666</v>
      </c>
      <c r="B363" s="239" t="s">
        <v>4667</v>
      </c>
      <c r="C363" s="240" t="s">
        <v>4668</v>
      </c>
      <c r="D363" s="239" t="s">
        <v>74</v>
      </c>
      <c r="E363" s="241"/>
      <c r="F363" s="239"/>
      <c r="G363" s="241"/>
      <c r="H363" s="241">
        <v>40</v>
      </c>
      <c r="I363" s="240" t="s">
        <v>4767</v>
      </c>
      <c r="J363" s="240"/>
      <c r="K363" s="240"/>
      <c r="L363" s="240"/>
      <c r="M363" s="240" t="s">
        <v>4768</v>
      </c>
      <c r="N363" s="240" t="s">
        <v>4769</v>
      </c>
      <c r="O363" s="240" t="s">
        <v>4770</v>
      </c>
      <c r="P363" s="240" t="s">
        <v>4771</v>
      </c>
      <c r="Q363" s="239" t="s">
        <v>2864</v>
      </c>
      <c r="R363" s="241"/>
      <c r="S363" s="240" t="s">
        <v>4772</v>
      </c>
      <c r="T363" s="242" t="s">
        <v>4773</v>
      </c>
      <c r="U363" s="239" t="s">
        <v>2823</v>
      </c>
      <c r="V363" s="251"/>
    </row>
    <row r="364" spans="1:22" ht="30" customHeight="1">
      <c r="A364" s="239" t="s">
        <v>4666</v>
      </c>
      <c r="B364" s="239" t="s">
        <v>4667</v>
      </c>
      <c r="C364" s="240" t="s">
        <v>4668</v>
      </c>
      <c r="D364" s="239" t="s">
        <v>74</v>
      </c>
      <c r="E364" s="241"/>
      <c r="F364" s="239"/>
      <c r="G364" s="241"/>
      <c r="H364" s="241">
        <v>40</v>
      </c>
      <c r="I364" s="240" t="s">
        <v>4774</v>
      </c>
      <c r="J364" s="240"/>
      <c r="K364" s="240"/>
      <c r="L364" s="240"/>
      <c r="M364" s="240" t="s">
        <v>4768</v>
      </c>
      <c r="N364" s="240" t="s">
        <v>4775</v>
      </c>
      <c r="O364" s="240" t="s">
        <v>4776</v>
      </c>
      <c r="P364" s="240" t="s">
        <v>4777</v>
      </c>
      <c r="Q364" s="239" t="s">
        <v>2864</v>
      </c>
      <c r="R364" s="241"/>
      <c r="S364" s="240" t="s">
        <v>4778</v>
      </c>
      <c r="T364" s="242" t="s">
        <v>4779</v>
      </c>
      <c r="U364" s="239" t="s">
        <v>2823</v>
      </c>
      <c r="V364" s="251"/>
    </row>
    <row r="365" spans="1:22" ht="30" customHeight="1">
      <c r="A365" s="239" t="s">
        <v>4666</v>
      </c>
      <c r="B365" s="239" t="s">
        <v>4667</v>
      </c>
      <c r="C365" s="240" t="s">
        <v>4668</v>
      </c>
      <c r="D365" s="239" t="s">
        <v>74</v>
      </c>
      <c r="E365" s="241" t="s">
        <v>2795</v>
      </c>
      <c r="F365" s="239" t="s">
        <v>2924</v>
      </c>
      <c r="G365" s="241"/>
      <c r="H365" s="241">
        <v>40</v>
      </c>
      <c r="I365" s="240" t="s">
        <v>4780</v>
      </c>
      <c r="J365" s="240"/>
      <c r="K365" s="240"/>
      <c r="L365" s="240"/>
      <c r="M365" s="240" t="s">
        <v>4530</v>
      </c>
      <c r="N365" s="240" t="s">
        <v>4781</v>
      </c>
      <c r="O365" s="240" t="s">
        <v>4782</v>
      </c>
      <c r="P365" s="240" t="s">
        <v>4783</v>
      </c>
      <c r="Q365" s="239" t="s">
        <v>2864</v>
      </c>
      <c r="R365" s="241"/>
      <c r="S365" s="240" t="s">
        <v>4784</v>
      </c>
      <c r="T365" s="242" t="s">
        <v>4785</v>
      </c>
      <c r="U365" s="239" t="s">
        <v>2823</v>
      </c>
      <c r="V365" s="251"/>
    </row>
    <row r="366" spans="1:22" ht="30" customHeight="1">
      <c r="A366" s="239" t="s">
        <v>4786</v>
      </c>
      <c r="B366" s="239" t="s">
        <v>4787</v>
      </c>
      <c r="C366" s="240" t="s">
        <v>4788</v>
      </c>
      <c r="D366" s="239" t="s">
        <v>74</v>
      </c>
      <c r="E366" s="241"/>
      <c r="F366" s="239"/>
      <c r="G366" s="241"/>
      <c r="H366" s="241">
        <v>40</v>
      </c>
      <c r="I366" s="240" t="s">
        <v>4789</v>
      </c>
      <c r="J366" s="240" t="s">
        <v>2798</v>
      </c>
      <c r="K366" s="240" t="s">
        <v>2953</v>
      </c>
      <c r="L366" s="240" t="s">
        <v>2954</v>
      </c>
      <c r="M366" s="240" t="s">
        <v>2801</v>
      </c>
      <c r="N366" s="240" t="s">
        <v>2801</v>
      </c>
      <c r="O366" s="240" t="s">
        <v>2801</v>
      </c>
      <c r="P366" s="240" t="s">
        <v>2801</v>
      </c>
      <c r="Q366" s="239" t="s">
        <v>2801</v>
      </c>
      <c r="R366" s="241"/>
      <c r="S366" s="240" t="s">
        <v>2801</v>
      </c>
      <c r="T366" s="242" t="s">
        <v>2801</v>
      </c>
      <c r="U366" s="239" t="s">
        <v>2823</v>
      </c>
      <c r="V366" s="251"/>
    </row>
    <row r="367" spans="1:22" ht="30" customHeight="1">
      <c r="A367" s="239" t="s">
        <v>4786</v>
      </c>
      <c r="B367" s="239" t="s">
        <v>4787</v>
      </c>
      <c r="C367" s="240" t="s">
        <v>4788</v>
      </c>
      <c r="D367" s="239" t="s">
        <v>74</v>
      </c>
      <c r="E367" s="241"/>
      <c r="F367" s="239"/>
      <c r="G367" s="241"/>
      <c r="H367" s="241">
        <v>40</v>
      </c>
      <c r="I367" s="240" t="s">
        <v>4790</v>
      </c>
      <c r="J367" s="240"/>
      <c r="K367" s="240"/>
      <c r="L367" s="240"/>
      <c r="M367" s="240" t="s">
        <v>4530</v>
      </c>
      <c r="N367" s="240" t="s">
        <v>4791</v>
      </c>
      <c r="O367" s="240" t="s">
        <v>4792</v>
      </c>
      <c r="P367" s="240" t="s">
        <v>4793</v>
      </c>
      <c r="Q367" s="239" t="s">
        <v>2864</v>
      </c>
      <c r="R367" s="241"/>
      <c r="S367" s="240" t="s">
        <v>4794</v>
      </c>
      <c r="T367" s="242" t="s">
        <v>4795</v>
      </c>
      <c r="U367" s="239" t="s">
        <v>2823</v>
      </c>
      <c r="V367" s="251"/>
    </row>
    <row r="368" spans="1:22" ht="30" customHeight="1">
      <c r="A368" s="239" t="s">
        <v>4786</v>
      </c>
      <c r="B368" s="239" t="s">
        <v>4787</v>
      </c>
      <c r="C368" s="240" t="s">
        <v>4788</v>
      </c>
      <c r="D368" s="239" t="s">
        <v>74</v>
      </c>
      <c r="E368" s="241"/>
      <c r="F368" s="239"/>
      <c r="G368" s="241"/>
      <c r="H368" s="241">
        <v>40</v>
      </c>
      <c r="I368" s="240" t="s">
        <v>4796</v>
      </c>
      <c r="J368" s="240"/>
      <c r="K368" s="240"/>
      <c r="L368" s="240"/>
      <c r="M368" s="240" t="s">
        <v>4797</v>
      </c>
      <c r="N368" s="240" t="s">
        <v>4798</v>
      </c>
      <c r="O368" s="240" t="s">
        <v>1198</v>
      </c>
      <c r="P368" s="240" t="s">
        <v>4799</v>
      </c>
      <c r="Q368" s="239" t="s">
        <v>2864</v>
      </c>
      <c r="R368" s="241"/>
      <c r="S368" s="240" t="s">
        <v>4800</v>
      </c>
      <c r="T368" s="242" t="s">
        <v>1198</v>
      </c>
      <c r="U368" s="239" t="s">
        <v>2823</v>
      </c>
      <c r="V368" s="251"/>
    </row>
    <row r="369" spans="1:22" ht="30" customHeight="1">
      <c r="A369" s="239" t="s">
        <v>4801</v>
      </c>
      <c r="B369" s="239" t="s">
        <v>4802</v>
      </c>
      <c r="C369" s="240" t="s">
        <v>4803</v>
      </c>
      <c r="D369" s="239" t="s">
        <v>74</v>
      </c>
      <c r="E369" s="241" t="s">
        <v>2795</v>
      </c>
      <c r="F369" s="239" t="s">
        <v>2924</v>
      </c>
      <c r="G369" s="241"/>
      <c r="H369" s="241">
        <v>40</v>
      </c>
      <c r="I369" s="240" t="s">
        <v>4804</v>
      </c>
      <c r="J369" s="240" t="s">
        <v>4321</v>
      </c>
      <c r="K369" s="240" t="s">
        <v>4805</v>
      </c>
      <c r="L369" s="240" t="s">
        <v>4806</v>
      </c>
      <c r="M369" s="240" t="s">
        <v>4807</v>
      </c>
      <c r="N369" s="240" t="s">
        <v>4808</v>
      </c>
      <c r="O369" s="240" t="s">
        <v>1198</v>
      </c>
      <c r="P369" s="240" t="s">
        <v>4809</v>
      </c>
      <c r="Q369" s="239" t="s">
        <v>2864</v>
      </c>
      <c r="R369" s="241"/>
      <c r="S369" s="240" t="s">
        <v>4810</v>
      </c>
      <c r="T369" s="242" t="s">
        <v>1198</v>
      </c>
      <c r="U369" s="239" t="s">
        <v>2935</v>
      </c>
      <c r="V369" s="251"/>
    </row>
    <row r="370" spans="1:22" ht="30" customHeight="1">
      <c r="A370" s="239" t="s">
        <v>4811</v>
      </c>
      <c r="B370" s="239" t="s">
        <v>4812</v>
      </c>
      <c r="C370" s="240" t="s">
        <v>4813</v>
      </c>
      <c r="D370" s="239" t="s">
        <v>74</v>
      </c>
      <c r="E370" s="241" t="s">
        <v>2795</v>
      </c>
      <c r="F370" s="239" t="s">
        <v>2924</v>
      </c>
      <c r="G370" s="241"/>
      <c r="H370" s="241">
        <v>40</v>
      </c>
      <c r="I370" s="240" t="s">
        <v>4814</v>
      </c>
      <c r="J370" s="240" t="s">
        <v>4321</v>
      </c>
      <c r="K370" s="240" t="s">
        <v>4209</v>
      </c>
      <c r="L370" s="240" t="s">
        <v>4815</v>
      </c>
      <c r="M370" s="240" t="s">
        <v>2801</v>
      </c>
      <c r="N370" s="240" t="s">
        <v>2801</v>
      </c>
      <c r="O370" s="240" t="s">
        <v>2801</v>
      </c>
      <c r="P370" s="240" t="s">
        <v>2801</v>
      </c>
      <c r="Q370" s="239" t="s">
        <v>2802</v>
      </c>
      <c r="R370" s="241"/>
      <c r="S370" s="240" t="s">
        <v>2801</v>
      </c>
      <c r="T370" s="242" t="s">
        <v>2801</v>
      </c>
      <c r="U370" s="239" t="s">
        <v>2803</v>
      </c>
      <c r="V370" s="251"/>
    </row>
    <row r="371" spans="1:22" ht="30" customHeight="1">
      <c r="A371" s="239" t="s">
        <v>4811</v>
      </c>
      <c r="B371" s="239" t="s">
        <v>4812</v>
      </c>
      <c r="C371" s="240" t="s">
        <v>4813</v>
      </c>
      <c r="D371" s="239" t="s">
        <v>74</v>
      </c>
      <c r="E371" s="241" t="s">
        <v>2795</v>
      </c>
      <c r="F371" s="239" t="s">
        <v>2924</v>
      </c>
      <c r="G371" s="241"/>
      <c r="H371" s="241">
        <v>40</v>
      </c>
      <c r="I371" s="240" t="s">
        <v>4816</v>
      </c>
      <c r="J371" s="240"/>
      <c r="K371" s="240"/>
      <c r="L371" s="240"/>
      <c r="M371" s="240" t="s">
        <v>4817</v>
      </c>
      <c r="N371" s="240" t="s">
        <v>4818</v>
      </c>
      <c r="O371" s="240" t="s">
        <v>4819</v>
      </c>
      <c r="P371" s="240" t="s">
        <v>4820</v>
      </c>
      <c r="Q371" s="239" t="s">
        <v>2802</v>
      </c>
      <c r="R371" s="241"/>
      <c r="S371" s="240" t="s">
        <v>4821</v>
      </c>
      <c r="T371" s="242" t="s">
        <v>4822</v>
      </c>
      <c r="U371" s="239" t="s">
        <v>2935</v>
      </c>
      <c r="V371" s="251"/>
    </row>
    <row r="372" spans="1:22" ht="30" customHeight="1">
      <c r="A372" s="239" t="s">
        <v>4811</v>
      </c>
      <c r="B372" s="239" t="s">
        <v>4812</v>
      </c>
      <c r="C372" s="240" t="s">
        <v>4813</v>
      </c>
      <c r="D372" s="239" t="s">
        <v>74</v>
      </c>
      <c r="E372" s="241" t="s">
        <v>2795</v>
      </c>
      <c r="F372" s="239" t="s">
        <v>2924</v>
      </c>
      <c r="G372" s="241"/>
      <c r="H372" s="241">
        <v>40</v>
      </c>
      <c r="I372" s="240" t="s">
        <v>4823</v>
      </c>
      <c r="J372" s="240"/>
      <c r="K372" s="240"/>
      <c r="L372" s="240"/>
      <c r="M372" s="240" t="s">
        <v>4824</v>
      </c>
      <c r="N372" s="240" t="s">
        <v>4825</v>
      </c>
      <c r="O372" s="240" t="s">
        <v>4826</v>
      </c>
      <c r="P372" s="240" t="s">
        <v>4827</v>
      </c>
      <c r="Q372" s="239" t="s">
        <v>2802</v>
      </c>
      <c r="R372" s="241"/>
      <c r="S372" s="240" t="s">
        <v>4828</v>
      </c>
      <c r="T372" s="242" t="s">
        <v>4829</v>
      </c>
      <c r="U372" s="239" t="s">
        <v>2935</v>
      </c>
      <c r="V372" s="251"/>
    </row>
    <row r="373" spans="1:22" ht="30" customHeight="1">
      <c r="A373" s="239" t="s">
        <v>4811</v>
      </c>
      <c r="B373" s="239" t="s">
        <v>4812</v>
      </c>
      <c r="C373" s="240" t="s">
        <v>4813</v>
      </c>
      <c r="D373" s="239" t="s">
        <v>74</v>
      </c>
      <c r="E373" s="241" t="s">
        <v>2795</v>
      </c>
      <c r="F373" s="239" t="s">
        <v>2924</v>
      </c>
      <c r="G373" s="241"/>
      <c r="H373" s="241">
        <v>40</v>
      </c>
      <c r="I373" s="240" t="s">
        <v>4830</v>
      </c>
      <c r="J373" s="240"/>
      <c r="K373" s="240"/>
      <c r="L373" s="240"/>
      <c r="M373" s="240" t="s">
        <v>4817</v>
      </c>
      <c r="N373" s="240" t="s">
        <v>4831</v>
      </c>
      <c r="O373" s="240" t="s">
        <v>4832</v>
      </c>
      <c r="P373" s="240" t="s">
        <v>4833</v>
      </c>
      <c r="Q373" s="239" t="s">
        <v>2802</v>
      </c>
      <c r="R373" s="241"/>
      <c r="S373" s="240" t="s">
        <v>4834</v>
      </c>
      <c r="T373" s="242" t="s">
        <v>4835</v>
      </c>
      <c r="U373" s="239" t="s">
        <v>2935</v>
      </c>
      <c r="V373" s="251"/>
    </row>
    <row r="374" spans="1:22" ht="30" customHeight="1">
      <c r="A374" s="239" t="s">
        <v>4811</v>
      </c>
      <c r="B374" s="239" t="s">
        <v>4812</v>
      </c>
      <c r="C374" s="240" t="s">
        <v>4813</v>
      </c>
      <c r="D374" s="239" t="s">
        <v>74</v>
      </c>
      <c r="E374" s="241" t="s">
        <v>2795</v>
      </c>
      <c r="F374" s="239" t="s">
        <v>2924</v>
      </c>
      <c r="G374" s="241"/>
      <c r="H374" s="241">
        <v>40</v>
      </c>
      <c r="I374" s="240" t="s">
        <v>4836</v>
      </c>
      <c r="J374" s="240"/>
      <c r="K374" s="240"/>
      <c r="L374" s="240"/>
      <c r="M374" s="240" t="s">
        <v>4817</v>
      </c>
      <c r="N374" s="240" t="s">
        <v>4837</v>
      </c>
      <c r="O374" s="240" t="s">
        <v>4838</v>
      </c>
      <c r="P374" s="240" t="s">
        <v>4839</v>
      </c>
      <c r="Q374" s="239" t="s">
        <v>2802</v>
      </c>
      <c r="R374" s="241"/>
      <c r="S374" s="240" t="s">
        <v>4840</v>
      </c>
      <c r="T374" s="242" t="s">
        <v>4841</v>
      </c>
      <c r="U374" s="239" t="s">
        <v>2935</v>
      </c>
      <c r="V374" s="251"/>
    </row>
    <row r="375" spans="1:22" ht="30" customHeight="1">
      <c r="A375" s="239" t="s">
        <v>4811</v>
      </c>
      <c r="B375" s="239" t="s">
        <v>4812</v>
      </c>
      <c r="C375" s="240" t="s">
        <v>4813</v>
      </c>
      <c r="D375" s="239" t="s">
        <v>74</v>
      </c>
      <c r="E375" s="241" t="s">
        <v>2795</v>
      </c>
      <c r="F375" s="239" t="s">
        <v>2924</v>
      </c>
      <c r="G375" s="241"/>
      <c r="H375" s="241">
        <v>40</v>
      </c>
      <c r="I375" s="240" t="s">
        <v>4842</v>
      </c>
      <c r="J375" s="240"/>
      <c r="K375" s="240"/>
      <c r="L375" s="240"/>
      <c r="M375" s="240" t="s">
        <v>4817</v>
      </c>
      <c r="N375" s="240" t="s">
        <v>4843</v>
      </c>
      <c r="O375" s="240" t="s">
        <v>4844</v>
      </c>
      <c r="P375" s="240" t="s">
        <v>4845</v>
      </c>
      <c r="Q375" s="239" t="s">
        <v>2802</v>
      </c>
      <c r="R375" s="241"/>
      <c r="S375" s="240" t="s">
        <v>4846</v>
      </c>
      <c r="T375" s="242" t="s">
        <v>4847</v>
      </c>
      <c r="U375" s="239" t="s">
        <v>2935</v>
      </c>
      <c r="V375" s="251"/>
    </row>
    <row r="376" spans="1:22" ht="30" customHeight="1">
      <c r="A376" s="239" t="s">
        <v>4811</v>
      </c>
      <c r="B376" s="239" t="s">
        <v>4812</v>
      </c>
      <c r="C376" s="240" t="s">
        <v>4813</v>
      </c>
      <c r="D376" s="239" t="s">
        <v>74</v>
      </c>
      <c r="E376" s="241" t="s">
        <v>2795</v>
      </c>
      <c r="F376" s="239" t="s">
        <v>2924</v>
      </c>
      <c r="G376" s="241"/>
      <c r="H376" s="241">
        <v>40</v>
      </c>
      <c r="I376" s="240" t="s">
        <v>4848</v>
      </c>
      <c r="J376" s="240"/>
      <c r="K376" s="240"/>
      <c r="L376" s="240"/>
      <c r="M376" s="240" t="s">
        <v>4817</v>
      </c>
      <c r="N376" s="240" t="s">
        <v>4849</v>
      </c>
      <c r="O376" s="240" t="s">
        <v>4850</v>
      </c>
      <c r="P376" s="240" t="s">
        <v>4851</v>
      </c>
      <c r="Q376" s="239" t="s">
        <v>2802</v>
      </c>
      <c r="R376" s="241"/>
      <c r="S376" s="240" t="s">
        <v>4852</v>
      </c>
      <c r="T376" s="242" t="s">
        <v>4853</v>
      </c>
      <c r="U376" s="239" t="s">
        <v>2935</v>
      </c>
      <c r="V376" s="251"/>
    </row>
    <row r="377" spans="1:22" ht="30" customHeight="1">
      <c r="A377" s="239" t="s">
        <v>4811</v>
      </c>
      <c r="B377" s="239" t="s">
        <v>4812</v>
      </c>
      <c r="C377" s="240" t="s">
        <v>4813</v>
      </c>
      <c r="D377" s="239" t="s">
        <v>74</v>
      </c>
      <c r="E377" s="241" t="s">
        <v>2795</v>
      </c>
      <c r="F377" s="239" t="s">
        <v>2924</v>
      </c>
      <c r="G377" s="241"/>
      <c r="H377" s="241">
        <v>40</v>
      </c>
      <c r="I377" s="240" t="s">
        <v>4854</v>
      </c>
      <c r="J377" s="240"/>
      <c r="K377" s="240"/>
      <c r="L377" s="240"/>
      <c r="M377" s="240" t="s">
        <v>4817</v>
      </c>
      <c r="N377" s="240" t="s">
        <v>4855</v>
      </c>
      <c r="O377" s="240" t="s">
        <v>4856</v>
      </c>
      <c r="P377" s="240" t="s">
        <v>4857</v>
      </c>
      <c r="Q377" s="239" t="s">
        <v>2802</v>
      </c>
      <c r="R377" s="241"/>
      <c r="S377" s="240" t="s">
        <v>4858</v>
      </c>
      <c r="T377" s="242" t="s">
        <v>4859</v>
      </c>
      <c r="U377" s="239" t="s">
        <v>2935</v>
      </c>
      <c r="V377" s="251"/>
    </row>
    <row r="378" spans="1:22" ht="30" customHeight="1">
      <c r="A378" s="239" t="s">
        <v>4860</v>
      </c>
      <c r="B378" s="239" t="s">
        <v>4861</v>
      </c>
      <c r="C378" s="240" t="s">
        <v>4862</v>
      </c>
      <c r="D378" s="239" t="s">
        <v>74</v>
      </c>
      <c r="E378" s="241" t="s">
        <v>2795</v>
      </c>
      <c r="F378" s="239" t="s">
        <v>2924</v>
      </c>
      <c r="G378" s="241"/>
      <c r="H378" s="241">
        <v>40</v>
      </c>
      <c r="I378" s="240" t="s">
        <v>4863</v>
      </c>
      <c r="J378" s="240" t="s">
        <v>4321</v>
      </c>
      <c r="K378" s="240" t="s">
        <v>4209</v>
      </c>
      <c r="L378" s="240" t="s">
        <v>4815</v>
      </c>
      <c r="M378" s="240" t="s">
        <v>2801</v>
      </c>
      <c r="N378" s="240">
        <v>0</v>
      </c>
      <c r="O378" s="240" t="s">
        <v>2801</v>
      </c>
      <c r="P378" s="240" t="s">
        <v>2801</v>
      </c>
      <c r="Q378" s="239" t="s">
        <v>2802</v>
      </c>
      <c r="R378" s="241"/>
      <c r="S378" s="240" t="s">
        <v>2801</v>
      </c>
      <c r="T378" s="242" t="s">
        <v>2801</v>
      </c>
      <c r="U378" s="239" t="s">
        <v>2803</v>
      </c>
      <c r="V378" s="251"/>
    </row>
    <row r="379" spans="1:22" ht="30" customHeight="1">
      <c r="A379" s="239" t="s">
        <v>4860</v>
      </c>
      <c r="B379" s="239" t="s">
        <v>4861</v>
      </c>
      <c r="C379" s="240" t="s">
        <v>4862</v>
      </c>
      <c r="D379" s="239" t="s">
        <v>74</v>
      </c>
      <c r="E379" s="241" t="s">
        <v>2795</v>
      </c>
      <c r="F379" s="239" t="s">
        <v>2924</v>
      </c>
      <c r="G379" s="241"/>
      <c r="H379" s="241">
        <v>40</v>
      </c>
      <c r="I379" s="240" t="s">
        <v>4864</v>
      </c>
      <c r="J379" s="240"/>
      <c r="K379" s="240"/>
      <c r="L379" s="240"/>
      <c r="M379" s="240" t="s">
        <v>4817</v>
      </c>
      <c r="N379" s="240" t="s">
        <v>4865</v>
      </c>
      <c r="O379" s="240" t="s">
        <v>4866</v>
      </c>
      <c r="P379" s="240" t="s">
        <v>4867</v>
      </c>
      <c r="Q379" s="239" t="s">
        <v>2802</v>
      </c>
      <c r="R379" s="241"/>
      <c r="S379" s="240" t="s">
        <v>4868</v>
      </c>
      <c r="T379" s="242" t="s">
        <v>4869</v>
      </c>
      <c r="U379" s="239" t="s">
        <v>2935</v>
      </c>
      <c r="V379" s="251"/>
    </row>
    <row r="380" spans="1:22" ht="30" customHeight="1">
      <c r="A380" s="239" t="s">
        <v>4860</v>
      </c>
      <c r="B380" s="239" t="s">
        <v>4861</v>
      </c>
      <c r="C380" s="240" t="s">
        <v>4862</v>
      </c>
      <c r="D380" s="239" t="s">
        <v>74</v>
      </c>
      <c r="E380" s="241" t="s">
        <v>2795</v>
      </c>
      <c r="F380" s="239" t="s">
        <v>2924</v>
      </c>
      <c r="G380" s="241"/>
      <c r="H380" s="241">
        <v>40</v>
      </c>
      <c r="I380" s="240" t="s">
        <v>4870</v>
      </c>
      <c r="J380" s="240"/>
      <c r="K380" s="240"/>
      <c r="L380" s="240"/>
      <c r="M380" s="240" t="s">
        <v>4871</v>
      </c>
      <c r="N380" s="240" t="s">
        <v>4872</v>
      </c>
      <c r="O380" s="240" t="s">
        <v>1198</v>
      </c>
      <c r="P380" s="240" t="s">
        <v>4873</v>
      </c>
      <c r="Q380" s="239" t="s">
        <v>2802</v>
      </c>
      <c r="R380" s="241"/>
      <c r="S380" s="240" t="s">
        <v>4874</v>
      </c>
      <c r="T380" s="242" t="s">
        <v>1198</v>
      </c>
      <c r="U380" s="239" t="s">
        <v>2935</v>
      </c>
      <c r="V380" s="251"/>
    </row>
    <row r="381" spans="1:22" ht="30" customHeight="1">
      <c r="A381" s="239" t="s">
        <v>4860</v>
      </c>
      <c r="B381" s="239" t="s">
        <v>4861</v>
      </c>
      <c r="C381" s="240" t="s">
        <v>4862</v>
      </c>
      <c r="D381" s="239" t="s">
        <v>74</v>
      </c>
      <c r="E381" s="241" t="s">
        <v>2795</v>
      </c>
      <c r="F381" s="239" t="s">
        <v>2924</v>
      </c>
      <c r="G381" s="241"/>
      <c r="H381" s="241">
        <v>40</v>
      </c>
      <c r="I381" s="240" t="s">
        <v>4875</v>
      </c>
      <c r="J381" s="240"/>
      <c r="K381" s="240"/>
      <c r="L381" s="240"/>
      <c r="M381" s="240" t="s">
        <v>4817</v>
      </c>
      <c r="N381" s="240" t="s">
        <v>4876</v>
      </c>
      <c r="O381" s="240" t="s">
        <v>4877</v>
      </c>
      <c r="P381" s="240" t="s">
        <v>4878</v>
      </c>
      <c r="Q381" s="239" t="s">
        <v>2802</v>
      </c>
      <c r="R381" s="241"/>
      <c r="S381" s="240" t="s">
        <v>4879</v>
      </c>
      <c r="T381" s="242" t="s">
        <v>4880</v>
      </c>
      <c r="U381" s="239" t="s">
        <v>2935</v>
      </c>
      <c r="V381" s="251"/>
    </row>
    <row r="382" spans="1:22" ht="30" customHeight="1">
      <c r="A382" s="239" t="s">
        <v>4860</v>
      </c>
      <c r="B382" s="239" t="s">
        <v>4861</v>
      </c>
      <c r="C382" s="240" t="s">
        <v>4862</v>
      </c>
      <c r="D382" s="239" t="s">
        <v>74</v>
      </c>
      <c r="E382" s="241" t="s">
        <v>2795</v>
      </c>
      <c r="F382" s="239" t="s">
        <v>2924</v>
      </c>
      <c r="G382" s="241"/>
      <c r="H382" s="241">
        <v>40</v>
      </c>
      <c r="I382" s="240" t="s">
        <v>4881</v>
      </c>
      <c r="J382" s="240"/>
      <c r="K382" s="240"/>
      <c r="L382" s="240"/>
      <c r="M382" s="240" t="s">
        <v>4817</v>
      </c>
      <c r="N382" s="240" t="s">
        <v>4882</v>
      </c>
      <c r="O382" s="240" t="s">
        <v>4883</v>
      </c>
      <c r="P382" s="240" t="s">
        <v>4884</v>
      </c>
      <c r="Q382" s="239" t="s">
        <v>2802</v>
      </c>
      <c r="R382" s="241"/>
      <c r="S382" s="240" t="s">
        <v>4885</v>
      </c>
      <c r="T382" s="242" t="s">
        <v>4886</v>
      </c>
      <c r="U382" s="239" t="s">
        <v>2935</v>
      </c>
      <c r="V382" s="251"/>
    </row>
    <row r="383" spans="1:22" ht="30" customHeight="1">
      <c r="A383" s="239" t="s">
        <v>4860</v>
      </c>
      <c r="B383" s="239" t="s">
        <v>4861</v>
      </c>
      <c r="C383" s="240" t="s">
        <v>4862</v>
      </c>
      <c r="D383" s="239" t="s">
        <v>74</v>
      </c>
      <c r="E383" s="241" t="s">
        <v>2795</v>
      </c>
      <c r="F383" s="239" t="s">
        <v>2924</v>
      </c>
      <c r="G383" s="241"/>
      <c r="H383" s="241">
        <v>40</v>
      </c>
      <c r="I383" s="240" t="s">
        <v>4887</v>
      </c>
      <c r="J383" s="240"/>
      <c r="K383" s="240"/>
      <c r="L383" s="240"/>
      <c r="M383" s="240" t="s">
        <v>4817</v>
      </c>
      <c r="N383" s="240" t="s">
        <v>4888</v>
      </c>
      <c r="O383" s="240" t="s">
        <v>4889</v>
      </c>
      <c r="P383" s="240" t="s">
        <v>4890</v>
      </c>
      <c r="Q383" s="239" t="s">
        <v>2802</v>
      </c>
      <c r="R383" s="241"/>
      <c r="S383" s="240" t="s">
        <v>4891</v>
      </c>
      <c r="T383" s="242" t="s">
        <v>4892</v>
      </c>
      <c r="U383" s="239" t="s">
        <v>2935</v>
      </c>
      <c r="V383" s="251"/>
    </row>
    <row r="384" spans="1:22" ht="30" customHeight="1">
      <c r="A384" s="239" t="s">
        <v>4860</v>
      </c>
      <c r="B384" s="239" t="s">
        <v>4861</v>
      </c>
      <c r="C384" s="240" t="s">
        <v>4862</v>
      </c>
      <c r="D384" s="239" t="s">
        <v>74</v>
      </c>
      <c r="E384" s="241" t="s">
        <v>2795</v>
      </c>
      <c r="F384" s="239" t="s">
        <v>2924</v>
      </c>
      <c r="G384" s="241"/>
      <c r="H384" s="241">
        <v>40</v>
      </c>
      <c r="I384" s="240" t="s">
        <v>4893</v>
      </c>
      <c r="J384" s="240"/>
      <c r="K384" s="240"/>
      <c r="L384" s="240"/>
      <c r="M384" s="240" t="s">
        <v>4894</v>
      </c>
      <c r="N384" s="240" t="s">
        <v>4895</v>
      </c>
      <c r="O384" s="240" t="s">
        <v>4896</v>
      </c>
      <c r="P384" s="240" t="s">
        <v>4897</v>
      </c>
      <c r="Q384" s="239" t="s">
        <v>2802</v>
      </c>
      <c r="R384" s="241"/>
      <c r="S384" s="240" t="s">
        <v>4898</v>
      </c>
      <c r="T384" s="242" t="s">
        <v>4899</v>
      </c>
      <c r="U384" s="239" t="s">
        <v>2935</v>
      </c>
      <c r="V384" s="251"/>
    </row>
    <row r="385" spans="1:22" ht="30" customHeight="1">
      <c r="A385" s="239" t="s">
        <v>4860</v>
      </c>
      <c r="B385" s="239" t="s">
        <v>4861</v>
      </c>
      <c r="C385" s="240" t="s">
        <v>4862</v>
      </c>
      <c r="D385" s="239" t="s">
        <v>74</v>
      </c>
      <c r="E385" s="241" t="s">
        <v>2795</v>
      </c>
      <c r="F385" s="239" t="s">
        <v>2924</v>
      </c>
      <c r="G385" s="241"/>
      <c r="H385" s="241">
        <v>40</v>
      </c>
      <c r="I385" s="240" t="s">
        <v>4900</v>
      </c>
      <c r="J385" s="240"/>
      <c r="K385" s="240"/>
      <c r="L385" s="240"/>
      <c r="M385" s="240" t="s">
        <v>4817</v>
      </c>
      <c r="N385" s="240" t="s">
        <v>4901</v>
      </c>
      <c r="O385" s="240" t="s">
        <v>4902</v>
      </c>
      <c r="P385" s="240" t="s">
        <v>4903</v>
      </c>
      <c r="Q385" s="239" t="s">
        <v>2802</v>
      </c>
      <c r="R385" s="241"/>
      <c r="S385" s="240" t="s">
        <v>4904</v>
      </c>
      <c r="T385" s="242" t="s">
        <v>4905</v>
      </c>
      <c r="U385" s="239" t="s">
        <v>2935</v>
      </c>
      <c r="V385" s="251"/>
    </row>
    <row r="386" spans="1:22" ht="30" customHeight="1">
      <c r="A386" s="239" t="s">
        <v>4860</v>
      </c>
      <c r="B386" s="239" t="s">
        <v>4861</v>
      </c>
      <c r="C386" s="240" t="s">
        <v>4862</v>
      </c>
      <c r="D386" s="239" t="s">
        <v>74</v>
      </c>
      <c r="E386" s="241" t="s">
        <v>2795</v>
      </c>
      <c r="F386" s="239" t="s">
        <v>2924</v>
      </c>
      <c r="G386" s="241"/>
      <c r="H386" s="241">
        <v>40</v>
      </c>
      <c r="I386" s="240" t="s">
        <v>4906</v>
      </c>
      <c r="J386" s="240"/>
      <c r="K386" s="240"/>
      <c r="L386" s="240"/>
      <c r="M386" s="240" t="s">
        <v>4817</v>
      </c>
      <c r="N386" s="240" t="s">
        <v>4907</v>
      </c>
      <c r="O386" s="240" t="s">
        <v>4908</v>
      </c>
      <c r="P386" s="240" t="s">
        <v>4909</v>
      </c>
      <c r="Q386" s="239" t="s">
        <v>2802</v>
      </c>
      <c r="R386" s="241"/>
      <c r="S386" s="240" t="s">
        <v>4910</v>
      </c>
      <c r="T386" s="242" t="s">
        <v>4911</v>
      </c>
      <c r="U386" s="239" t="s">
        <v>2935</v>
      </c>
      <c r="V386" s="251"/>
    </row>
    <row r="387" spans="1:22" ht="30" customHeight="1">
      <c r="A387" s="239" t="s">
        <v>4912</v>
      </c>
      <c r="B387" s="239" t="s">
        <v>4913</v>
      </c>
      <c r="C387" s="240" t="s">
        <v>4914</v>
      </c>
      <c r="D387" s="239" t="s">
        <v>74</v>
      </c>
      <c r="E387" s="241" t="s">
        <v>2795</v>
      </c>
      <c r="F387" s="239" t="s">
        <v>2924</v>
      </c>
      <c r="G387" s="241"/>
      <c r="H387" s="241">
        <v>40</v>
      </c>
      <c r="I387" s="240" t="s">
        <v>4915</v>
      </c>
      <c r="J387" s="240" t="s">
        <v>4321</v>
      </c>
      <c r="K387" s="240" t="s">
        <v>4209</v>
      </c>
      <c r="L387" s="240" t="s">
        <v>4210</v>
      </c>
      <c r="M387" s="240" t="s">
        <v>2801</v>
      </c>
      <c r="N387" s="240" t="s">
        <v>2801</v>
      </c>
      <c r="O387" s="240" t="s">
        <v>2801</v>
      </c>
      <c r="P387" s="240" t="s">
        <v>2801</v>
      </c>
      <c r="Q387" s="239" t="s">
        <v>2802</v>
      </c>
      <c r="R387" s="241"/>
      <c r="S387" s="240" t="s">
        <v>2801</v>
      </c>
      <c r="T387" s="242" t="s">
        <v>2801</v>
      </c>
      <c r="U387" s="239" t="s">
        <v>2803</v>
      </c>
      <c r="V387" s="251"/>
    </row>
    <row r="388" spans="1:22" ht="30" customHeight="1">
      <c r="A388" s="239" t="s">
        <v>4912</v>
      </c>
      <c r="B388" s="239" t="s">
        <v>4913</v>
      </c>
      <c r="C388" s="240" t="s">
        <v>4914</v>
      </c>
      <c r="D388" s="239" t="s">
        <v>74</v>
      </c>
      <c r="E388" s="241" t="s">
        <v>2795</v>
      </c>
      <c r="F388" s="239" t="s">
        <v>2924</v>
      </c>
      <c r="G388" s="241"/>
      <c r="H388" s="241">
        <v>40</v>
      </c>
      <c r="I388" s="240" t="s">
        <v>4916</v>
      </c>
      <c r="J388" s="240"/>
      <c r="K388" s="240"/>
      <c r="L388" s="240"/>
      <c r="M388" s="240" t="s">
        <v>4917</v>
      </c>
      <c r="N388" s="240" t="s">
        <v>4918</v>
      </c>
      <c r="O388" s="240" t="s">
        <v>4919</v>
      </c>
      <c r="P388" s="240" t="s">
        <v>4920</v>
      </c>
      <c r="Q388" s="239" t="s">
        <v>2802</v>
      </c>
      <c r="R388" s="241"/>
      <c r="S388" s="240" t="s">
        <v>4921</v>
      </c>
      <c r="T388" s="242" t="s">
        <v>4922</v>
      </c>
      <c r="U388" s="239" t="s">
        <v>2935</v>
      </c>
      <c r="V388" s="251"/>
    </row>
    <row r="389" spans="1:22" ht="30" customHeight="1">
      <c r="A389" s="239" t="s">
        <v>4912</v>
      </c>
      <c r="B389" s="239" t="s">
        <v>4913</v>
      </c>
      <c r="C389" s="240" t="s">
        <v>4914</v>
      </c>
      <c r="D389" s="239" t="s">
        <v>74</v>
      </c>
      <c r="E389" s="241" t="s">
        <v>2795</v>
      </c>
      <c r="F389" s="239" t="s">
        <v>2924</v>
      </c>
      <c r="G389" s="241"/>
      <c r="H389" s="241">
        <v>40</v>
      </c>
      <c r="I389" s="240" t="s">
        <v>4923</v>
      </c>
      <c r="J389" s="240"/>
      <c r="K389" s="240"/>
      <c r="L389" s="240"/>
      <c r="M389" s="240" t="s">
        <v>4917</v>
      </c>
      <c r="N389" s="240" t="s">
        <v>4924</v>
      </c>
      <c r="O389" s="240" t="s">
        <v>4925</v>
      </c>
      <c r="P389" s="240" t="s">
        <v>4926</v>
      </c>
      <c r="Q389" s="239" t="s">
        <v>2802</v>
      </c>
      <c r="R389" s="241"/>
      <c r="S389" s="240" t="s">
        <v>4927</v>
      </c>
      <c r="T389" s="242" t="s">
        <v>4928</v>
      </c>
      <c r="U389" s="239" t="s">
        <v>2935</v>
      </c>
      <c r="V389" s="251"/>
    </row>
    <row r="390" spans="1:22" ht="30" customHeight="1">
      <c r="A390" s="239" t="s">
        <v>4912</v>
      </c>
      <c r="B390" s="239" t="s">
        <v>4913</v>
      </c>
      <c r="C390" s="240" t="s">
        <v>4914</v>
      </c>
      <c r="D390" s="239" t="s">
        <v>74</v>
      </c>
      <c r="E390" s="241" t="s">
        <v>2795</v>
      </c>
      <c r="F390" s="239" t="s">
        <v>2924</v>
      </c>
      <c r="G390" s="241"/>
      <c r="H390" s="241">
        <v>40</v>
      </c>
      <c r="I390" s="240" t="s">
        <v>4929</v>
      </c>
      <c r="J390" s="240"/>
      <c r="K390" s="240"/>
      <c r="L390" s="240"/>
      <c r="M390" s="240" t="s">
        <v>4930</v>
      </c>
      <c r="N390" s="240" t="s">
        <v>4931</v>
      </c>
      <c r="O390" s="240" t="s">
        <v>4932</v>
      </c>
      <c r="P390" s="240" t="s">
        <v>4933</v>
      </c>
      <c r="Q390" s="239" t="s">
        <v>2802</v>
      </c>
      <c r="R390" s="241"/>
      <c r="S390" s="240" t="s">
        <v>4934</v>
      </c>
      <c r="T390" s="242" t="s">
        <v>4935</v>
      </c>
      <c r="U390" s="239" t="s">
        <v>2935</v>
      </c>
      <c r="V390" s="251"/>
    </row>
    <row r="391" spans="1:22" ht="30" customHeight="1">
      <c r="A391" s="239" t="s">
        <v>4912</v>
      </c>
      <c r="B391" s="239" t="s">
        <v>4913</v>
      </c>
      <c r="C391" s="240" t="s">
        <v>4914</v>
      </c>
      <c r="D391" s="239" t="s">
        <v>74</v>
      </c>
      <c r="E391" s="241" t="s">
        <v>2795</v>
      </c>
      <c r="F391" s="239" t="s">
        <v>2924</v>
      </c>
      <c r="G391" s="241"/>
      <c r="H391" s="241">
        <v>40</v>
      </c>
      <c r="I391" s="240" t="s">
        <v>4936</v>
      </c>
      <c r="J391" s="240"/>
      <c r="K391" s="240"/>
      <c r="L391" s="240"/>
      <c r="M391" s="240" t="s">
        <v>4917</v>
      </c>
      <c r="N391" s="240" t="s">
        <v>4937</v>
      </c>
      <c r="O391" s="240" t="s">
        <v>4938</v>
      </c>
      <c r="P391" s="240" t="s">
        <v>4939</v>
      </c>
      <c r="Q391" s="239" t="s">
        <v>2802</v>
      </c>
      <c r="R391" s="241"/>
      <c r="S391" s="240" t="s">
        <v>4940</v>
      </c>
      <c r="T391" s="242" t="s">
        <v>4941</v>
      </c>
      <c r="U391" s="239" t="s">
        <v>2935</v>
      </c>
      <c r="V391" s="251"/>
    </row>
    <row r="392" spans="1:22" ht="30" customHeight="1">
      <c r="A392" s="239" t="s">
        <v>4912</v>
      </c>
      <c r="B392" s="239" t="s">
        <v>4913</v>
      </c>
      <c r="C392" s="240" t="s">
        <v>4914</v>
      </c>
      <c r="D392" s="239" t="s">
        <v>74</v>
      </c>
      <c r="E392" s="241" t="s">
        <v>2795</v>
      </c>
      <c r="F392" s="239" t="s">
        <v>2924</v>
      </c>
      <c r="G392" s="241"/>
      <c r="H392" s="241">
        <v>40</v>
      </c>
      <c r="I392" s="240" t="s">
        <v>4942</v>
      </c>
      <c r="J392" s="240"/>
      <c r="K392" s="240"/>
      <c r="L392" s="240"/>
      <c r="M392" s="240" t="s">
        <v>4917</v>
      </c>
      <c r="N392" s="240" t="s">
        <v>4943</v>
      </c>
      <c r="O392" s="240" t="s">
        <v>4944</v>
      </c>
      <c r="P392" s="240" t="s">
        <v>4945</v>
      </c>
      <c r="Q392" s="239" t="s">
        <v>2802</v>
      </c>
      <c r="R392" s="241"/>
      <c r="S392" s="240" t="s">
        <v>4946</v>
      </c>
      <c r="T392" s="242" t="s">
        <v>4947</v>
      </c>
      <c r="U392" s="239" t="s">
        <v>2935</v>
      </c>
      <c r="V392" s="251"/>
    </row>
    <row r="393" spans="1:22" ht="30" customHeight="1">
      <c r="A393" s="239" t="s">
        <v>4912</v>
      </c>
      <c r="B393" s="239" t="s">
        <v>4913</v>
      </c>
      <c r="C393" s="240" t="s">
        <v>4914</v>
      </c>
      <c r="D393" s="239" t="s">
        <v>74</v>
      </c>
      <c r="E393" s="241" t="s">
        <v>2795</v>
      </c>
      <c r="F393" s="239" t="s">
        <v>2924</v>
      </c>
      <c r="G393" s="241"/>
      <c r="H393" s="241">
        <v>40</v>
      </c>
      <c r="I393" s="240" t="s">
        <v>4948</v>
      </c>
      <c r="J393" s="240"/>
      <c r="K393" s="240"/>
      <c r="L393" s="240"/>
      <c r="M393" s="240" t="s">
        <v>4917</v>
      </c>
      <c r="N393" s="240" t="s">
        <v>4949</v>
      </c>
      <c r="O393" s="240" t="s">
        <v>4950</v>
      </c>
      <c r="P393" s="240" t="s">
        <v>4951</v>
      </c>
      <c r="Q393" s="239" t="s">
        <v>2802</v>
      </c>
      <c r="R393" s="241"/>
      <c r="S393" s="240" t="s">
        <v>4952</v>
      </c>
      <c r="T393" s="242" t="s">
        <v>4953</v>
      </c>
      <c r="U393" s="239" t="s">
        <v>2935</v>
      </c>
      <c r="V393" s="251"/>
    </row>
    <row r="394" spans="1:22" ht="30" customHeight="1">
      <c r="A394" s="239" t="s">
        <v>4912</v>
      </c>
      <c r="B394" s="239" t="s">
        <v>4913</v>
      </c>
      <c r="C394" s="240" t="s">
        <v>4914</v>
      </c>
      <c r="D394" s="239" t="s">
        <v>74</v>
      </c>
      <c r="E394" s="241" t="s">
        <v>2795</v>
      </c>
      <c r="F394" s="239" t="s">
        <v>2924</v>
      </c>
      <c r="G394" s="241"/>
      <c r="H394" s="241">
        <v>40</v>
      </c>
      <c r="I394" s="240" t="s">
        <v>4954</v>
      </c>
      <c r="J394" s="240"/>
      <c r="K394" s="240"/>
      <c r="L394" s="240"/>
      <c r="M394" s="240" t="s">
        <v>4917</v>
      </c>
      <c r="N394" s="240" t="s">
        <v>4955</v>
      </c>
      <c r="O394" s="240" t="s">
        <v>4956</v>
      </c>
      <c r="P394" s="240" t="s">
        <v>4957</v>
      </c>
      <c r="Q394" s="239" t="s">
        <v>2802</v>
      </c>
      <c r="R394" s="241"/>
      <c r="S394" s="240" t="s">
        <v>4958</v>
      </c>
      <c r="T394" s="242" t="s">
        <v>4959</v>
      </c>
      <c r="U394" s="239" t="s">
        <v>2935</v>
      </c>
      <c r="V394" s="251"/>
    </row>
    <row r="395" spans="1:22" ht="30" customHeight="1">
      <c r="A395" s="239" t="s">
        <v>4960</v>
      </c>
      <c r="B395" s="239" t="s">
        <v>4961</v>
      </c>
      <c r="C395" s="240" t="s">
        <v>4962</v>
      </c>
      <c r="D395" s="239" t="s">
        <v>74</v>
      </c>
      <c r="E395" s="241" t="s">
        <v>2795</v>
      </c>
      <c r="F395" s="239" t="s">
        <v>2924</v>
      </c>
      <c r="G395" s="241"/>
      <c r="H395" s="241">
        <v>40</v>
      </c>
      <c r="I395" s="240" t="s">
        <v>4963</v>
      </c>
      <c r="J395" s="240" t="s">
        <v>4321</v>
      </c>
      <c r="K395" s="240" t="s">
        <v>4964</v>
      </c>
      <c r="L395" s="240" t="s">
        <v>4806</v>
      </c>
      <c r="M395" s="240" t="s">
        <v>2801</v>
      </c>
      <c r="N395" s="240" t="s">
        <v>2801</v>
      </c>
      <c r="O395" s="240" t="s">
        <v>2801</v>
      </c>
      <c r="P395" s="240" t="s">
        <v>2801</v>
      </c>
      <c r="Q395" s="239" t="s">
        <v>2802</v>
      </c>
      <c r="R395" s="241"/>
      <c r="S395" s="240" t="s">
        <v>2801</v>
      </c>
      <c r="T395" s="242" t="s">
        <v>2801</v>
      </c>
      <c r="U395" s="239" t="s">
        <v>2803</v>
      </c>
      <c r="V395" s="251"/>
    </row>
    <row r="396" spans="1:22" ht="30" customHeight="1">
      <c r="A396" s="239" t="s">
        <v>4960</v>
      </c>
      <c r="B396" s="239" t="s">
        <v>4961</v>
      </c>
      <c r="C396" s="240" t="s">
        <v>4962</v>
      </c>
      <c r="D396" s="239" t="s">
        <v>74</v>
      </c>
      <c r="E396" s="241" t="s">
        <v>2795</v>
      </c>
      <c r="F396" s="239" t="s">
        <v>2924</v>
      </c>
      <c r="G396" s="241"/>
      <c r="H396" s="241">
        <v>40</v>
      </c>
      <c r="I396" s="240" t="s">
        <v>4965</v>
      </c>
      <c r="J396" s="240"/>
      <c r="K396" s="240"/>
      <c r="L396" s="240"/>
      <c r="M396" s="240" t="s">
        <v>4966</v>
      </c>
      <c r="N396" s="240" t="s">
        <v>4967</v>
      </c>
      <c r="O396" s="240" t="s">
        <v>1198</v>
      </c>
      <c r="P396" s="240" t="s">
        <v>4968</v>
      </c>
      <c r="Q396" s="239" t="s">
        <v>4969</v>
      </c>
      <c r="R396" s="241"/>
      <c r="S396" s="240" t="s">
        <v>4970</v>
      </c>
      <c r="T396" s="242" t="s">
        <v>1198</v>
      </c>
      <c r="U396" s="239" t="s">
        <v>2823</v>
      </c>
      <c r="V396" s="251"/>
    </row>
    <row r="397" spans="1:22" ht="30" customHeight="1">
      <c r="A397" s="239" t="s">
        <v>4960</v>
      </c>
      <c r="B397" s="239" t="s">
        <v>4961</v>
      </c>
      <c r="C397" s="240" t="s">
        <v>4962</v>
      </c>
      <c r="D397" s="239" t="s">
        <v>74</v>
      </c>
      <c r="E397" s="241" t="s">
        <v>2795</v>
      </c>
      <c r="F397" s="239" t="s">
        <v>2924</v>
      </c>
      <c r="G397" s="241"/>
      <c r="H397" s="241">
        <v>40</v>
      </c>
      <c r="I397" s="240" t="s">
        <v>4971</v>
      </c>
      <c r="J397" s="240"/>
      <c r="K397" s="240"/>
      <c r="L397" s="240"/>
      <c r="M397" s="240" t="s">
        <v>4817</v>
      </c>
      <c r="N397" s="240" t="s">
        <v>4972</v>
      </c>
      <c r="O397" s="240" t="s">
        <v>4973</v>
      </c>
      <c r="P397" s="240" t="s">
        <v>4974</v>
      </c>
      <c r="Q397" s="239" t="s">
        <v>2802</v>
      </c>
      <c r="R397" s="241"/>
      <c r="S397" s="240" t="s">
        <v>4975</v>
      </c>
      <c r="T397" s="242" t="s">
        <v>4976</v>
      </c>
      <c r="U397" s="239" t="s">
        <v>2935</v>
      </c>
      <c r="V397" s="251"/>
    </row>
    <row r="398" spans="1:22" ht="30" customHeight="1">
      <c r="A398" s="239" t="s">
        <v>4977</v>
      </c>
      <c r="B398" s="239" t="s">
        <v>4978</v>
      </c>
      <c r="C398" s="240" t="s">
        <v>4979</v>
      </c>
      <c r="D398" s="239" t="s">
        <v>74</v>
      </c>
      <c r="E398" s="241"/>
      <c r="F398" s="239"/>
      <c r="G398" s="241"/>
      <c r="H398" s="241">
        <v>40</v>
      </c>
      <c r="I398" s="240" t="s">
        <v>4980</v>
      </c>
      <c r="J398" s="240" t="s">
        <v>2798</v>
      </c>
      <c r="K398" s="240" t="s">
        <v>4981</v>
      </c>
      <c r="L398" s="240" t="s">
        <v>4982</v>
      </c>
      <c r="M398" s="240" t="s">
        <v>2805</v>
      </c>
      <c r="N398" s="240" t="s">
        <v>4983</v>
      </c>
      <c r="O398" s="240" t="s">
        <v>4984</v>
      </c>
      <c r="P398" s="240" t="s">
        <v>4985</v>
      </c>
      <c r="Q398" s="239" t="s">
        <v>2802</v>
      </c>
      <c r="R398" s="241"/>
      <c r="S398" s="240" t="s">
        <v>4986</v>
      </c>
      <c r="T398" s="242" t="s">
        <v>4987</v>
      </c>
      <c r="U398" s="239" t="s">
        <v>4988</v>
      </c>
      <c r="V398" s="251"/>
    </row>
    <row r="399" spans="1:22" ht="30" customHeight="1">
      <c r="A399" s="239" t="s">
        <v>4989</v>
      </c>
      <c r="B399" s="239" t="s">
        <v>4990</v>
      </c>
      <c r="C399" s="240" t="s">
        <v>4991</v>
      </c>
      <c r="D399" s="239" t="s">
        <v>74</v>
      </c>
      <c r="E399" s="241"/>
      <c r="F399" s="239"/>
      <c r="G399" s="241"/>
      <c r="H399" s="241">
        <v>40</v>
      </c>
      <c r="I399" s="240" t="s">
        <v>4992</v>
      </c>
      <c r="J399" s="240" t="s">
        <v>4993</v>
      </c>
      <c r="K399" s="240" t="s">
        <v>4994</v>
      </c>
      <c r="L399" s="240" t="s">
        <v>4995</v>
      </c>
      <c r="M399" s="240" t="s">
        <v>2801</v>
      </c>
      <c r="N399" s="240" t="s">
        <v>2801</v>
      </c>
      <c r="O399" s="240" t="s">
        <v>2801</v>
      </c>
      <c r="P399" s="240" t="s">
        <v>2801</v>
      </c>
      <c r="Q399" s="239" t="s">
        <v>2801</v>
      </c>
      <c r="R399" s="241"/>
      <c r="S399" s="240" t="s">
        <v>2801</v>
      </c>
      <c r="T399" s="242" t="s">
        <v>2801</v>
      </c>
      <c r="U399" s="239" t="s">
        <v>4996</v>
      </c>
      <c r="V399" s="251"/>
    </row>
    <row r="400" spans="1:22" ht="30" customHeight="1">
      <c r="A400" s="239" t="s">
        <v>4989</v>
      </c>
      <c r="B400" s="239" t="s">
        <v>4990</v>
      </c>
      <c r="C400" s="240" t="s">
        <v>4991</v>
      </c>
      <c r="D400" s="239" t="s">
        <v>74</v>
      </c>
      <c r="E400" s="241"/>
      <c r="F400" s="239"/>
      <c r="G400" s="241"/>
      <c r="H400" s="241">
        <v>40</v>
      </c>
      <c r="I400" s="240" t="s">
        <v>4997</v>
      </c>
      <c r="J400" s="240"/>
      <c r="K400" s="240"/>
      <c r="L400" s="240"/>
      <c r="M400" s="240" t="s">
        <v>2805</v>
      </c>
      <c r="N400" s="240" t="s">
        <v>4998</v>
      </c>
      <c r="O400" s="240" t="s">
        <v>4999</v>
      </c>
      <c r="P400" s="240" t="s">
        <v>5000</v>
      </c>
      <c r="Q400" s="239" t="s">
        <v>2802</v>
      </c>
      <c r="R400" s="241"/>
      <c r="S400" s="240" t="s">
        <v>5001</v>
      </c>
      <c r="T400" s="242" t="s">
        <v>5002</v>
      </c>
      <c r="U400" s="239" t="s">
        <v>4996</v>
      </c>
      <c r="V400" s="251"/>
    </row>
    <row r="401" spans="1:22" ht="30" customHeight="1">
      <c r="A401" s="239" t="s">
        <v>5003</v>
      </c>
      <c r="B401" s="239" t="s">
        <v>5004</v>
      </c>
      <c r="C401" s="240" t="s">
        <v>5005</v>
      </c>
      <c r="D401" s="239" t="s">
        <v>74</v>
      </c>
      <c r="E401" s="241"/>
      <c r="F401" s="239"/>
      <c r="G401" s="241"/>
      <c r="H401" s="241">
        <v>40</v>
      </c>
      <c r="I401" s="240" t="s">
        <v>5006</v>
      </c>
      <c r="J401" s="240" t="s">
        <v>2798</v>
      </c>
      <c r="K401" s="240" t="s">
        <v>5007</v>
      </c>
      <c r="L401" s="240" t="s">
        <v>5008</v>
      </c>
      <c r="M401" s="240" t="s">
        <v>2805</v>
      </c>
      <c r="N401" s="240" t="s">
        <v>5009</v>
      </c>
      <c r="O401" s="240" t="s">
        <v>1198</v>
      </c>
      <c r="P401" s="240" t="s">
        <v>5010</v>
      </c>
      <c r="Q401" s="239" t="s">
        <v>2802</v>
      </c>
      <c r="R401" s="241"/>
      <c r="S401" s="240" t="s">
        <v>5011</v>
      </c>
      <c r="T401" s="242" t="s">
        <v>1198</v>
      </c>
      <c r="U401" s="239" t="s">
        <v>2823</v>
      </c>
      <c r="V401" s="251"/>
    </row>
    <row r="402" spans="1:22" ht="30" customHeight="1">
      <c r="A402" s="239" t="s">
        <v>5012</v>
      </c>
      <c r="B402" s="239" t="s">
        <v>5013</v>
      </c>
      <c r="C402" s="240" t="s">
        <v>5014</v>
      </c>
      <c r="D402" s="239" t="s">
        <v>74</v>
      </c>
      <c r="E402" s="241"/>
      <c r="F402" s="239"/>
      <c r="G402" s="241"/>
      <c r="H402" s="241">
        <v>40</v>
      </c>
      <c r="I402" s="240" t="s">
        <v>5015</v>
      </c>
      <c r="J402" s="240" t="s">
        <v>2798</v>
      </c>
      <c r="K402" s="240" t="s">
        <v>5016</v>
      </c>
      <c r="L402" s="240" t="s">
        <v>5017</v>
      </c>
      <c r="M402" s="240" t="s">
        <v>2805</v>
      </c>
      <c r="N402" s="240" t="s">
        <v>5018</v>
      </c>
      <c r="O402" s="240" t="s">
        <v>5019</v>
      </c>
      <c r="P402" s="240" t="s">
        <v>5020</v>
      </c>
      <c r="Q402" s="239" t="s">
        <v>2802</v>
      </c>
      <c r="R402" s="241"/>
      <c r="S402" s="240" t="s">
        <v>5021</v>
      </c>
      <c r="T402" s="242" t="s">
        <v>5022</v>
      </c>
      <c r="U402" s="239" t="s">
        <v>4988</v>
      </c>
      <c r="V402" s="251"/>
    </row>
    <row r="403" spans="1:22" ht="30" customHeight="1">
      <c r="A403" s="239" t="s">
        <v>5023</v>
      </c>
      <c r="B403" s="239" t="s">
        <v>5024</v>
      </c>
      <c r="C403" s="240" t="s">
        <v>5025</v>
      </c>
      <c r="D403" s="239" t="s">
        <v>74</v>
      </c>
      <c r="E403" s="241"/>
      <c r="F403" s="239"/>
      <c r="G403" s="241"/>
      <c r="H403" s="241">
        <v>40</v>
      </c>
      <c r="I403" s="240" t="s">
        <v>5026</v>
      </c>
      <c r="J403" s="240" t="s">
        <v>2798</v>
      </c>
      <c r="K403" s="240" t="s">
        <v>5027</v>
      </c>
      <c r="L403" s="240" t="s">
        <v>5017</v>
      </c>
      <c r="M403" s="240" t="s">
        <v>2805</v>
      </c>
      <c r="N403" s="240" t="s">
        <v>5028</v>
      </c>
      <c r="O403" s="240" t="s">
        <v>5029</v>
      </c>
      <c r="P403" s="240" t="s">
        <v>5030</v>
      </c>
      <c r="Q403" s="239" t="s">
        <v>2802</v>
      </c>
      <c r="R403" s="241"/>
      <c r="S403" s="240" t="s">
        <v>5031</v>
      </c>
      <c r="T403" s="242" t="s">
        <v>5029</v>
      </c>
      <c r="U403" s="239" t="s">
        <v>4988</v>
      </c>
      <c r="V403" s="251"/>
    </row>
    <row r="404" spans="1:22" ht="30" customHeight="1">
      <c r="A404" s="239" t="s">
        <v>5032</v>
      </c>
      <c r="B404" s="239" t="s">
        <v>5033</v>
      </c>
      <c r="C404" s="240" t="s">
        <v>5034</v>
      </c>
      <c r="D404" s="239" t="s">
        <v>74</v>
      </c>
      <c r="E404" s="241"/>
      <c r="F404" s="239"/>
      <c r="G404" s="241"/>
      <c r="H404" s="241">
        <v>40</v>
      </c>
      <c r="I404" s="240" t="s">
        <v>5035</v>
      </c>
      <c r="J404" s="240" t="s">
        <v>2798</v>
      </c>
      <c r="K404" s="240" t="s">
        <v>5027</v>
      </c>
      <c r="L404" s="240" t="s">
        <v>5017</v>
      </c>
      <c r="M404" s="240" t="s">
        <v>2805</v>
      </c>
      <c r="N404" s="240" t="s">
        <v>5036</v>
      </c>
      <c r="O404" s="240" t="s">
        <v>5029</v>
      </c>
      <c r="P404" s="240" t="s">
        <v>5037</v>
      </c>
      <c r="Q404" s="239" t="s">
        <v>2802</v>
      </c>
      <c r="R404" s="241"/>
      <c r="S404" s="240" t="s">
        <v>5038</v>
      </c>
      <c r="T404" s="242" t="s">
        <v>5029</v>
      </c>
      <c r="U404" s="239" t="s">
        <v>4988</v>
      </c>
      <c r="V404" s="251"/>
    </row>
    <row r="405" spans="1:22" ht="30" customHeight="1">
      <c r="A405" s="239" t="s">
        <v>5039</v>
      </c>
      <c r="B405" s="239" t="s">
        <v>5040</v>
      </c>
      <c r="C405" s="240" t="s">
        <v>5041</v>
      </c>
      <c r="D405" s="239" t="s">
        <v>74</v>
      </c>
      <c r="E405" s="241"/>
      <c r="F405" s="239"/>
      <c r="G405" s="241"/>
      <c r="H405" s="241">
        <v>40</v>
      </c>
      <c r="I405" s="240" t="s">
        <v>5042</v>
      </c>
      <c r="J405" s="240" t="s">
        <v>2798</v>
      </c>
      <c r="K405" s="240" t="s">
        <v>5043</v>
      </c>
      <c r="L405" s="240" t="s">
        <v>5017</v>
      </c>
      <c r="M405" s="240" t="s">
        <v>2805</v>
      </c>
      <c r="N405" s="240" t="s">
        <v>5044</v>
      </c>
      <c r="O405" s="240" t="s">
        <v>5045</v>
      </c>
      <c r="P405" s="240" t="s">
        <v>5046</v>
      </c>
      <c r="Q405" s="239" t="s">
        <v>2802</v>
      </c>
      <c r="R405" s="241"/>
      <c r="S405" s="240" t="s">
        <v>5047</v>
      </c>
      <c r="T405" s="242" t="s">
        <v>1198</v>
      </c>
      <c r="U405" s="239" t="s">
        <v>4988</v>
      </c>
      <c r="V405" s="251"/>
    </row>
    <row r="406" spans="1:22" ht="30" customHeight="1">
      <c r="A406" s="239" t="s">
        <v>5048</v>
      </c>
      <c r="B406" s="239" t="s">
        <v>5049</v>
      </c>
      <c r="C406" s="240" t="s">
        <v>5050</v>
      </c>
      <c r="D406" s="239" t="s">
        <v>74</v>
      </c>
      <c r="E406" s="241"/>
      <c r="F406" s="239"/>
      <c r="G406" s="241"/>
      <c r="H406" s="241">
        <v>40</v>
      </c>
      <c r="I406" s="240" t="s">
        <v>5051</v>
      </c>
      <c r="J406" s="240" t="s">
        <v>4993</v>
      </c>
      <c r="K406" s="240" t="s">
        <v>5052</v>
      </c>
      <c r="L406" s="240" t="s">
        <v>5053</v>
      </c>
      <c r="M406" s="240" t="s">
        <v>2805</v>
      </c>
      <c r="N406" s="240" t="s">
        <v>5054</v>
      </c>
      <c r="O406" s="240" t="s">
        <v>5055</v>
      </c>
      <c r="P406" s="240" t="s">
        <v>5056</v>
      </c>
      <c r="Q406" s="239" t="s">
        <v>2802</v>
      </c>
      <c r="R406" s="241"/>
      <c r="S406" s="240" t="s">
        <v>5057</v>
      </c>
      <c r="T406" s="242" t="s">
        <v>1198</v>
      </c>
      <c r="U406" s="239" t="s">
        <v>5058</v>
      </c>
      <c r="V406" s="251"/>
    </row>
    <row r="407" spans="1:22" ht="30" customHeight="1">
      <c r="A407" s="239" t="s">
        <v>5059</v>
      </c>
      <c r="B407" s="239" t="s">
        <v>5060</v>
      </c>
      <c r="C407" s="240" t="s">
        <v>5061</v>
      </c>
      <c r="D407" s="239" t="s">
        <v>74</v>
      </c>
      <c r="E407" s="241"/>
      <c r="F407" s="239"/>
      <c r="G407" s="241"/>
      <c r="H407" s="241">
        <v>40</v>
      </c>
      <c r="I407" s="240" t="s">
        <v>5062</v>
      </c>
      <c r="J407" s="240" t="s">
        <v>4993</v>
      </c>
      <c r="K407" s="240" t="s">
        <v>5052</v>
      </c>
      <c r="L407" s="240" t="s">
        <v>5053</v>
      </c>
      <c r="M407" s="240" t="s">
        <v>2805</v>
      </c>
      <c r="N407" s="240" t="s">
        <v>5063</v>
      </c>
      <c r="O407" s="240" t="s">
        <v>5064</v>
      </c>
      <c r="P407" s="240" t="s">
        <v>5065</v>
      </c>
      <c r="Q407" s="239" t="s">
        <v>2802</v>
      </c>
      <c r="R407" s="241"/>
      <c r="S407" s="240" t="s">
        <v>5066</v>
      </c>
      <c r="T407" s="242" t="s">
        <v>5067</v>
      </c>
      <c r="U407" s="239" t="s">
        <v>5058</v>
      </c>
      <c r="V407" s="251"/>
    </row>
    <row r="408" spans="1:22" ht="30" customHeight="1">
      <c r="A408" s="239" t="s">
        <v>5068</v>
      </c>
      <c r="B408" s="239" t="s">
        <v>5069</v>
      </c>
      <c r="C408" s="240" t="s">
        <v>5070</v>
      </c>
      <c r="D408" s="239" t="s">
        <v>74</v>
      </c>
      <c r="E408" s="241"/>
      <c r="F408" s="239"/>
      <c r="G408" s="241"/>
      <c r="H408" s="241">
        <v>40</v>
      </c>
      <c r="I408" s="240" t="s">
        <v>5071</v>
      </c>
      <c r="J408" s="240" t="s">
        <v>4993</v>
      </c>
      <c r="K408" s="240" t="s">
        <v>5072</v>
      </c>
      <c r="L408" s="240" t="s">
        <v>5053</v>
      </c>
      <c r="M408" s="240" t="s">
        <v>2805</v>
      </c>
      <c r="N408" s="240" t="s">
        <v>5073</v>
      </c>
      <c r="O408" s="240" t="s">
        <v>5074</v>
      </c>
      <c r="P408" s="240" t="s">
        <v>5075</v>
      </c>
      <c r="Q408" s="239" t="s">
        <v>2802</v>
      </c>
      <c r="R408" s="241"/>
      <c r="S408" s="240" t="s">
        <v>5076</v>
      </c>
      <c r="T408" s="240" t="s">
        <v>1198</v>
      </c>
      <c r="U408" s="239" t="s">
        <v>5058</v>
      </c>
      <c r="V408" s="251"/>
    </row>
    <row r="409" spans="1:22" ht="30" customHeight="1">
      <c r="A409" s="239" t="s">
        <v>5077</v>
      </c>
      <c r="B409" s="239" t="s">
        <v>5078</v>
      </c>
      <c r="C409" s="240" t="s">
        <v>5079</v>
      </c>
      <c r="D409" s="239" t="s">
        <v>74</v>
      </c>
      <c r="E409" s="241"/>
      <c r="F409" s="239"/>
      <c r="G409" s="241"/>
      <c r="H409" s="241">
        <v>40</v>
      </c>
      <c r="I409" s="240" t="s">
        <v>5080</v>
      </c>
      <c r="J409" s="240" t="s">
        <v>4993</v>
      </c>
      <c r="K409" s="240" t="s">
        <v>5081</v>
      </c>
      <c r="L409" s="240" t="s">
        <v>5017</v>
      </c>
      <c r="M409" s="240" t="s">
        <v>2801</v>
      </c>
      <c r="N409" s="240" t="s">
        <v>2801</v>
      </c>
      <c r="O409" s="240" t="s">
        <v>2801</v>
      </c>
      <c r="P409" s="240" t="s">
        <v>2801</v>
      </c>
      <c r="Q409" s="239"/>
      <c r="R409" s="241"/>
      <c r="S409" s="240" t="s">
        <v>2801</v>
      </c>
      <c r="T409" s="240" t="s">
        <v>2801</v>
      </c>
      <c r="U409" s="239" t="s">
        <v>2803</v>
      </c>
      <c r="V409" s="251"/>
    </row>
    <row r="410" spans="1:22" ht="30" customHeight="1">
      <c r="A410" s="239" t="s">
        <v>1198</v>
      </c>
      <c r="B410" s="239" t="s">
        <v>1198</v>
      </c>
      <c r="C410" s="240" t="s">
        <v>5082</v>
      </c>
      <c r="D410" s="239" t="s">
        <v>74</v>
      </c>
      <c r="E410" s="241"/>
      <c r="F410" s="239"/>
      <c r="G410" s="241"/>
      <c r="H410" s="241">
        <v>40</v>
      </c>
      <c r="I410" s="240" t="s">
        <v>5083</v>
      </c>
      <c r="J410" s="240" t="s">
        <v>5084</v>
      </c>
      <c r="K410" s="240" t="s">
        <v>5084</v>
      </c>
      <c r="L410" s="240" t="s">
        <v>5084</v>
      </c>
      <c r="M410" s="240" t="s">
        <v>5085</v>
      </c>
      <c r="N410" s="240" t="s">
        <v>5086</v>
      </c>
      <c r="O410" s="240" t="s">
        <v>1198</v>
      </c>
      <c r="P410" s="240" t="s">
        <v>5087</v>
      </c>
      <c r="Q410" s="239" t="s">
        <v>2864</v>
      </c>
      <c r="R410" s="241"/>
      <c r="S410" s="240" t="s">
        <v>5088</v>
      </c>
      <c r="T410" s="240" t="s">
        <v>1198</v>
      </c>
      <c r="U410" s="239" t="s">
        <v>2823</v>
      </c>
      <c r="V410" s="251"/>
    </row>
    <row r="411" spans="1:22" ht="30" customHeight="1">
      <c r="A411" s="239" t="s">
        <v>5089</v>
      </c>
      <c r="B411" s="239" t="s">
        <v>5090</v>
      </c>
      <c r="C411" s="240" t="s">
        <v>5091</v>
      </c>
      <c r="D411" s="239" t="s">
        <v>74</v>
      </c>
      <c r="E411" s="241" t="s">
        <v>2795</v>
      </c>
      <c r="F411" s="239" t="s">
        <v>2924</v>
      </c>
      <c r="G411" s="241"/>
      <c r="H411" s="241">
        <v>40</v>
      </c>
      <c r="I411" s="240" t="s">
        <v>5092</v>
      </c>
      <c r="J411" s="240" t="s">
        <v>5093</v>
      </c>
      <c r="K411" s="240" t="s">
        <v>5094</v>
      </c>
      <c r="L411" s="240" t="s">
        <v>5095</v>
      </c>
      <c r="M411" s="240" t="s">
        <v>2801</v>
      </c>
      <c r="N411" s="240" t="s">
        <v>2801</v>
      </c>
      <c r="O411" s="240" t="s">
        <v>2801</v>
      </c>
      <c r="P411" s="240" t="s">
        <v>2801</v>
      </c>
      <c r="Q411" s="239" t="s">
        <v>2864</v>
      </c>
      <c r="R411" s="241"/>
      <c r="S411" s="240" t="s">
        <v>2801</v>
      </c>
      <c r="T411" s="242" t="s">
        <v>2801</v>
      </c>
      <c r="U411" s="239" t="s">
        <v>2803</v>
      </c>
      <c r="V411" s="251"/>
    </row>
    <row r="412" spans="1:22" ht="30" customHeight="1">
      <c r="A412" s="239" t="s">
        <v>5089</v>
      </c>
      <c r="B412" s="239" t="s">
        <v>5090</v>
      </c>
      <c r="C412" s="240" t="s">
        <v>5091</v>
      </c>
      <c r="D412" s="239" t="s">
        <v>74</v>
      </c>
      <c r="E412" s="241" t="s">
        <v>2795</v>
      </c>
      <c r="F412" s="239" t="s">
        <v>2924</v>
      </c>
      <c r="G412" s="241"/>
      <c r="H412" s="241">
        <v>40</v>
      </c>
      <c r="I412" s="240" t="s">
        <v>5096</v>
      </c>
      <c r="J412" s="240"/>
      <c r="K412" s="240"/>
      <c r="L412" s="240"/>
      <c r="M412" s="240" t="s">
        <v>1198</v>
      </c>
      <c r="N412" s="240" t="s">
        <v>5097</v>
      </c>
      <c r="O412" s="240" t="s">
        <v>5098</v>
      </c>
      <c r="P412" s="240" t="s">
        <v>5099</v>
      </c>
      <c r="Q412" s="239" t="s">
        <v>2864</v>
      </c>
      <c r="R412" s="241"/>
      <c r="S412" s="240" t="s">
        <v>5100</v>
      </c>
      <c r="T412" s="242" t="s">
        <v>5101</v>
      </c>
      <c r="U412" s="239" t="s">
        <v>2823</v>
      </c>
      <c r="V412" s="251"/>
    </row>
    <row r="413" spans="1:22" ht="30" customHeight="1">
      <c r="A413" s="239" t="s">
        <v>5089</v>
      </c>
      <c r="B413" s="239" t="s">
        <v>5090</v>
      </c>
      <c r="C413" s="240" t="s">
        <v>5091</v>
      </c>
      <c r="D413" s="239" t="s">
        <v>74</v>
      </c>
      <c r="E413" s="241" t="s">
        <v>2795</v>
      </c>
      <c r="F413" s="239" t="s">
        <v>2924</v>
      </c>
      <c r="G413" s="241"/>
      <c r="H413" s="241">
        <v>40</v>
      </c>
      <c r="I413" s="240" t="s">
        <v>5102</v>
      </c>
      <c r="J413" s="240"/>
      <c r="K413" s="240"/>
      <c r="L413" s="240"/>
      <c r="M413" s="240" t="s">
        <v>2805</v>
      </c>
      <c r="N413" s="240" t="s">
        <v>5103</v>
      </c>
      <c r="O413" s="240" t="s">
        <v>5104</v>
      </c>
      <c r="P413" s="240" t="s">
        <v>5105</v>
      </c>
      <c r="Q413" s="239" t="s">
        <v>2864</v>
      </c>
      <c r="R413" s="241"/>
      <c r="S413" s="240" t="s">
        <v>5106</v>
      </c>
      <c r="T413" s="242" t="s">
        <v>5107</v>
      </c>
      <c r="U413" s="239" t="s">
        <v>5108</v>
      </c>
      <c r="V413" s="251"/>
    </row>
    <row r="414" spans="1:22" ht="30" customHeight="1">
      <c r="A414" s="239" t="s">
        <v>5089</v>
      </c>
      <c r="B414" s="239" t="s">
        <v>5090</v>
      </c>
      <c r="C414" s="240" t="s">
        <v>5091</v>
      </c>
      <c r="D414" s="239" t="s">
        <v>74</v>
      </c>
      <c r="E414" s="241" t="s">
        <v>2795</v>
      </c>
      <c r="F414" s="239" t="s">
        <v>2924</v>
      </c>
      <c r="G414" s="241"/>
      <c r="H414" s="241">
        <v>40</v>
      </c>
      <c r="I414" s="240" t="s">
        <v>5109</v>
      </c>
      <c r="J414" s="240"/>
      <c r="K414" s="240"/>
      <c r="L414" s="240"/>
      <c r="M414" s="240" t="s">
        <v>1198</v>
      </c>
      <c r="N414" s="240" t="s">
        <v>5110</v>
      </c>
      <c r="O414" s="240" t="s">
        <v>5111</v>
      </c>
      <c r="P414" s="240" t="s">
        <v>5112</v>
      </c>
      <c r="Q414" s="239" t="s">
        <v>2864</v>
      </c>
      <c r="R414" s="241"/>
      <c r="S414" s="240" t="s">
        <v>5113</v>
      </c>
      <c r="T414" s="242" t="s">
        <v>5114</v>
      </c>
      <c r="U414" s="239" t="s">
        <v>2823</v>
      </c>
      <c r="V414" s="251"/>
    </row>
    <row r="415" spans="1:22" ht="30" customHeight="1">
      <c r="A415" s="239" t="s">
        <v>5089</v>
      </c>
      <c r="B415" s="239" t="s">
        <v>5090</v>
      </c>
      <c r="C415" s="240" t="s">
        <v>5091</v>
      </c>
      <c r="D415" s="239" t="s">
        <v>74</v>
      </c>
      <c r="E415" s="241" t="s">
        <v>2795</v>
      </c>
      <c r="F415" s="239" t="s">
        <v>2924</v>
      </c>
      <c r="G415" s="241"/>
      <c r="H415" s="241">
        <v>40</v>
      </c>
      <c r="I415" s="240" t="s">
        <v>5115</v>
      </c>
      <c r="J415" s="240"/>
      <c r="K415" s="240"/>
      <c r="L415" s="240"/>
      <c r="M415" s="240" t="s">
        <v>2805</v>
      </c>
      <c r="N415" s="240" t="s">
        <v>5116</v>
      </c>
      <c r="O415" s="240" t="s">
        <v>5117</v>
      </c>
      <c r="P415" s="240" t="s">
        <v>5118</v>
      </c>
      <c r="Q415" s="239" t="s">
        <v>2864</v>
      </c>
      <c r="R415" s="241"/>
      <c r="S415" s="240" t="s">
        <v>5119</v>
      </c>
      <c r="T415" s="242" t="s">
        <v>5120</v>
      </c>
      <c r="U415" s="239" t="s">
        <v>5108</v>
      </c>
      <c r="V415" s="251"/>
    </row>
    <row r="416" spans="1:22" ht="30" customHeight="1">
      <c r="A416" s="239" t="s">
        <v>5089</v>
      </c>
      <c r="B416" s="239" t="s">
        <v>5090</v>
      </c>
      <c r="C416" s="240" t="s">
        <v>5091</v>
      </c>
      <c r="D416" s="239" t="s">
        <v>74</v>
      </c>
      <c r="E416" s="241" t="s">
        <v>2795</v>
      </c>
      <c r="F416" s="239" t="s">
        <v>2924</v>
      </c>
      <c r="G416" s="241"/>
      <c r="H416" s="241">
        <v>40</v>
      </c>
      <c r="I416" s="240" t="s">
        <v>5121</v>
      </c>
      <c r="J416" s="240"/>
      <c r="K416" s="240"/>
      <c r="L416" s="240"/>
      <c r="M416" s="240" t="s">
        <v>1198</v>
      </c>
      <c r="N416" s="240" t="s">
        <v>5122</v>
      </c>
      <c r="O416" s="240" t="s">
        <v>5123</v>
      </c>
      <c r="P416" s="240" t="s">
        <v>5124</v>
      </c>
      <c r="Q416" s="239" t="s">
        <v>2864</v>
      </c>
      <c r="R416" s="241"/>
      <c r="S416" s="240" t="s">
        <v>5125</v>
      </c>
      <c r="T416" s="242" t="s">
        <v>5126</v>
      </c>
      <c r="U416" s="239" t="s">
        <v>2823</v>
      </c>
      <c r="V416" s="251"/>
    </row>
    <row r="417" spans="1:22" ht="30" customHeight="1">
      <c r="A417" s="239" t="s">
        <v>5089</v>
      </c>
      <c r="B417" s="239" t="s">
        <v>5090</v>
      </c>
      <c r="C417" s="240" t="s">
        <v>5091</v>
      </c>
      <c r="D417" s="239" t="s">
        <v>74</v>
      </c>
      <c r="E417" s="241" t="s">
        <v>2795</v>
      </c>
      <c r="F417" s="239" t="s">
        <v>2924</v>
      </c>
      <c r="G417" s="241"/>
      <c r="H417" s="241">
        <v>40</v>
      </c>
      <c r="I417" s="240" t="s">
        <v>5127</v>
      </c>
      <c r="J417" s="240"/>
      <c r="K417" s="240"/>
      <c r="L417" s="240"/>
      <c r="M417" s="240" t="s">
        <v>2805</v>
      </c>
      <c r="N417" s="240" t="s">
        <v>5128</v>
      </c>
      <c r="O417" s="240" t="s">
        <v>1198</v>
      </c>
      <c r="P417" s="240" t="s">
        <v>5129</v>
      </c>
      <c r="Q417" s="239" t="s">
        <v>2864</v>
      </c>
      <c r="R417" s="241"/>
      <c r="S417" s="240" t="s">
        <v>5130</v>
      </c>
      <c r="T417" s="242" t="s">
        <v>1198</v>
      </c>
      <c r="U417" s="239" t="s">
        <v>2823</v>
      </c>
      <c r="V417" s="251"/>
    </row>
    <row r="418" spans="1:22" ht="30" customHeight="1">
      <c r="A418" s="239" t="s">
        <v>5131</v>
      </c>
      <c r="B418" s="239" t="s">
        <v>5132</v>
      </c>
      <c r="C418" s="240" t="s">
        <v>5133</v>
      </c>
      <c r="D418" s="239" t="s">
        <v>74</v>
      </c>
      <c r="E418" s="241" t="s">
        <v>2795</v>
      </c>
      <c r="F418" s="239" t="s">
        <v>2924</v>
      </c>
      <c r="G418" s="241"/>
      <c r="H418" s="241">
        <v>40</v>
      </c>
      <c r="I418" s="240" t="s">
        <v>5134</v>
      </c>
      <c r="J418" s="240" t="s">
        <v>5135</v>
      </c>
      <c r="K418" s="240" t="s">
        <v>5136</v>
      </c>
      <c r="L418" s="240" t="s">
        <v>5137</v>
      </c>
      <c r="M418" s="240" t="s">
        <v>2801</v>
      </c>
      <c r="N418" s="240" t="s">
        <v>2801</v>
      </c>
      <c r="O418" s="240" t="s">
        <v>2801</v>
      </c>
      <c r="P418" s="240" t="s">
        <v>2801</v>
      </c>
      <c r="Q418" s="239" t="s">
        <v>2864</v>
      </c>
      <c r="R418" s="241"/>
      <c r="S418" s="240" t="s">
        <v>2801</v>
      </c>
      <c r="T418" s="242" t="s">
        <v>2801</v>
      </c>
      <c r="U418" s="239" t="s">
        <v>2803</v>
      </c>
      <c r="V418" s="251"/>
    </row>
    <row r="419" spans="1:22" ht="30" customHeight="1">
      <c r="A419" s="239" t="s">
        <v>5131</v>
      </c>
      <c r="B419" s="239" t="s">
        <v>5132</v>
      </c>
      <c r="C419" s="240" t="s">
        <v>5133</v>
      </c>
      <c r="D419" s="239" t="s">
        <v>74</v>
      </c>
      <c r="E419" s="241" t="s">
        <v>2795</v>
      </c>
      <c r="F419" s="239" t="s">
        <v>2924</v>
      </c>
      <c r="G419" s="241"/>
      <c r="H419" s="241">
        <v>40</v>
      </c>
      <c r="I419" s="240" t="s">
        <v>5138</v>
      </c>
      <c r="J419" s="240"/>
      <c r="K419" s="240"/>
      <c r="L419" s="240"/>
      <c r="M419" s="240" t="s">
        <v>2805</v>
      </c>
      <c r="N419" s="240" t="s">
        <v>5139</v>
      </c>
      <c r="O419" s="240" t="s">
        <v>5140</v>
      </c>
      <c r="P419" s="240" t="s">
        <v>5141</v>
      </c>
      <c r="Q419" s="239" t="s">
        <v>2864</v>
      </c>
      <c r="R419" s="241"/>
      <c r="S419" s="240" t="s">
        <v>5142</v>
      </c>
      <c r="T419" s="242" t="s">
        <v>5140</v>
      </c>
      <c r="U419" s="239" t="s">
        <v>5108</v>
      </c>
      <c r="V419" s="251"/>
    </row>
    <row r="420" spans="1:22" ht="30" customHeight="1">
      <c r="A420" s="239" t="s">
        <v>5131</v>
      </c>
      <c r="B420" s="239" t="s">
        <v>5132</v>
      </c>
      <c r="C420" s="240" t="s">
        <v>5133</v>
      </c>
      <c r="D420" s="239" t="s">
        <v>74</v>
      </c>
      <c r="E420" s="241" t="s">
        <v>2795</v>
      </c>
      <c r="F420" s="239" t="s">
        <v>2924</v>
      </c>
      <c r="G420" s="241"/>
      <c r="H420" s="241">
        <v>40</v>
      </c>
      <c r="I420" s="240" t="s">
        <v>5143</v>
      </c>
      <c r="J420" s="240"/>
      <c r="K420" s="240"/>
      <c r="L420" s="240"/>
      <c r="M420" s="240" t="s">
        <v>1198</v>
      </c>
      <c r="N420" s="240" t="s">
        <v>5144</v>
      </c>
      <c r="O420" s="240" t="s">
        <v>5145</v>
      </c>
      <c r="P420" s="240" t="s">
        <v>5146</v>
      </c>
      <c r="Q420" s="239" t="s">
        <v>2864</v>
      </c>
      <c r="R420" s="241"/>
      <c r="S420" s="240" t="s">
        <v>5147</v>
      </c>
      <c r="T420" s="242" t="s">
        <v>5148</v>
      </c>
      <c r="U420" s="239" t="s">
        <v>2823</v>
      </c>
      <c r="V420" s="251"/>
    </row>
    <row r="421" spans="1:22" ht="30" customHeight="1">
      <c r="A421" s="239" t="s">
        <v>5131</v>
      </c>
      <c r="B421" s="239" t="s">
        <v>5132</v>
      </c>
      <c r="C421" s="240" t="s">
        <v>5133</v>
      </c>
      <c r="D421" s="239" t="s">
        <v>74</v>
      </c>
      <c r="E421" s="241" t="s">
        <v>2795</v>
      </c>
      <c r="F421" s="239" t="s">
        <v>2924</v>
      </c>
      <c r="G421" s="241"/>
      <c r="H421" s="241">
        <v>40</v>
      </c>
      <c r="I421" s="240" t="s">
        <v>5149</v>
      </c>
      <c r="J421" s="240"/>
      <c r="K421" s="240"/>
      <c r="L421" s="240"/>
      <c r="M421" s="240" t="s">
        <v>2805</v>
      </c>
      <c r="N421" s="240" t="s">
        <v>5150</v>
      </c>
      <c r="O421" s="240" t="s">
        <v>5151</v>
      </c>
      <c r="P421" s="240" t="s">
        <v>5152</v>
      </c>
      <c r="Q421" s="239" t="s">
        <v>2864</v>
      </c>
      <c r="R421" s="241"/>
      <c r="S421" s="240" t="s">
        <v>5153</v>
      </c>
      <c r="T421" s="242" t="s">
        <v>5154</v>
      </c>
      <c r="U421" s="239" t="s">
        <v>5108</v>
      </c>
      <c r="V421" s="251"/>
    </row>
    <row r="422" spans="1:22" ht="30" customHeight="1">
      <c r="A422" s="239" t="s">
        <v>5131</v>
      </c>
      <c r="B422" s="239" t="s">
        <v>5132</v>
      </c>
      <c r="C422" s="240" t="s">
        <v>5133</v>
      </c>
      <c r="D422" s="239" t="s">
        <v>74</v>
      </c>
      <c r="E422" s="241" t="s">
        <v>2795</v>
      </c>
      <c r="F422" s="239" t="s">
        <v>2924</v>
      </c>
      <c r="G422" s="241"/>
      <c r="H422" s="241">
        <v>40</v>
      </c>
      <c r="I422" s="240" t="s">
        <v>5155</v>
      </c>
      <c r="J422" s="240"/>
      <c r="K422" s="240"/>
      <c r="L422" s="240"/>
      <c r="M422" s="240" t="s">
        <v>1198</v>
      </c>
      <c r="N422" s="240" t="s">
        <v>5156</v>
      </c>
      <c r="O422" s="240" t="s">
        <v>5157</v>
      </c>
      <c r="P422" s="240" t="s">
        <v>5158</v>
      </c>
      <c r="Q422" s="239" t="s">
        <v>2864</v>
      </c>
      <c r="R422" s="241"/>
      <c r="S422" s="240" t="s">
        <v>5159</v>
      </c>
      <c r="T422" s="242" t="s">
        <v>5160</v>
      </c>
      <c r="U422" s="239" t="s">
        <v>2823</v>
      </c>
      <c r="V422" s="251"/>
    </row>
    <row r="423" spans="1:22" ht="30" customHeight="1">
      <c r="A423" s="239" t="s">
        <v>5131</v>
      </c>
      <c r="B423" s="239" t="s">
        <v>5132</v>
      </c>
      <c r="C423" s="240" t="s">
        <v>5133</v>
      </c>
      <c r="D423" s="239" t="s">
        <v>74</v>
      </c>
      <c r="E423" s="241" t="s">
        <v>2795</v>
      </c>
      <c r="F423" s="239" t="s">
        <v>2924</v>
      </c>
      <c r="G423" s="241"/>
      <c r="H423" s="241">
        <v>40</v>
      </c>
      <c r="I423" s="240" t="s">
        <v>5161</v>
      </c>
      <c r="J423" s="240"/>
      <c r="K423" s="240"/>
      <c r="L423" s="240"/>
      <c r="M423" s="240" t="s">
        <v>2805</v>
      </c>
      <c r="N423" s="240" t="s">
        <v>5128</v>
      </c>
      <c r="O423" s="240" t="s">
        <v>1198</v>
      </c>
      <c r="P423" s="240" t="s">
        <v>5162</v>
      </c>
      <c r="Q423" s="239" t="s">
        <v>2864</v>
      </c>
      <c r="R423" s="241"/>
      <c r="S423" s="240" t="s">
        <v>5163</v>
      </c>
      <c r="T423" s="242" t="s">
        <v>1198</v>
      </c>
      <c r="U423" s="239" t="s">
        <v>2823</v>
      </c>
      <c r="V423" s="251"/>
    </row>
    <row r="424" spans="1:22" ht="30" customHeight="1">
      <c r="A424" s="239" t="s">
        <v>5131</v>
      </c>
      <c r="B424" s="239" t="s">
        <v>5132</v>
      </c>
      <c r="C424" s="240" t="s">
        <v>5133</v>
      </c>
      <c r="D424" s="239" t="s">
        <v>74</v>
      </c>
      <c r="E424" s="241" t="s">
        <v>2795</v>
      </c>
      <c r="F424" s="239" t="s">
        <v>2924</v>
      </c>
      <c r="G424" s="241"/>
      <c r="H424" s="241">
        <v>40</v>
      </c>
      <c r="I424" s="240" t="s">
        <v>5164</v>
      </c>
      <c r="J424" s="240"/>
      <c r="K424" s="240"/>
      <c r="L424" s="240"/>
      <c r="M424" s="240" t="s">
        <v>1198</v>
      </c>
      <c r="N424" s="240" t="s">
        <v>5165</v>
      </c>
      <c r="O424" s="240" t="s">
        <v>5166</v>
      </c>
      <c r="P424" s="240" t="s">
        <v>5162</v>
      </c>
      <c r="Q424" s="239" t="s">
        <v>2864</v>
      </c>
      <c r="R424" s="241"/>
      <c r="S424" s="240" t="s">
        <v>5167</v>
      </c>
      <c r="T424" s="242" t="s">
        <v>5168</v>
      </c>
      <c r="U424" s="239" t="s">
        <v>2823</v>
      </c>
      <c r="V424" s="251"/>
    </row>
    <row r="425" spans="1:22" ht="30" customHeight="1">
      <c r="A425" s="239" t="s">
        <v>5169</v>
      </c>
      <c r="B425" s="239" t="s">
        <v>5170</v>
      </c>
      <c r="C425" s="240" t="s">
        <v>5171</v>
      </c>
      <c r="D425" s="239" t="s">
        <v>74</v>
      </c>
      <c r="E425" s="241" t="s">
        <v>2795</v>
      </c>
      <c r="F425" s="239" t="s">
        <v>2796</v>
      </c>
      <c r="G425" s="241"/>
      <c r="H425" s="241">
        <v>40</v>
      </c>
      <c r="I425" s="240" t="s">
        <v>5172</v>
      </c>
      <c r="J425" s="240" t="s">
        <v>5135</v>
      </c>
      <c r="K425" s="240" t="s">
        <v>5173</v>
      </c>
      <c r="L425" s="240" t="s">
        <v>2954</v>
      </c>
      <c r="M425" s="240" t="s">
        <v>2801</v>
      </c>
      <c r="N425" s="240" t="s">
        <v>2801</v>
      </c>
      <c r="O425" s="240" t="s">
        <v>2801</v>
      </c>
      <c r="P425" s="240" t="s">
        <v>2801</v>
      </c>
      <c r="Q425" s="239" t="s">
        <v>2864</v>
      </c>
      <c r="R425" s="241"/>
      <c r="S425" s="240" t="s">
        <v>2801</v>
      </c>
      <c r="T425" s="242" t="s">
        <v>2801</v>
      </c>
      <c r="U425" s="239" t="s">
        <v>2803</v>
      </c>
      <c r="V425" s="251"/>
    </row>
    <row r="426" spans="1:22" ht="30" customHeight="1">
      <c r="A426" s="239" t="s">
        <v>5169</v>
      </c>
      <c r="B426" s="239" t="s">
        <v>5170</v>
      </c>
      <c r="C426" s="240" t="s">
        <v>5171</v>
      </c>
      <c r="D426" s="239" t="s">
        <v>74</v>
      </c>
      <c r="E426" s="241" t="s">
        <v>2795</v>
      </c>
      <c r="F426" s="239" t="s">
        <v>2796</v>
      </c>
      <c r="G426" s="241"/>
      <c r="H426" s="241">
        <v>40</v>
      </c>
      <c r="I426" s="240" t="s">
        <v>5174</v>
      </c>
      <c r="J426" s="240"/>
      <c r="K426" s="240"/>
      <c r="L426" s="240"/>
      <c r="M426" s="240" t="s">
        <v>5175</v>
      </c>
      <c r="N426" s="240" t="s">
        <v>5176</v>
      </c>
      <c r="O426" s="240" t="s">
        <v>5177</v>
      </c>
      <c r="P426" s="240" t="s">
        <v>5178</v>
      </c>
      <c r="Q426" s="239" t="s">
        <v>2864</v>
      </c>
      <c r="R426" s="241"/>
      <c r="S426" s="240" t="s">
        <v>5179</v>
      </c>
      <c r="T426" s="242" t="s">
        <v>5180</v>
      </c>
      <c r="U426" s="239" t="s">
        <v>2823</v>
      </c>
      <c r="V426" s="251"/>
    </row>
    <row r="427" spans="1:22" ht="30" customHeight="1">
      <c r="A427" s="239" t="s">
        <v>5169</v>
      </c>
      <c r="B427" s="239" t="s">
        <v>5170</v>
      </c>
      <c r="C427" s="240" t="s">
        <v>5171</v>
      </c>
      <c r="D427" s="239" t="s">
        <v>74</v>
      </c>
      <c r="E427" s="241" t="s">
        <v>2795</v>
      </c>
      <c r="F427" s="239" t="s">
        <v>2796</v>
      </c>
      <c r="G427" s="241"/>
      <c r="H427" s="241">
        <v>40</v>
      </c>
      <c r="I427" s="240" t="s">
        <v>5181</v>
      </c>
      <c r="J427" s="240"/>
      <c r="K427" s="240"/>
      <c r="L427" s="240"/>
      <c r="M427" s="240" t="s">
        <v>5175</v>
      </c>
      <c r="N427" s="240" t="s">
        <v>5182</v>
      </c>
      <c r="O427" s="240" t="s">
        <v>5183</v>
      </c>
      <c r="P427" s="240" t="s">
        <v>5184</v>
      </c>
      <c r="Q427" s="239" t="s">
        <v>2864</v>
      </c>
      <c r="R427" s="241"/>
      <c r="S427" s="240" t="s">
        <v>5185</v>
      </c>
      <c r="T427" s="242" t="s">
        <v>5186</v>
      </c>
      <c r="U427" s="239" t="s">
        <v>2809</v>
      </c>
      <c r="V427" s="251"/>
    </row>
    <row r="428" spans="1:22" ht="30" customHeight="1">
      <c r="A428" s="239" t="s">
        <v>5187</v>
      </c>
      <c r="B428" s="239" t="s">
        <v>5188</v>
      </c>
      <c r="C428" s="240" t="s">
        <v>5189</v>
      </c>
      <c r="D428" s="239" t="s">
        <v>74</v>
      </c>
      <c r="E428" s="241" t="s">
        <v>2795</v>
      </c>
      <c r="F428" s="239" t="s">
        <v>2796</v>
      </c>
      <c r="G428" s="241"/>
      <c r="H428" s="241">
        <v>40</v>
      </c>
      <c r="I428" s="240" t="s">
        <v>5190</v>
      </c>
      <c r="J428" s="240" t="s">
        <v>5135</v>
      </c>
      <c r="K428" s="240" t="s">
        <v>5173</v>
      </c>
      <c r="L428" s="240" t="s">
        <v>2954</v>
      </c>
      <c r="M428" s="240" t="s">
        <v>2801</v>
      </c>
      <c r="N428" s="240" t="s">
        <v>2801</v>
      </c>
      <c r="O428" s="240" t="s">
        <v>2801</v>
      </c>
      <c r="P428" s="240" t="s">
        <v>2801</v>
      </c>
      <c r="Q428" s="239" t="s">
        <v>2864</v>
      </c>
      <c r="R428" s="241"/>
      <c r="S428" s="240" t="s">
        <v>2801</v>
      </c>
      <c r="T428" s="242" t="s">
        <v>2801</v>
      </c>
      <c r="U428" s="239" t="s">
        <v>2803</v>
      </c>
      <c r="V428" s="251"/>
    </row>
    <row r="429" spans="1:22" ht="30" customHeight="1">
      <c r="A429" s="239" t="s">
        <v>5187</v>
      </c>
      <c r="B429" s="239" t="s">
        <v>5188</v>
      </c>
      <c r="C429" s="240" t="s">
        <v>5189</v>
      </c>
      <c r="D429" s="239" t="s">
        <v>74</v>
      </c>
      <c r="E429" s="241" t="s">
        <v>2795</v>
      </c>
      <c r="F429" s="239" t="s">
        <v>2796</v>
      </c>
      <c r="G429" s="241"/>
      <c r="H429" s="241">
        <v>40</v>
      </c>
      <c r="I429" s="240" t="s">
        <v>5191</v>
      </c>
      <c r="J429" s="240"/>
      <c r="K429" s="240"/>
      <c r="L429" s="240"/>
      <c r="M429" s="240" t="s">
        <v>5192</v>
      </c>
      <c r="N429" s="240" t="s">
        <v>5193</v>
      </c>
      <c r="O429" s="240" t="s">
        <v>5194</v>
      </c>
      <c r="P429" s="240" t="s">
        <v>5195</v>
      </c>
      <c r="Q429" s="239" t="s">
        <v>2864</v>
      </c>
      <c r="R429" s="241"/>
      <c r="S429" s="240" t="s">
        <v>5196</v>
      </c>
      <c r="T429" s="242" t="s">
        <v>5197</v>
      </c>
      <c r="U429" s="239" t="s">
        <v>2809</v>
      </c>
      <c r="V429" s="251"/>
    </row>
    <row r="430" spans="1:22" ht="30" customHeight="1">
      <c r="A430" s="239" t="s">
        <v>5187</v>
      </c>
      <c r="B430" s="239" t="s">
        <v>5188</v>
      </c>
      <c r="C430" s="240" t="s">
        <v>5189</v>
      </c>
      <c r="D430" s="239" t="s">
        <v>74</v>
      </c>
      <c r="E430" s="241" t="s">
        <v>2795</v>
      </c>
      <c r="F430" s="239" t="s">
        <v>2796</v>
      </c>
      <c r="G430" s="241"/>
      <c r="H430" s="241">
        <v>40</v>
      </c>
      <c r="I430" s="240" t="s">
        <v>5198</v>
      </c>
      <c r="J430" s="240"/>
      <c r="K430" s="240"/>
      <c r="L430" s="240"/>
      <c r="M430" s="240" t="s">
        <v>5199</v>
      </c>
      <c r="N430" s="240" t="s">
        <v>5200</v>
      </c>
      <c r="O430" s="240" t="s">
        <v>5201</v>
      </c>
      <c r="P430" s="240" t="s">
        <v>5202</v>
      </c>
      <c r="Q430" s="239" t="s">
        <v>2864</v>
      </c>
      <c r="R430" s="241"/>
      <c r="S430" s="240" t="s">
        <v>5203</v>
      </c>
      <c r="T430" s="242" t="s">
        <v>5204</v>
      </c>
      <c r="U430" s="239" t="s">
        <v>2823</v>
      </c>
      <c r="V430" s="251"/>
    </row>
    <row r="431" spans="1:22" ht="30" customHeight="1">
      <c r="A431" s="239" t="s">
        <v>5205</v>
      </c>
      <c r="B431" s="239" t="s">
        <v>5206</v>
      </c>
      <c r="C431" s="240" t="s">
        <v>5207</v>
      </c>
      <c r="D431" s="239" t="s">
        <v>74</v>
      </c>
      <c r="E431" s="241"/>
      <c r="F431" s="239"/>
      <c r="G431" s="241"/>
      <c r="H431" s="241">
        <v>40</v>
      </c>
      <c r="I431" s="240" t="s">
        <v>5208</v>
      </c>
      <c r="J431" s="240" t="s">
        <v>2798</v>
      </c>
      <c r="K431" s="240" t="s">
        <v>5209</v>
      </c>
      <c r="L431" s="240" t="s">
        <v>5210</v>
      </c>
      <c r="M431" s="240" t="s">
        <v>2801</v>
      </c>
      <c r="N431" s="240" t="s">
        <v>2801</v>
      </c>
      <c r="O431" s="240" t="s">
        <v>2801</v>
      </c>
      <c r="P431" s="240" t="s">
        <v>2801</v>
      </c>
      <c r="Q431" s="239" t="s">
        <v>2864</v>
      </c>
      <c r="R431" s="241"/>
      <c r="S431" s="240" t="s">
        <v>2801</v>
      </c>
      <c r="T431" s="242" t="s">
        <v>2801</v>
      </c>
      <c r="U431" s="239" t="s">
        <v>2823</v>
      </c>
      <c r="V431" s="251"/>
    </row>
    <row r="432" spans="1:22" ht="30" customHeight="1">
      <c r="A432" s="239" t="s">
        <v>5205</v>
      </c>
      <c r="B432" s="239" t="s">
        <v>5206</v>
      </c>
      <c r="C432" s="240" t="s">
        <v>5207</v>
      </c>
      <c r="D432" s="239" t="s">
        <v>74</v>
      </c>
      <c r="E432" s="241"/>
      <c r="F432" s="239"/>
      <c r="G432" s="241"/>
      <c r="H432" s="241">
        <v>40</v>
      </c>
      <c r="I432" s="240" t="s">
        <v>5211</v>
      </c>
      <c r="J432" s="240"/>
      <c r="K432" s="240"/>
      <c r="L432" s="240"/>
      <c r="M432" s="240" t="s">
        <v>5212</v>
      </c>
      <c r="N432" s="240" t="s">
        <v>5213</v>
      </c>
      <c r="O432" s="240" t="s">
        <v>5214</v>
      </c>
      <c r="P432" s="240" t="s">
        <v>5215</v>
      </c>
      <c r="Q432" s="239" t="s">
        <v>2864</v>
      </c>
      <c r="R432" s="241"/>
      <c r="S432" s="240" t="s">
        <v>5216</v>
      </c>
      <c r="T432" s="242" t="s">
        <v>5217</v>
      </c>
      <c r="U432" s="239" t="s">
        <v>2823</v>
      </c>
      <c r="V432" s="251"/>
    </row>
    <row r="433" spans="1:22" ht="30" customHeight="1">
      <c r="A433" s="239" t="s">
        <v>5205</v>
      </c>
      <c r="B433" s="239" t="s">
        <v>5206</v>
      </c>
      <c r="C433" s="240" t="s">
        <v>5207</v>
      </c>
      <c r="D433" s="239" t="s">
        <v>74</v>
      </c>
      <c r="E433" s="241"/>
      <c r="F433" s="239"/>
      <c r="G433" s="241"/>
      <c r="H433" s="241">
        <v>40</v>
      </c>
      <c r="I433" s="240" t="s">
        <v>5218</v>
      </c>
      <c r="J433" s="240"/>
      <c r="K433" s="240"/>
      <c r="L433" s="240"/>
      <c r="M433" s="240" t="s">
        <v>5219</v>
      </c>
      <c r="N433" s="240" t="s">
        <v>5220</v>
      </c>
      <c r="O433" s="240" t="s">
        <v>5221</v>
      </c>
      <c r="P433" s="240" t="s">
        <v>5222</v>
      </c>
      <c r="Q433" s="239" t="s">
        <v>2864</v>
      </c>
      <c r="R433" s="241"/>
      <c r="S433" s="240" t="s">
        <v>5223</v>
      </c>
      <c r="T433" s="242" t="s">
        <v>5224</v>
      </c>
      <c r="U433" s="239" t="s">
        <v>2823</v>
      </c>
      <c r="V433" s="251"/>
    </row>
    <row r="434" spans="1:22" ht="30" customHeight="1">
      <c r="A434" s="239" t="s">
        <v>5205</v>
      </c>
      <c r="B434" s="239" t="s">
        <v>5206</v>
      </c>
      <c r="C434" s="240" t="s">
        <v>5207</v>
      </c>
      <c r="D434" s="239" t="s">
        <v>74</v>
      </c>
      <c r="E434" s="241"/>
      <c r="F434" s="239"/>
      <c r="G434" s="241"/>
      <c r="H434" s="241">
        <v>40</v>
      </c>
      <c r="I434" s="240" t="s">
        <v>5225</v>
      </c>
      <c r="J434" s="240"/>
      <c r="K434" s="240"/>
      <c r="L434" s="240"/>
      <c r="M434" s="240" t="s">
        <v>5226</v>
      </c>
      <c r="N434" s="240" t="s">
        <v>5227</v>
      </c>
      <c r="O434" s="240" t="s">
        <v>5228</v>
      </c>
      <c r="P434" s="240" t="s">
        <v>5229</v>
      </c>
      <c r="Q434" s="239" t="s">
        <v>2864</v>
      </c>
      <c r="R434" s="241"/>
      <c r="S434" s="240" t="s">
        <v>5230</v>
      </c>
      <c r="T434" s="242" t="s">
        <v>5231</v>
      </c>
      <c r="U434" s="239" t="s">
        <v>2823</v>
      </c>
      <c r="V434" s="251"/>
    </row>
    <row r="435" spans="1:22" ht="30" customHeight="1">
      <c r="A435" s="239" t="s">
        <v>5205</v>
      </c>
      <c r="B435" s="239" t="s">
        <v>5206</v>
      </c>
      <c r="C435" s="240" t="s">
        <v>5207</v>
      </c>
      <c r="D435" s="239" t="s">
        <v>74</v>
      </c>
      <c r="E435" s="241"/>
      <c r="F435" s="239"/>
      <c r="G435" s="241"/>
      <c r="H435" s="241">
        <v>40</v>
      </c>
      <c r="I435" s="240" t="s">
        <v>5232</v>
      </c>
      <c r="J435" s="240"/>
      <c r="K435" s="240"/>
      <c r="L435" s="240"/>
      <c r="M435" s="240" t="s">
        <v>5226</v>
      </c>
      <c r="N435" s="240" t="s">
        <v>5233</v>
      </c>
      <c r="O435" s="240" t="s">
        <v>5234</v>
      </c>
      <c r="P435" s="240" t="s">
        <v>5235</v>
      </c>
      <c r="Q435" s="239" t="s">
        <v>2864</v>
      </c>
      <c r="R435" s="241"/>
      <c r="S435" s="240" t="s">
        <v>5236</v>
      </c>
      <c r="T435" s="242" t="s">
        <v>5237</v>
      </c>
      <c r="U435" s="239" t="s">
        <v>2823</v>
      </c>
      <c r="V435" s="251"/>
    </row>
    <row r="436" spans="1:22" ht="30" customHeight="1">
      <c r="A436" s="239" t="s">
        <v>5205</v>
      </c>
      <c r="B436" s="239" t="s">
        <v>5206</v>
      </c>
      <c r="C436" s="240" t="s">
        <v>5207</v>
      </c>
      <c r="D436" s="239" t="s">
        <v>74</v>
      </c>
      <c r="E436" s="241"/>
      <c r="F436" s="239"/>
      <c r="G436" s="241"/>
      <c r="H436" s="241">
        <v>40</v>
      </c>
      <c r="I436" s="240" t="s">
        <v>5238</v>
      </c>
      <c r="J436" s="240"/>
      <c r="K436" s="240"/>
      <c r="L436" s="240"/>
      <c r="M436" s="240" t="s">
        <v>5239</v>
      </c>
      <c r="N436" s="240" t="s">
        <v>5240</v>
      </c>
      <c r="O436" s="240" t="s">
        <v>5241</v>
      </c>
      <c r="P436" s="240" t="s">
        <v>5242</v>
      </c>
      <c r="Q436" s="239" t="s">
        <v>2864</v>
      </c>
      <c r="R436" s="241"/>
      <c r="S436" s="240" t="s">
        <v>5243</v>
      </c>
      <c r="T436" s="242" t="s">
        <v>5244</v>
      </c>
      <c r="U436" s="239" t="s">
        <v>2823</v>
      </c>
      <c r="V436" s="251"/>
    </row>
    <row r="437" spans="1:22" ht="30" customHeight="1">
      <c r="A437" s="239" t="s">
        <v>5205</v>
      </c>
      <c r="B437" s="239" t="s">
        <v>5206</v>
      </c>
      <c r="C437" s="240" t="s">
        <v>5207</v>
      </c>
      <c r="D437" s="239" t="s">
        <v>74</v>
      </c>
      <c r="E437" s="241"/>
      <c r="F437" s="239"/>
      <c r="G437" s="241"/>
      <c r="H437" s="241">
        <v>40</v>
      </c>
      <c r="I437" s="240" t="s">
        <v>5245</v>
      </c>
      <c r="J437" s="240"/>
      <c r="K437" s="240"/>
      <c r="L437" s="240"/>
      <c r="M437" s="240" t="s">
        <v>5239</v>
      </c>
      <c r="N437" s="240" t="s">
        <v>5246</v>
      </c>
      <c r="O437" s="240" t="s">
        <v>5247</v>
      </c>
      <c r="P437" s="240" t="s">
        <v>5248</v>
      </c>
      <c r="Q437" s="239" t="s">
        <v>2864</v>
      </c>
      <c r="R437" s="241"/>
      <c r="S437" s="240" t="s">
        <v>5249</v>
      </c>
      <c r="T437" s="242" t="s">
        <v>5250</v>
      </c>
      <c r="U437" s="239" t="s">
        <v>2823</v>
      </c>
      <c r="V437" s="251"/>
    </row>
    <row r="438" spans="1:22" ht="30" customHeight="1">
      <c r="A438" s="239" t="s">
        <v>5205</v>
      </c>
      <c r="B438" s="239" t="s">
        <v>5206</v>
      </c>
      <c r="C438" s="240" t="s">
        <v>5207</v>
      </c>
      <c r="D438" s="239" t="s">
        <v>74</v>
      </c>
      <c r="E438" s="241"/>
      <c r="F438" s="239"/>
      <c r="G438" s="241"/>
      <c r="H438" s="241">
        <v>40</v>
      </c>
      <c r="I438" s="240" t="s">
        <v>5251</v>
      </c>
      <c r="J438" s="240"/>
      <c r="K438" s="240"/>
      <c r="L438" s="240"/>
      <c r="M438" s="240" t="s">
        <v>5239</v>
      </c>
      <c r="N438" s="240" t="s">
        <v>5252</v>
      </c>
      <c r="O438" s="240" t="s">
        <v>5253</v>
      </c>
      <c r="P438" s="240" t="s">
        <v>5254</v>
      </c>
      <c r="Q438" s="239" t="s">
        <v>2864</v>
      </c>
      <c r="R438" s="241"/>
      <c r="S438" s="240" t="s">
        <v>5255</v>
      </c>
      <c r="T438" s="242" t="s">
        <v>5256</v>
      </c>
      <c r="U438" s="239" t="s">
        <v>2823</v>
      </c>
      <c r="V438" s="251"/>
    </row>
    <row r="439" spans="1:22" ht="30" customHeight="1">
      <c r="A439" s="239" t="s">
        <v>5205</v>
      </c>
      <c r="B439" s="239" t="s">
        <v>5206</v>
      </c>
      <c r="C439" s="240" t="s">
        <v>5207</v>
      </c>
      <c r="D439" s="239" t="s">
        <v>74</v>
      </c>
      <c r="E439" s="241"/>
      <c r="F439" s="239"/>
      <c r="G439" s="241"/>
      <c r="H439" s="241">
        <v>40</v>
      </c>
      <c r="I439" s="240" t="s">
        <v>5257</v>
      </c>
      <c r="J439" s="240"/>
      <c r="K439" s="240"/>
      <c r="L439" s="240"/>
      <c r="M439" s="240" t="s">
        <v>5239</v>
      </c>
      <c r="N439" s="240" t="s">
        <v>5258</v>
      </c>
      <c r="O439" s="240" t="s">
        <v>5259</v>
      </c>
      <c r="P439" s="240" t="s">
        <v>5260</v>
      </c>
      <c r="Q439" s="239" t="s">
        <v>2864</v>
      </c>
      <c r="R439" s="241"/>
      <c r="S439" s="240" t="s">
        <v>5261</v>
      </c>
      <c r="T439" s="242" t="s">
        <v>5262</v>
      </c>
      <c r="U439" s="239" t="s">
        <v>2823</v>
      </c>
      <c r="V439" s="251"/>
    </row>
    <row r="440" spans="1:22" ht="30" customHeight="1">
      <c r="A440" s="239" t="s">
        <v>5205</v>
      </c>
      <c r="B440" s="239" t="s">
        <v>5206</v>
      </c>
      <c r="C440" s="240" t="s">
        <v>5207</v>
      </c>
      <c r="D440" s="239" t="s">
        <v>74</v>
      </c>
      <c r="E440" s="241"/>
      <c r="F440" s="239"/>
      <c r="G440" s="241"/>
      <c r="H440" s="241">
        <v>40</v>
      </c>
      <c r="I440" s="240" t="s">
        <v>5263</v>
      </c>
      <c r="J440" s="240"/>
      <c r="K440" s="240"/>
      <c r="L440" s="240"/>
      <c r="M440" s="240" t="s">
        <v>5264</v>
      </c>
      <c r="N440" s="240" t="s">
        <v>5265</v>
      </c>
      <c r="O440" s="240" t="s">
        <v>5266</v>
      </c>
      <c r="P440" s="240" t="s">
        <v>5267</v>
      </c>
      <c r="Q440" s="239" t="s">
        <v>2864</v>
      </c>
      <c r="R440" s="241"/>
      <c r="S440" s="240" t="s">
        <v>5268</v>
      </c>
      <c r="T440" s="242" t="s">
        <v>5269</v>
      </c>
      <c r="U440" s="239" t="s">
        <v>2823</v>
      </c>
      <c r="V440" s="251"/>
    </row>
    <row r="441" spans="1:22" ht="30" customHeight="1">
      <c r="A441" s="239" t="s">
        <v>5205</v>
      </c>
      <c r="B441" s="239" t="s">
        <v>5206</v>
      </c>
      <c r="C441" s="240" t="s">
        <v>5207</v>
      </c>
      <c r="D441" s="239" t="s">
        <v>74</v>
      </c>
      <c r="E441" s="241"/>
      <c r="F441" s="239"/>
      <c r="G441" s="241"/>
      <c r="H441" s="241">
        <v>40</v>
      </c>
      <c r="I441" s="240" t="s">
        <v>5270</v>
      </c>
      <c r="J441" s="240"/>
      <c r="K441" s="240"/>
      <c r="L441" s="240"/>
      <c r="M441" s="240" t="s">
        <v>5239</v>
      </c>
      <c r="N441" s="240" t="s">
        <v>5271</v>
      </c>
      <c r="O441" s="240" t="s">
        <v>5272</v>
      </c>
      <c r="P441" s="240" t="s">
        <v>5273</v>
      </c>
      <c r="Q441" s="239" t="s">
        <v>2864</v>
      </c>
      <c r="R441" s="241"/>
      <c r="S441" s="240" t="s">
        <v>5274</v>
      </c>
      <c r="T441" s="242" t="s">
        <v>5275</v>
      </c>
      <c r="U441" s="239" t="s">
        <v>2823</v>
      </c>
      <c r="V441" s="251"/>
    </row>
    <row r="442" spans="1:22" ht="30" customHeight="1">
      <c r="A442" s="239" t="s">
        <v>5205</v>
      </c>
      <c r="B442" s="239" t="s">
        <v>5206</v>
      </c>
      <c r="C442" s="240" t="s">
        <v>5207</v>
      </c>
      <c r="D442" s="239" t="s">
        <v>74</v>
      </c>
      <c r="E442" s="241"/>
      <c r="F442" s="239"/>
      <c r="G442" s="241"/>
      <c r="H442" s="241">
        <v>40</v>
      </c>
      <c r="I442" s="240" t="s">
        <v>5276</v>
      </c>
      <c r="J442" s="240"/>
      <c r="K442" s="240"/>
      <c r="L442" s="240"/>
      <c r="M442" s="240" t="s">
        <v>5239</v>
      </c>
      <c r="N442" s="240" t="s">
        <v>5277</v>
      </c>
      <c r="O442" s="240" t="s">
        <v>5278</v>
      </c>
      <c r="P442" s="240" t="s">
        <v>5279</v>
      </c>
      <c r="Q442" s="239" t="s">
        <v>2864</v>
      </c>
      <c r="R442" s="241"/>
      <c r="S442" s="240" t="s">
        <v>5280</v>
      </c>
      <c r="T442" s="242" t="s">
        <v>5281</v>
      </c>
      <c r="U442" s="239" t="s">
        <v>2823</v>
      </c>
      <c r="V442" s="251"/>
    </row>
    <row r="443" spans="1:22" ht="30" customHeight="1">
      <c r="A443" s="239" t="s">
        <v>5205</v>
      </c>
      <c r="B443" s="239" t="s">
        <v>5206</v>
      </c>
      <c r="C443" s="240" t="s">
        <v>5207</v>
      </c>
      <c r="D443" s="239" t="s">
        <v>74</v>
      </c>
      <c r="E443" s="241"/>
      <c r="F443" s="239"/>
      <c r="G443" s="241"/>
      <c r="H443" s="241">
        <v>40</v>
      </c>
      <c r="I443" s="240" t="s">
        <v>5282</v>
      </c>
      <c r="J443" s="240"/>
      <c r="K443" s="240"/>
      <c r="L443" s="240"/>
      <c r="M443" s="240" t="s">
        <v>5239</v>
      </c>
      <c r="N443" s="240" t="s">
        <v>5283</v>
      </c>
      <c r="O443" s="240" t="s">
        <v>5284</v>
      </c>
      <c r="P443" s="240" t="s">
        <v>5285</v>
      </c>
      <c r="Q443" s="239" t="s">
        <v>2864</v>
      </c>
      <c r="R443" s="241"/>
      <c r="S443" s="240" t="s">
        <v>5286</v>
      </c>
      <c r="T443" s="242" t="s">
        <v>5287</v>
      </c>
      <c r="U443" s="239" t="s">
        <v>2823</v>
      </c>
      <c r="V443" s="251"/>
    </row>
    <row r="444" spans="1:22" ht="30" customHeight="1">
      <c r="A444" s="239" t="s">
        <v>5205</v>
      </c>
      <c r="B444" s="239" t="s">
        <v>5206</v>
      </c>
      <c r="C444" s="240" t="s">
        <v>5207</v>
      </c>
      <c r="D444" s="239" t="s">
        <v>74</v>
      </c>
      <c r="E444" s="241"/>
      <c r="F444" s="239"/>
      <c r="G444" s="241"/>
      <c r="H444" s="241">
        <v>40</v>
      </c>
      <c r="I444" s="240" t="s">
        <v>5288</v>
      </c>
      <c r="J444" s="240"/>
      <c r="K444" s="240"/>
      <c r="L444" s="240"/>
      <c r="M444" s="240" t="s">
        <v>5239</v>
      </c>
      <c r="N444" s="240" t="s">
        <v>5289</v>
      </c>
      <c r="O444" s="240" t="s">
        <v>5290</v>
      </c>
      <c r="P444" s="240" t="s">
        <v>5291</v>
      </c>
      <c r="Q444" s="239" t="s">
        <v>2864</v>
      </c>
      <c r="R444" s="241"/>
      <c r="S444" s="240" t="s">
        <v>5292</v>
      </c>
      <c r="T444" s="242" t="s">
        <v>5293</v>
      </c>
      <c r="U444" s="239" t="s">
        <v>2823</v>
      </c>
      <c r="V444" s="251"/>
    </row>
    <row r="445" spans="1:22" ht="30" customHeight="1">
      <c r="A445" s="239" t="s">
        <v>5205</v>
      </c>
      <c r="B445" s="239" t="s">
        <v>5206</v>
      </c>
      <c r="C445" s="240" t="s">
        <v>5207</v>
      </c>
      <c r="D445" s="239" t="s">
        <v>74</v>
      </c>
      <c r="E445" s="241"/>
      <c r="F445" s="239"/>
      <c r="G445" s="241"/>
      <c r="H445" s="241">
        <v>40</v>
      </c>
      <c r="I445" s="240" t="s">
        <v>5294</v>
      </c>
      <c r="J445" s="240"/>
      <c r="K445" s="240"/>
      <c r="L445" s="240"/>
      <c r="M445" s="240" t="s">
        <v>5264</v>
      </c>
      <c r="N445" s="240" t="s">
        <v>5295</v>
      </c>
      <c r="O445" s="240" t="s">
        <v>5296</v>
      </c>
      <c r="P445" s="240" t="s">
        <v>5297</v>
      </c>
      <c r="Q445" s="239" t="s">
        <v>2864</v>
      </c>
      <c r="R445" s="241"/>
      <c r="S445" s="240" t="s">
        <v>5298</v>
      </c>
      <c r="T445" s="242" t="s">
        <v>5299</v>
      </c>
      <c r="U445" s="239" t="s">
        <v>2823</v>
      </c>
      <c r="V445" s="251"/>
    </row>
    <row r="446" spans="1:22" ht="30" customHeight="1">
      <c r="A446" s="239" t="s">
        <v>5205</v>
      </c>
      <c r="B446" s="239" t="s">
        <v>5206</v>
      </c>
      <c r="C446" s="240" t="s">
        <v>5207</v>
      </c>
      <c r="D446" s="239" t="s">
        <v>74</v>
      </c>
      <c r="E446" s="241"/>
      <c r="F446" s="239"/>
      <c r="G446" s="241"/>
      <c r="H446" s="241">
        <v>40</v>
      </c>
      <c r="I446" s="240" t="s">
        <v>5300</v>
      </c>
      <c r="J446" s="240"/>
      <c r="K446" s="240"/>
      <c r="L446" s="240"/>
      <c r="M446" s="240" t="s">
        <v>5301</v>
      </c>
      <c r="N446" s="240" t="s">
        <v>5302</v>
      </c>
      <c r="O446" s="240" t="s">
        <v>5303</v>
      </c>
      <c r="P446" s="240" t="s">
        <v>5304</v>
      </c>
      <c r="Q446" s="239" t="s">
        <v>2864</v>
      </c>
      <c r="R446" s="241"/>
      <c r="S446" s="240" t="s">
        <v>5305</v>
      </c>
      <c r="T446" s="242" t="s">
        <v>5306</v>
      </c>
      <c r="U446" s="239" t="s">
        <v>2823</v>
      </c>
      <c r="V446" s="251"/>
    </row>
    <row r="447" spans="1:22" ht="30" customHeight="1">
      <c r="A447" s="239" t="s">
        <v>5205</v>
      </c>
      <c r="B447" s="239" t="s">
        <v>5206</v>
      </c>
      <c r="C447" s="240" t="s">
        <v>5207</v>
      </c>
      <c r="D447" s="239" t="s">
        <v>74</v>
      </c>
      <c r="E447" s="241"/>
      <c r="F447" s="239"/>
      <c r="G447" s="241"/>
      <c r="H447" s="241">
        <v>40</v>
      </c>
      <c r="I447" s="240" t="s">
        <v>5307</v>
      </c>
      <c r="J447" s="240"/>
      <c r="K447" s="240"/>
      <c r="L447" s="240"/>
      <c r="M447" s="240" t="s">
        <v>5301</v>
      </c>
      <c r="N447" s="240" t="s">
        <v>5308</v>
      </c>
      <c r="O447" s="240" t="s">
        <v>5309</v>
      </c>
      <c r="P447" s="240" t="s">
        <v>5310</v>
      </c>
      <c r="Q447" s="239" t="s">
        <v>2864</v>
      </c>
      <c r="R447" s="241"/>
      <c r="S447" s="240" t="s">
        <v>5311</v>
      </c>
      <c r="T447" s="242" t="s">
        <v>5312</v>
      </c>
      <c r="U447" s="239" t="s">
        <v>2823</v>
      </c>
      <c r="V447" s="251"/>
    </row>
    <row r="448" spans="1:22" ht="30" customHeight="1">
      <c r="A448" s="239" t="s">
        <v>5205</v>
      </c>
      <c r="B448" s="239" t="s">
        <v>5206</v>
      </c>
      <c r="C448" s="240" t="s">
        <v>5207</v>
      </c>
      <c r="D448" s="239" t="s">
        <v>74</v>
      </c>
      <c r="E448" s="241"/>
      <c r="F448" s="239"/>
      <c r="G448" s="241"/>
      <c r="H448" s="241">
        <v>40</v>
      </c>
      <c r="I448" s="240" t="s">
        <v>5313</v>
      </c>
      <c r="J448" s="240"/>
      <c r="K448" s="240"/>
      <c r="L448" s="240"/>
      <c r="M448" s="240" t="s">
        <v>5301</v>
      </c>
      <c r="N448" s="240" t="s">
        <v>5314</v>
      </c>
      <c r="O448" s="240" t="s">
        <v>5315</v>
      </c>
      <c r="P448" s="240" t="s">
        <v>5316</v>
      </c>
      <c r="Q448" s="239" t="s">
        <v>2864</v>
      </c>
      <c r="R448" s="241"/>
      <c r="S448" s="240" t="s">
        <v>5317</v>
      </c>
      <c r="T448" s="242" t="s">
        <v>5315</v>
      </c>
      <c r="U448" s="239" t="s">
        <v>2823</v>
      </c>
      <c r="V448" s="251"/>
    </row>
    <row r="449" spans="1:22" ht="30" customHeight="1">
      <c r="A449" s="239" t="s">
        <v>5205</v>
      </c>
      <c r="B449" s="239" t="s">
        <v>5206</v>
      </c>
      <c r="C449" s="240" t="s">
        <v>5207</v>
      </c>
      <c r="D449" s="239" t="s">
        <v>74</v>
      </c>
      <c r="E449" s="241"/>
      <c r="F449" s="239"/>
      <c r="G449" s="241"/>
      <c r="H449" s="241">
        <v>40</v>
      </c>
      <c r="I449" s="240" t="s">
        <v>5318</v>
      </c>
      <c r="J449" s="240"/>
      <c r="K449" s="240"/>
      <c r="L449" s="240"/>
      <c r="M449" s="240" t="s">
        <v>5301</v>
      </c>
      <c r="N449" s="240" t="s">
        <v>5319</v>
      </c>
      <c r="O449" s="240" t="s">
        <v>5320</v>
      </c>
      <c r="P449" s="240" t="s">
        <v>5321</v>
      </c>
      <c r="Q449" s="239" t="s">
        <v>2864</v>
      </c>
      <c r="R449" s="241"/>
      <c r="S449" s="240" t="s">
        <v>5322</v>
      </c>
      <c r="T449" s="242" t="s">
        <v>5323</v>
      </c>
      <c r="U449" s="239" t="s">
        <v>2823</v>
      </c>
      <c r="V449" s="251"/>
    </row>
    <row r="450" spans="1:22" ht="30" customHeight="1">
      <c r="A450" s="239" t="s">
        <v>5205</v>
      </c>
      <c r="B450" s="239" t="s">
        <v>5206</v>
      </c>
      <c r="C450" s="240" t="s">
        <v>5207</v>
      </c>
      <c r="D450" s="239" t="s">
        <v>74</v>
      </c>
      <c r="E450" s="241"/>
      <c r="F450" s="239"/>
      <c r="G450" s="241"/>
      <c r="H450" s="241">
        <v>40</v>
      </c>
      <c r="I450" s="240" t="s">
        <v>5324</v>
      </c>
      <c r="J450" s="240"/>
      <c r="K450" s="240"/>
      <c r="L450" s="240"/>
      <c r="M450" s="240" t="s">
        <v>5325</v>
      </c>
      <c r="N450" s="240" t="s">
        <v>5326</v>
      </c>
      <c r="O450" s="240" t="s">
        <v>5327</v>
      </c>
      <c r="P450" s="240" t="s">
        <v>5328</v>
      </c>
      <c r="Q450" s="239" t="s">
        <v>2864</v>
      </c>
      <c r="R450" s="241"/>
      <c r="S450" s="240" t="s">
        <v>5329</v>
      </c>
      <c r="T450" s="242" t="s">
        <v>5330</v>
      </c>
      <c r="U450" s="239" t="s">
        <v>2823</v>
      </c>
      <c r="V450" s="251"/>
    </row>
    <row r="451" spans="1:22" ht="30" customHeight="1">
      <c r="A451" s="239" t="s">
        <v>5205</v>
      </c>
      <c r="B451" s="239" t="s">
        <v>5206</v>
      </c>
      <c r="C451" s="240" t="s">
        <v>5207</v>
      </c>
      <c r="D451" s="239" t="s">
        <v>74</v>
      </c>
      <c r="E451" s="241"/>
      <c r="F451" s="239"/>
      <c r="G451" s="241"/>
      <c r="H451" s="241">
        <v>40</v>
      </c>
      <c r="I451" s="240" t="s">
        <v>5331</v>
      </c>
      <c r="J451" s="240"/>
      <c r="K451" s="240"/>
      <c r="L451" s="240"/>
      <c r="M451" s="240" t="s">
        <v>5325</v>
      </c>
      <c r="N451" s="240" t="s">
        <v>5332</v>
      </c>
      <c r="O451" s="240" t="s">
        <v>5333</v>
      </c>
      <c r="P451" s="240" t="s">
        <v>5334</v>
      </c>
      <c r="Q451" s="239" t="s">
        <v>2864</v>
      </c>
      <c r="R451" s="241"/>
      <c r="S451" s="240" t="s">
        <v>5335</v>
      </c>
      <c r="T451" s="242" t="s">
        <v>5333</v>
      </c>
      <c r="U451" s="239" t="s">
        <v>2823</v>
      </c>
      <c r="V451" s="251"/>
    </row>
    <row r="452" spans="1:22" ht="30" customHeight="1">
      <c r="A452" s="239" t="s">
        <v>5205</v>
      </c>
      <c r="B452" s="239" t="s">
        <v>5206</v>
      </c>
      <c r="C452" s="240" t="s">
        <v>5207</v>
      </c>
      <c r="D452" s="239" t="s">
        <v>74</v>
      </c>
      <c r="E452" s="241"/>
      <c r="F452" s="239"/>
      <c r="G452" s="241"/>
      <c r="H452" s="241">
        <v>40</v>
      </c>
      <c r="I452" s="240" t="s">
        <v>5336</v>
      </c>
      <c r="J452" s="240"/>
      <c r="K452" s="240"/>
      <c r="L452" s="240"/>
      <c r="M452" s="240" t="s">
        <v>5325</v>
      </c>
      <c r="N452" s="240" t="s">
        <v>5337</v>
      </c>
      <c r="O452" s="240" t="s">
        <v>5338</v>
      </c>
      <c r="P452" s="240" t="s">
        <v>5339</v>
      </c>
      <c r="Q452" s="239" t="s">
        <v>2864</v>
      </c>
      <c r="R452" s="241"/>
      <c r="S452" s="240" t="s">
        <v>5340</v>
      </c>
      <c r="T452" s="242" t="s">
        <v>5341</v>
      </c>
      <c r="U452" s="239" t="s">
        <v>2823</v>
      </c>
      <c r="V452" s="251"/>
    </row>
    <row r="453" spans="1:22" ht="30" customHeight="1">
      <c r="A453" s="239" t="s">
        <v>5205</v>
      </c>
      <c r="B453" s="239" t="s">
        <v>5206</v>
      </c>
      <c r="C453" s="240" t="s">
        <v>5207</v>
      </c>
      <c r="D453" s="239" t="s">
        <v>74</v>
      </c>
      <c r="E453" s="241"/>
      <c r="F453" s="239"/>
      <c r="G453" s="241"/>
      <c r="H453" s="241">
        <v>40</v>
      </c>
      <c r="I453" s="240" t="s">
        <v>5342</v>
      </c>
      <c r="J453" s="240"/>
      <c r="K453" s="240"/>
      <c r="L453" s="240"/>
      <c r="M453" s="240" t="s">
        <v>5325</v>
      </c>
      <c r="N453" s="240" t="s">
        <v>5343</v>
      </c>
      <c r="O453" s="240" t="s">
        <v>5344</v>
      </c>
      <c r="P453" s="240" t="s">
        <v>5345</v>
      </c>
      <c r="Q453" s="239" t="s">
        <v>2864</v>
      </c>
      <c r="R453" s="241"/>
      <c r="S453" s="240" t="s">
        <v>5346</v>
      </c>
      <c r="T453" s="242" t="s">
        <v>5347</v>
      </c>
      <c r="U453" s="239" t="s">
        <v>2823</v>
      </c>
      <c r="V453" s="251"/>
    </row>
    <row r="454" spans="1:22" ht="30" customHeight="1">
      <c r="A454" s="239" t="s">
        <v>5205</v>
      </c>
      <c r="B454" s="239" t="s">
        <v>5206</v>
      </c>
      <c r="C454" s="240" t="s">
        <v>5207</v>
      </c>
      <c r="D454" s="239" t="s">
        <v>74</v>
      </c>
      <c r="E454" s="241"/>
      <c r="F454" s="239"/>
      <c r="G454" s="241"/>
      <c r="H454" s="241">
        <v>40</v>
      </c>
      <c r="I454" s="240" t="s">
        <v>5348</v>
      </c>
      <c r="J454" s="240"/>
      <c r="K454" s="240"/>
      <c r="L454" s="240"/>
      <c r="M454" s="240" t="s">
        <v>3497</v>
      </c>
      <c r="N454" s="240" t="s">
        <v>5349</v>
      </c>
      <c r="O454" s="240" t="s">
        <v>5350</v>
      </c>
      <c r="P454" s="240" t="s">
        <v>5351</v>
      </c>
      <c r="Q454" s="239" t="s">
        <v>2864</v>
      </c>
      <c r="R454" s="241"/>
      <c r="S454" s="240" t="s">
        <v>5352</v>
      </c>
      <c r="T454" s="242" t="s">
        <v>5353</v>
      </c>
      <c r="U454" s="239" t="s">
        <v>2823</v>
      </c>
      <c r="V454" s="251"/>
    </row>
    <row r="455" spans="1:22" ht="30" customHeight="1">
      <c r="A455" s="239" t="s">
        <v>5205</v>
      </c>
      <c r="B455" s="239" t="s">
        <v>5206</v>
      </c>
      <c r="C455" s="240" t="s">
        <v>5207</v>
      </c>
      <c r="D455" s="239" t="s">
        <v>74</v>
      </c>
      <c r="E455" s="241"/>
      <c r="F455" s="239"/>
      <c r="G455" s="241"/>
      <c r="H455" s="241">
        <v>40</v>
      </c>
      <c r="I455" s="240" t="s">
        <v>5354</v>
      </c>
      <c r="J455" s="240"/>
      <c r="K455" s="240"/>
      <c r="L455" s="240"/>
      <c r="M455" s="240" t="s">
        <v>3497</v>
      </c>
      <c r="N455" s="240" t="s">
        <v>5355</v>
      </c>
      <c r="O455" s="240" t="s">
        <v>5356</v>
      </c>
      <c r="P455" s="240" t="s">
        <v>5357</v>
      </c>
      <c r="Q455" s="239" t="s">
        <v>2864</v>
      </c>
      <c r="R455" s="241"/>
      <c r="S455" s="240" t="s">
        <v>5358</v>
      </c>
      <c r="T455" s="242" t="s">
        <v>5359</v>
      </c>
      <c r="U455" s="239" t="s">
        <v>2823</v>
      </c>
      <c r="V455" s="251"/>
    </row>
    <row r="456" spans="1:22" ht="30" customHeight="1">
      <c r="A456" s="239" t="s">
        <v>5205</v>
      </c>
      <c r="B456" s="239" t="s">
        <v>5206</v>
      </c>
      <c r="C456" s="240" t="s">
        <v>5207</v>
      </c>
      <c r="D456" s="239" t="s">
        <v>74</v>
      </c>
      <c r="E456" s="241"/>
      <c r="F456" s="239"/>
      <c r="G456" s="241"/>
      <c r="H456" s="241">
        <v>40</v>
      </c>
      <c r="I456" s="240" t="s">
        <v>5360</v>
      </c>
      <c r="J456" s="240"/>
      <c r="K456" s="240"/>
      <c r="L456" s="240"/>
      <c r="M456" s="240" t="s">
        <v>3497</v>
      </c>
      <c r="N456" s="240" t="s">
        <v>5361</v>
      </c>
      <c r="O456" s="240" t="s">
        <v>5362</v>
      </c>
      <c r="P456" s="240" t="s">
        <v>5363</v>
      </c>
      <c r="Q456" s="239" t="s">
        <v>2864</v>
      </c>
      <c r="R456" s="241"/>
      <c r="S456" s="240" t="s">
        <v>5364</v>
      </c>
      <c r="T456" s="242" t="s">
        <v>5365</v>
      </c>
      <c r="U456" s="239" t="s">
        <v>2823</v>
      </c>
      <c r="V456" s="251"/>
    </row>
    <row r="457" spans="1:22" ht="30" customHeight="1">
      <c r="A457" s="239" t="s">
        <v>5205</v>
      </c>
      <c r="B457" s="239" t="s">
        <v>5206</v>
      </c>
      <c r="C457" s="240" t="s">
        <v>5207</v>
      </c>
      <c r="D457" s="239" t="s">
        <v>74</v>
      </c>
      <c r="E457" s="241"/>
      <c r="F457" s="239"/>
      <c r="G457" s="241"/>
      <c r="H457" s="241">
        <v>40</v>
      </c>
      <c r="I457" s="240" t="s">
        <v>5366</v>
      </c>
      <c r="J457" s="240"/>
      <c r="K457" s="240"/>
      <c r="L457" s="240"/>
      <c r="M457" s="240" t="s">
        <v>3497</v>
      </c>
      <c r="N457" s="240" t="s">
        <v>5367</v>
      </c>
      <c r="O457" s="240" t="s">
        <v>5368</v>
      </c>
      <c r="P457" s="240" t="s">
        <v>5369</v>
      </c>
      <c r="Q457" s="239" t="s">
        <v>2864</v>
      </c>
      <c r="R457" s="241"/>
      <c r="S457" s="240" t="s">
        <v>5370</v>
      </c>
      <c r="T457" s="242" t="s">
        <v>5371</v>
      </c>
      <c r="U457" s="239" t="s">
        <v>2823</v>
      </c>
      <c r="V457" s="251"/>
    </row>
    <row r="458" spans="1:22" ht="30" customHeight="1">
      <c r="A458" s="239" t="s">
        <v>5205</v>
      </c>
      <c r="B458" s="239" t="s">
        <v>5206</v>
      </c>
      <c r="C458" s="240" t="s">
        <v>5207</v>
      </c>
      <c r="D458" s="239" t="s">
        <v>74</v>
      </c>
      <c r="E458" s="241"/>
      <c r="F458" s="239"/>
      <c r="G458" s="241"/>
      <c r="H458" s="241">
        <v>40</v>
      </c>
      <c r="I458" s="240" t="s">
        <v>5372</v>
      </c>
      <c r="J458" s="240"/>
      <c r="K458" s="240"/>
      <c r="L458" s="240"/>
      <c r="M458" s="240" t="s">
        <v>3497</v>
      </c>
      <c r="N458" s="240" t="s">
        <v>5373</v>
      </c>
      <c r="O458" s="240" t="s">
        <v>5374</v>
      </c>
      <c r="P458" s="240" t="s">
        <v>5375</v>
      </c>
      <c r="Q458" s="239" t="s">
        <v>2864</v>
      </c>
      <c r="R458" s="241"/>
      <c r="S458" s="240" t="s">
        <v>5376</v>
      </c>
      <c r="T458" s="242" t="s">
        <v>5377</v>
      </c>
      <c r="U458" s="239" t="s">
        <v>2823</v>
      </c>
      <c r="V458" s="251"/>
    </row>
    <row r="459" spans="1:22" ht="30" customHeight="1">
      <c r="A459" s="239" t="s">
        <v>5205</v>
      </c>
      <c r="B459" s="239" t="s">
        <v>5206</v>
      </c>
      <c r="C459" s="240" t="s">
        <v>5207</v>
      </c>
      <c r="D459" s="239" t="s">
        <v>74</v>
      </c>
      <c r="E459" s="241"/>
      <c r="F459" s="239"/>
      <c r="G459" s="241"/>
      <c r="H459" s="241">
        <v>40</v>
      </c>
      <c r="I459" s="240" t="s">
        <v>5378</v>
      </c>
      <c r="J459" s="240"/>
      <c r="K459" s="240"/>
      <c r="L459" s="240"/>
      <c r="M459" s="240" t="s">
        <v>3497</v>
      </c>
      <c r="N459" s="240" t="s">
        <v>5379</v>
      </c>
      <c r="O459" s="240" t="s">
        <v>5380</v>
      </c>
      <c r="P459" s="240" t="s">
        <v>5381</v>
      </c>
      <c r="Q459" s="239" t="s">
        <v>2864</v>
      </c>
      <c r="R459" s="241"/>
      <c r="S459" s="240" t="s">
        <v>5382</v>
      </c>
      <c r="T459" s="242" t="s">
        <v>5383</v>
      </c>
      <c r="U459" s="239" t="s">
        <v>2823</v>
      </c>
      <c r="V459" s="251"/>
    </row>
    <row r="460" spans="1:22" ht="30" customHeight="1">
      <c r="A460" s="239" t="s">
        <v>5205</v>
      </c>
      <c r="B460" s="239" t="s">
        <v>5206</v>
      </c>
      <c r="C460" s="240" t="s">
        <v>5207</v>
      </c>
      <c r="D460" s="239" t="s">
        <v>74</v>
      </c>
      <c r="E460" s="241"/>
      <c r="F460" s="239"/>
      <c r="G460" s="241"/>
      <c r="H460" s="241">
        <v>40</v>
      </c>
      <c r="I460" s="240" t="s">
        <v>5384</v>
      </c>
      <c r="J460" s="240"/>
      <c r="K460" s="240"/>
      <c r="L460" s="240"/>
      <c r="M460" s="240" t="s">
        <v>3497</v>
      </c>
      <c r="N460" s="240" t="s">
        <v>5385</v>
      </c>
      <c r="O460" s="240" t="s">
        <v>5386</v>
      </c>
      <c r="P460" s="240" t="s">
        <v>5387</v>
      </c>
      <c r="Q460" s="239" t="s">
        <v>2864</v>
      </c>
      <c r="R460" s="241"/>
      <c r="S460" s="240" t="s">
        <v>5388</v>
      </c>
      <c r="T460" s="242" t="s">
        <v>5389</v>
      </c>
      <c r="U460" s="239" t="s">
        <v>2823</v>
      </c>
      <c r="V460" s="251"/>
    </row>
    <row r="461" spans="1:22" ht="30" customHeight="1">
      <c r="A461" s="239" t="s">
        <v>5205</v>
      </c>
      <c r="B461" s="239" t="s">
        <v>5206</v>
      </c>
      <c r="C461" s="240" t="s">
        <v>5207</v>
      </c>
      <c r="D461" s="239" t="s">
        <v>74</v>
      </c>
      <c r="E461" s="241"/>
      <c r="F461" s="239"/>
      <c r="G461" s="241"/>
      <c r="H461" s="241">
        <v>40</v>
      </c>
      <c r="I461" s="240" t="s">
        <v>5390</v>
      </c>
      <c r="J461" s="240"/>
      <c r="K461" s="240"/>
      <c r="L461" s="240"/>
      <c r="M461" s="240" t="s">
        <v>3497</v>
      </c>
      <c r="N461" s="240" t="s">
        <v>5391</v>
      </c>
      <c r="O461" s="240" t="s">
        <v>5392</v>
      </c>
      <c r="P461" s="240" t="s">
        <v>5393</v>
      </c>
      <c r="Q461" s="239" t="s">
        <v>2864</v>
      </c>
      <c r="R461" s="241"/>
      <c r="S461" s="240" t="s">
        <v>5394</v>
      </c>
      <c r="T461" s="242" t="s">
        <v>5395</v>
      </c>
      <c r="U461" s="239" t="s">
        <v>2823</v>
      </c>
      <c r="V461" s="251"/>
    </row>
    <row r="462" spans="1:22" ht="30" customHeight="1">
      <c r="A462" s="239" t="s">
        <v>5205</v>
      </c>
      <c r="B462" s="239" t="s">
        <v>5206</v>
      </c>
      <c r="C462" s="240" t="s">
        <v>5207</v>
      </c>
      <c r="D462" s="239" t="s">
        <v>74</v>
      </c>
      <c r="E462" s="241"/>
      <c r="F462" s="239"/>
      <c r="G462" s="241"/>
      <c r="H462" s="241">
        <v>40</v>
      </c>
      <c r="I462" s="240" t="s">
        <v>5396</v>
      </c>
      <c r="J462" s="240"/>
      <c r="K462" s="240"/>
      <c r="L462" s="240"/>
      <c r="M462" s="240" t="s">
        <v>3497</v>
      </c>
      <c r="N462" s="240" t="s">
        <v>5397</v>
      </c>
      <c r="O462" s="240" t="s">
        <v>5398</v>
      </c>
      <c r="P462" s="240" t="s">
        <v>5399</v>
      </c>
      <c r="Q462" s="239" t="s">
        <v>2864</v>
      </c>
      <c r="R462" s="241"/>
      <c r="S462" s="240" t="s">
        <v>5400</v>
      </c>
      <c r="T462" s="242" t="s">
        <v>5401</v>
      </c>
      <c r="U462" s="239" t="s">
        <v>2823</v>
      </c>
      <c r="V462" s="251"/>
    </row>
    <row r="463" spans="1:22" ht="30" customHeight="1">
      <c r="A463" s="239" t="s">
        <v>5205</v>
      </c>
      <c r="B463" s="239" t="s">
        <v>5206</v>
      </c>
      <c r="C463" s="240" t="s">
        <v>5207</v>
      </c>
      <c r="D463" s="239" t="s">
        <v>74</v>
      </c>
      <c r="E463" s="241"/>
      <c r="F463" s="239"/>
      <c r="G463" s="241"/>
      <c r="H463" s="241">
        <v>40</v>
      </c>
      <c r="I463" s="240" t="s">
        <v>5402</v>
      </c>
      <c r="J463" s="240"/>
      <c r="K463" s="240"/>
      <c r="L463" s="240"/>
      <c r="M463" s="240" t="s">
        <v>3497</v>
      </c>
      <c r="N463" s="240" t="s">
        <v>5403</v>
      </c>
      <c r="O463" s="240" t="s">
        <v>5404</v>
      </c>
      <c r="P463" s="240" t="s">
        <v>5405</v>
      </c>
      <c r="Q463" s="239" t="s">
        <v>2864</v>
      </c>
      <c r="R463" s="241"/>
      <c r="S463" s="240" t="s">
        <v>5406</v>
      </c>
      <c r="T463" s="242" t="s">
        <v>5407</v>
      </c>
      <c r="U463" s="239" t="s">
        <v>2823</v>
      </c>
      <c r="V463" s="251"/>
    </row>
    <row r="464" spans="1:22" ht="30" customHeight="1">
      <c r="A464" s="239" t="s">
        <v>5205</v>
      </c>
      <c r="B464" s="239" t="s">
        <v>5206</v>
      </c>
      <c r="C464" s="240" t="s">
        <v>5207</v>
      </c>
      <c r="D464" s="239" t="s">
        <v>74</v>
      </c>
      <c r="E464" s="241"/>
      <c r="F464" s="239"/>
      <c r="G464" s="241"/>
      <c r="H464" s="241">
        <v>40</v>
      </c>
      <c r="I464" s="240" t="s">
        <v>5408</v>
      </c>
      <c r="J464" s="240"/>
      <c r="K464" s="240"/>
      <c r="L464" s="240"/>
      <c r="M464" s="240" t="s">
        <v>3497</v>
      </c>
      <c r="N464" s="240" t="s">
        <v>5409</v>
      </c>
      <c r="O464" s="240" t="s">
        <v>5410</v>
      </c>
      <c r="P464" s="240" t="s">
        <v>5411</v>
      </c>
      <c r="Q464" s="239" t="s">
        <v>2864</v>
      </c>
      <c r="R464" s="241"/>
      <c r="S464" s="240" t="s">
        <v>5412</v>
      </c>
      <c r="T464" s="242" t="s">
        <v>5410</v>
      </c>
      <c r="U464" s="239" t="s">
        <v>2823</v>
      </c>
      <c r="V464" s="251"/>
    </row>
    <row r="465" spans="1:22" ht="30" customHeight="1">
      <c r="A465" s="239" t="s">
        <v>5205</v>
      </c>
      <c r="B465" s="239" t="s">
        <v>5206</v>
      </c>
      <c r="C465" s="240" t="s">
        <v>5207</v>
      </c>
      <c r="D465" s="239" t="s">
        <v>74</v>
      </c>
      <c r="E465" s="241"/>
      <c r="F465" s="239"/>
      <c r="G465" s="241"/>
      <c r="H465" s="241">
        <v>40</v>
      </c>
      <c r="I465" s="240" t="s">
        <v>5413</v>
      </c>
      <c r="J465" s="240"/>
      <c r="K465" s="240"/>
      <c r="L465" s="240"/>
      <c r="M465" s="240" t="s">
        <v>3497</v>
      </c>
      <c r="N465" s="240" t="s">
        <v>5414</v>
      </c>
      <c r="O465" s="240" t="s">
        <v>5415</v>
      </c>
      <c r="P465" s="240" t="s">
        <v>5416</v>
      </c>
      <c r="Q465" s="239" t="s">
        <v>2864</v>
      </c>
      <c r="R465" s="241"/>
      <c r="S465" s="240" t="s">
        <v>5417</v>
      </c>
      <c r="T465" s="242" t="s">
        <v>5418</v>
      </c>
      <c r="U465" s="239" t="s">
        <v>2823</v>
      </c>
      <c r="V465" s="251"/>
    </row>
    <row r="466" spans="1:22" ht="30" customHeight="1">
      <c r="A466" s="239" t="s">
        <v>5205</v>
      </c>
      <c r="B466" s="239" t="s">
        <v>5206</v>
      </c>
      <c r="C466" s="240" t="s">
        <v>5207</v>
      </c>
      <c r="D466" s="239" t="s">
        <v>74</v>
      </c>
      <c r="E466" s="241"/>
      <c r="F466" s="239"/>
      <c r="G466" s="241"/>
      <c r="H466" s="241">
        <v>40</v>
      </c>
      <c r="I466" s="240" t="s">
        <v>5419</v>
      </c>
      <c r="J466" s="240"/>
      <c r="K466" s="240"/>
      <c r="L466" s="240"/>
      <c r="M466" s="240" t="s">
        <v>5420</v>
      </c>
      <c r="N466" s="240" t="s">
        <v>5421</v>
      </c>
      <c r="O466" s="240" t="s">
        <v>5422</v>
      </c>
      <c r="P466" s="240" t="s">
        <v>5423</v>
      </c>
      <c r="Q466" s="239" t="s">
        <v>2864</v>
      </c>
      <c r="R466" s="241"/>
      <c r="S466" s="240" t="s">
        <v>5424</v>
      </c>
      <c r="T466" s="242" t="s">
        <v>5425</v>
      </c>
      <c r="U466" s="239" t="s">
        <v>2823</v>
      </c>
      <c r="V466" s="251"/>
    </row>
    <row r="467" spans="1:22" ht="30" customHeight="1">
      <c r="A467" s="239" t="s">
        <v>5205</v>
      </c>
      <c r="B467" s="239" t="s">
        <v>5206</v>
      </c>
      <c r="C467" s="240" t="s">
        <v>5207</v>
      </c>
      <c r="D467" s="239" t="s">
        <v>74</v>
      </c>
      <c r="E467" s="241"/>
      <c r="F467" s="239"/>
      <c r="G467" s="241"/>
      <c r="H467" s="241">
        <v>40</v>
      </c>
      <c r="I467" s="240" t="s">
        <v>5426</v>
      </c>
      <c r="J467" s="240"/>
      <c r="K467" s="240"/>
      <c r="L467" s="240"/>
      <c r="M467" s="240" t="s">
        <v>5427</v>
      </c>
      <c r="N467" s="240" t="s">
        <v>5428</v>
      </c>
      <c r="O467" s="240" t="s">
        <v>5429</v>
      </c>
      <c r="P467" s="240" t="s">
        <v>5430</v>
      </c>
      <c r="Q467" s="239" t="s">
        <v>2864</v>
      </c>
      <c r="R467" s="241"/>
      <c r="S467" s="240" t="s">
        <v>5431</v>
      </c>
      <c r="T467" s="242" t="s">
        <v>5432</v>
      </c>
      <c r="U467" s="239" t="s">
        <v>2823</v>
      </c>
      <c r="V467" s="251"/>
    </row>
    <row r="468" spans="1:22" ht="30" customHeight="1">
      <c r="A468" s="239" t="s">
        <v>5205</v>
      </c>
      <c r="B468" s="239" t="s">
        <v>5206</v>
      </c>
      <c r="C468" s="240" t="s">
        <v>5207</v>
      </c>
      <c r="D468" s="239" t="s">
        <v>74</v>
      </c>
      <c r="E468" s="241"/>
      <c r="F468" s="239"/>
      <c r="G468" s="241"/>
      <c r="H468" s="241">
        <v>40</v>
      </c>
      <c r="I468" s="240" t="s">
        <v>5433</v>
      </c>
      <c r="J468" s="240"/>
      <c r="K468" s="240"/>
      <c r="L468" s="240"/>
      <c r="M468" s="240" t="s">
        <v>5427</v>
      </c>
      <c r="N468" s="240" t="s">
        <v>5434</v>
      </c>
      <c r="O468" s="240" t="s">
        <v>5435</v>
      </c>
      <c r="P468" s="240" t="s">
        <v>5436</v>
      </c>
      <c r="Q468" s="239" t="s">
        <v>2864</v>
      </c>
      <c r="R468" s="241"/>
      <c r="S468" s="240" t="s">
        <v>5437</v>
      </c>
      <c r="T468" s="242" t="s">
        <v>5438</v>
      </c>
      <c r="U468" s="239" t="s">
        <v>2823</v>
      </c>
      <c r="V468" s="251"/>
    </row>
    <row r="469" spans="1:22" ht="30" customHeight="1">
      <c r="A469" s="239" t="s">
        <v>5205</v>
      </c>
      <c r="B469" s="239" t="s">
        <v>5206</v>
      </c>
      <c r="C469" s="240" t="s">
        <v>5207</v>
      </c>
      <c r="D469" s="239" t="s">
        <v>74</v>
      </c>
      <c r="E469" s="241"/>
      <c r="F469" s="239"/>
      <c r="G469" s="241"/>
      <c r="H469" s="241">
        <v>40</v>
      </c>
      <c r="I469" s="240" t="s">
        <v>5439</v>
      </c>
      <c r="J469" s="240"/>
      <c r="K469" s="240"/>
      <c r="L469" s="240"/>
      <c r="M469" s="240" t="s">
        <v>5427</v>
      </c>
      <c r="N469" s="240" t="s">
        <v>5440</v>
      </c>
      <c r="O469" s="240" t="s">
        <v>5441</v>
      </c>
      <c r="P469" s="240" t="s">
        <v>5442</v>
      </c>
      <c r="Q469" s="239" t="s">
        <v>2864</v>
      </c>
      <c r="R469" s="241"/>
      <c r="S469" s="240" t="s">
        <v>5443</v>
      </c>
      <c r="T469" s="242" t="s">
        <v>5444</v>
      </c>
      <c r="U469" s="239" t="s">
        <v>2823</v>
      </c>
      <c r="V469" s="251"/>
    </row>
    <row r="470" spans="1:22" ht="30" customHeight="1">
      <c r="A470" s="239" t="s">
        <v>5205</v>
      </c>
      <c r="B470" s="239" t="s">
        <v>5206</v>
      </c>
      <c r="C470" s="240" t="s">
        <v>5207</v>
      </c>
      <c r="D470" s="239" t="s">
        <v>74</v>
      </c>
      <c r="E470" s="241"/>
      <c r="F470" s="239"/>
      <c r="G470" s="241"/>
      <c r="H470" s="241">
        <v>40</v>
      </c>
      <c r="I470" s="240" t="s">
        <v>5445</v>
      </c>
      <c r="J470" s="240"/>
      <c r="K470" s="240"/>
      <c r="L470" s="240"/>
      <c r="M470" s="240" t="s">
        <v>5446</v>
      </c>
      <c r="N470" s="240" t="s">
        <v>5447</v>
      </c>
      <c r="O470" s="240" t="s">
        <v>5448</v>
      </c>
      <c r="P470" s="240" t="s">
        <v>5449</v>
      </c>
      <c r="Q470" s="239" t="s">
        <v>2864</v>
      </c>
      <c r="R470" s="241"/>
      <c r="S470" s="240" t="s">
        <v>5450</v>
      </c>
      <c r="T470" s="242" t="s">
        <v>5451</v>
      </c>
      <c r="U470" s="239" t="s">
        <v>2823</v>
      </c>
      <c r="V470" s="251"/>
    </row>
    <row r="471" spans="1:22" ht="30" customHeight="1">
      <c r="A471" s="239" t="s">
        <v>5205</v>
      </c>
      <c r="B471" s="239" t="s">
        <v>5206</v>
      </c>
      <c r="C471" s="240" t="s">
        <v>5207</v>
      </c>
      <c r="D471" s="239" t="s">
        <v>74</v>
      </c>
      <c r="E471" s="241"/>
      <c r="F471" s="239"/>
      <c r="G471" s="241"/>
      <c r="H471" s="241">
        <v>40</v>
      </c>
      <c r="I471" s="240" t="s">
        <v>5452</v>
      </c>
      <c r="J471" s="240"/>
      <c r="K471" s="240"/>
      <c r="L471" s="240"/>
      <c r="M471" s="240" t="s">
        <v>5446</v>
      </c>
      <c r="N471" s="240" t="s">
        <v>5453</v>
      </c>
      <c r="O471" s="240" t="s">
        <v>5454</v>
      </c>
      <c r="P471" s="240" t="s">
        <v>5455</v>
      </c>
      <c r="Q471" s="239" t="s">
        <v>2864</v>
      </c>
      <c r="R471" s="241"/>
      <c r="S471" s="240" t="s">
        <v>5456</v>
      </c>
      <c r="T471" s="242" t="s">
        <v>5457</v>
      </c>
      <c r="U471" s="239" t="s">
        <v>2823</v>
      </c>
      <c r="V471" s="251"/>
    </row>
    <row r="472" spans="1:22" ht="30" customHeight="1">
      <c r="A472" s="239" t="s">
        <v>5205</v>
      </c>
      <c r="B472" s="239" t="s">
        <v>5206</v>
      </c>
      <c r="C472" s="240" t="s">
        <v>5207</v>
      </c>
      <c r="D472" s="239" t="s">
        <v>74</v>
      </c>
      <c r="E472" s="241"/>
      <c r="F472" s="239"/>
      <c r="G472" s="241"/>
      <c r="H472" s="241">
        <v>40</v>
      </c>
      <c r="I472" s="240" t="s">
        <v>5458</v>
      </c>
      <c r="J472" s="240"/>
      <c r="K472" s="240"/>
      <c r="L472" s="240"/>
      <c r="M472" s="240" t="s">
        <v>5446</v>
      </c>
      <c r="N472" s="240" t="s">
        <v>5459</v>
      </c>
      <c r="O472" s="240" t="s">
        <v>5460</v>
      </c>
      <c r="P472" s="240" t="s">
        <v>5461</v>
      </c>
      <c r="Q472" s="239" t="s">
        <v>2864</v>
      </c>
      <c r="R472" s="241"/>
      <c r="S472" s="240" t="s">
        <v>5462</v>
      </c>
      <c r="T472" s="242" t="s">
        <v>5463</v>
      </c>
      <c r="U472" s="239" t="s">
        <v>2823</v>
      </c>
      <c r="V472" s="251"/>
    </row>
    <row r="473" spans="1:22" ht="30" customHeight="1">
      <c r="A473" s="239" t="s">
        <v>5205</v>
      </c>
      <c r="B473" s="239" t="s">
        <v>5206</v>
      </c>
      <c r="C473" s="240" t="s">
        <v>5207</v>
      </c>
      <c r="D473" s="239" t="s">
        <v>74</v>
      </c>
      <c r="E473" s="241"/>
      <c r="F473" s="239"/>
      <c r="G473" s="241"/>
      <c r="H473" s="241">
        <v>40</v>
      </c>
      <c r="I473" s="240" t="s">
        <v>5464</v>
      </c>
      <c r="J473" s="240"/>
      <c r="K473" s="240"/>
      <c r="L473" s="240"/>
      <c r="M473" s="240" t="s">
        <v>5446</v>
      </c>
      <c r="N473" s="240" t="s">
        <v>5465</v>
      </c>
      <c r="O473" s="240" t="s">
        <v>5466</v>
      </c>
      <c r="P473" s="240" t="s">
        <v>5467</v>
      </c>
      <c r="Q473" s="239" t="s">
        <v>2864</v>
      </c>
      <c r="R473" s="241"/>
      <c r="S473" s="240" t="s">
        <v>5468</v>
      </c>
      <c r="T473" s="242" t="s">
        <v>5469</v>
      </c>
      <c r="U473" s="239" t="s">
        <v>2823</v>
      </c>
      <c r="V473" s="251"/>
    </row>
    <row r="474" spans="1:22" ht="30" customHeight="1">
      <c r="A474" s="239" t="s">
        <v>5205</v>
      </c>
      <c r="B474" s="239" t="s">
        <v>5206</v>
      </c>
      <c r="C474" s="240" t="s">
        <v>5207</v>
      </c>
      <c r="D474" s="239" t="s">
        <v>74</v>
      </c>
      <c r="E474" s="241"/>
      <c r="F474" s="239"/>
      <c r="G474" s="241"/>
      <c r="H474" s="241">
        <v>40</v>
      </c>
      <c r="I474" s="240" t="s">
        <v>5470</v>
      </c>
      <c r="J474" s="240"/>
      <c r="K474" s="240"/>
      <c r="L474" s="240"/>
      <c r="M474" s="240" t="s">
        <v>3497</v>
      </c>
      <c r="N474" s="240" t="s">
        <v>5471</v>
      </c>
      <c r="O474" s="240" t="s">
        <v>5472</v>
      </c>
      <c r="P474" s="240" t="s">
        <v>5473</v>
      </c>
      <c r="Q474" s="239" t="s">
        <v>2864</v>
      </c>
      <c r="R474" s="241"/>
      <c r="S474" s="240" t="s">
        <v>5474</v>
      </c>
      <c r="T474" s="242" t="s">
        <v>5475</v>
      </c>
      <c r="U474" s="239" t="s">
        <v>2823</v>
      </c>
      <c r="V474" s="251"/>
    </row>
    <row r="475" spans="1:22" ht="30" customHeight="1">
      <c r="A475" s="239" t="s">
        <v>5205</v>
      </c>
      <c r="B475" s="239" t="s">
        <v>5206</v>
      </c>
      <c r="C475" s="240" t="s">
        <v>5207</v>
      </c>
      <c r="D475" s="239" t="s">
        <v>74</v>
      </c>
      <c r="E475" s="241"/>
      <c r="F475" s="239"/>
      <c r="G475" s="241"/>
      <c r="H475" s="241">
        <v>40</v>
      </c>
      <c r="I475" s="240" t="s">
        <v>5476</v>
      </c>
      <c r="J475" s="240"/>
      <c r="K475" s="240"/>
      <c r="L475" s="240"/>
      <c r="M475" s="240" t="s">
        <v>5446</v>
      </c>
      <c r="N475" s="240" t="s">
        <v>5477</v>
      </c>
      <c r="O475" s="240" t="s">
        <v>5478</v>
      </c>
      <c r="P475" s="240" t="s">
        <v>5479</v>
      </c>
      <c r="Q475" s="239" t="s">
        <v>2864</v>
      </c>
      <c r="R475" s="241"/>
      <c r="S475" s="240" t="s">
        <v>5480</v>
      </c>
      <c r="T475" s="242" t="s">
        <v>5481</v>
      </c>
      <c r="U475" s="239" t="s">
        <v>2823</v>
      </c>
      <c r="V475" s="251"/>
    </row>
    <row r="476" spans="1:22" ht="30" customHeight="1">
      <c r="A476" s="239" t="s">
        <v>5205</v>
      </c>
      <c r="B476" s="239" t="s">
        <v>5206</v>
      </c>
      <c r="C476" s="240" t="s">
        <v>5207</v>
      </c>
      <c r="D476" s="239" t="s">
        <v>74</v>
      </c>
      <c r="E476" s="241"/>
      <c r="F476" s="239"/>
      <c r="G476" s="241"/>
      <c r="H476" s="241">
        <v>40</v>
      </c>
      <c r="I476" s="240" t="s">
        <v>5482</v>
      </c>
      <c r="J476" s="240"/>
      <c r="K476" s="240"/>
      <c r="L476" s="240"/>
      <c r="M476" s="240" t="s">
        <v>5446</v>
      </c>
      <c r="N476" s="240" t="s">
        <v>5483</v>
      </c>
      <c r="O476" s="240" t="s">
        <v>5484</v>
      </c>
      <c r="P476" s="240" t="s">
        <v>5485</v>
      </c>
      <c r="Q476" s="239" t="s">
        <v>2864</v>
      </c>
      <c r="R476" s="241"/>
      <c r="S476" s="240" t="s">
        <v>5486</v>
      </c>
      <c r="T476" s="242" t="s">
        <v>5487</v>
      </c>
      <c r="U476" s="239" t="s">
        <v>2823</v>
      </c>
      <c r="V476" s="251"/>
    </row>
    <row r="477" spans="1:22" ht="30" customHeight="1">
      <c r="A477" s="239" t="s">
        <v>5205</v>
      </c>
      <c r="B477" s="239" t="s">
        <v>5206</v>
      </c>
      <c r="C477" s="240" t="s">
        <v>5207</v>
      </c>
      <c r="D477" s="239" t="s">
        <v>74</v>
      </c>
      <c r="E477" s="241"/>
      <c r="F477" s="239"/>
      <c r="G477" s="241"/>
      <c r="H477" s="241">
        <v>40</v>
      </c>
      <c r="I477" s="240" t="s">
        <v>5488</v>
      </c>
      <c r="J477" s="240"/>
      <c r="K477" s="240"/>
      <c r="L477" s="240"/>
      <c r="M477" s="240" t="s">
        <v>5446</v>
      </c>
      <c r="N477" s="240" t="s">
        <v>5489</v>
      </c>
      <c r="O477" s="240" t="s">
        <v>5490</v>
      </c>
      <c r="P477" s="240" t="s">
        <v>5491</v>
      </c>
      <c r="Q477" s="239" t="s">
        <v>2864</v>
      </c>
      <c r="R477" s="241"/>
      <c r="S477" s="240" t="s">
        <v>5492</v>
      </c>
      <c r="T477" s="242" t="s">
        <v>5493</v>
      </c>
      <c r="U477" s="239" t="s">
        <v>2823</v>
      </c>
      <c r="V477" s="251"/>
    </row>
    <row r="478" spans="1:22" ht="30" customHeight="1">
      <c r="A478" s="239" t="s">
        <v>5205</v>
      </c>
      <c r="B478" s="239" t="s">
        <v>5206</v>
      </c>
      <c r="C478" s="240" t="s">
        <v>5207</v>
      </c>
      <c r="D478" s="239" t="s">
        <v>74</v>
      </c>
      <c r="E478" s="241"/>
      <c r="F478" s="239"/>
      <c r="G478" s="241"/>
      <c r="H478" s="241">
        <v>40</v>
      </c>
      <c r="I478" s="240" t="s">
        <v>5494</v>
      </c>
      <c r="J478" s="240"/>
      <c r="K478" s="240"/>
      <c r="L478" s="240"/>
      <c r="M478" s="240" t="s">
        <v>5446</v>
      </c>
      <c r="N478" s="240" t="s">
        <v>5495</v>
      </c>
      <c r="O478" s="240" t="s">
        <v>5496</v>
      </c>
      <c r="P478" s="240" t="s">
        <v>5497</v>
      </c>
      <c r="Q478" s="239" t="s">
        <v>2864</v>
      </c>
      <c r="R478" s="241"/>
      <c r="S478" s="240" t="s">
        <v>5498</v>
      </c>
      <c r="T478" s="242" t="s">
        <v>5499</v>
      </c>
      <c r="U478" s="239" t="s">
        <v>2823</v>
      </c>
      <c r="V478" s="251"/>
    </row>
    <row r="479" spans="1:22" ht="30" customHeight="1">
      <c r="A479" s="239" t="s">
        <v>5205</v>
      </c>
      <c r="B479" s="239" t="s">
        <v>5206</v>
      </c>
      <c r="C479" s="240" t="s">
        <v>5207</v>
      </c>
      <c r="D479" s="239" t="s">
        <v>74</v>
      </c>
      <c r="E479" s="241"/>
      <c r="F479" s="239"/>
      <c r="G479" s="241"/>
      <c r="H479" s="241">
        <v>40</v>
      </c>
      <c r="I479" s="240" t="s">
        <v>5500</v>
      </c>
      <c r="J479" s="240"/>
      <c r="K479" s="240"/>
      <c r="L479" s="240"/>
      <c r="M479" s="240" t="s">
        <v>3497</v>
      </c>
      <c r="N479" s="240" t="s">
        <v>5501</v>
      </c>
      <c r="O479" s="240" t="s">
        <v>5502</v>
      </c>
      <c r="P479" s="240" t="s">
        <v>5503</v>
      </c>
      <c r="Q479" s="239" t="s">
        <v>2864</v>
      </c>
      <c r="R479" s="241"/>
      <c r="S479" s="240" t="s">
        <v>5504</v>
      </c>
      <c r="T479" s="242" t="s">
        <v>5505</v>
      </c>
      <c r="U479" s="239" t="s">
        <v>2823</v>
      </c>
      <c r="V479" s="251"/>
    </row>
    <row r="480" spans="1:22" ht="30" customHeight="1">
      <c r="A480" s="239" t="s">
        <v>5205</v>
      </c>
      <c r="B480" s="239" t="s">
        <v>5206</v>
      </c>
      <c r="C480" s="240" t="s">
        <v>5207</v>
      </c>
      <c r="D480" s="239" t="s">
        <v>74</v>
      </c>
      <c r="E480" s="241"/>
      <c r="F480" s="239"/>
      <c r="G480" s="241"/>
      <c r="H480" s="241">
        <v>40</v>
      </c>
      <c r="I480" s="240" t="s">
        <v>5506</v>
      </c>
      <c r="J480" s="240"/>
      <c r="K480" s="240"/>
      <c r="L480" s="240"/>
      <c r="M480" s="240" t="s">
        <v>5507</v>
      </c>
      <c r="N480" s="240" t="s">
        <v>5508</v>
      </c>
      <c r="O480" s="240" t="s">
        <v>5509</v>
      </c>
      <c r="P480" s="240" t="s">
        <v>5510</v>
      </c>
      <c r="Q480" s="239" t="s">
        <v>2864</v>
      </c>
      <c r="R480" s="241"/>
      <c r="S480" s="240" t="s">
        <v>5511</v>
      </c>
      <c r="T480" s="242" t="s">
        <v>5512</v>
      </c>
      <c r="U480" s="239" t="s">
        <v>2823</v>
      </c>
      <c r="V480" s="251"/>
    </row>
    <row r="481" spans="1:22" ht="30" customHeight="1">
      <c r="A481" s="239" t="s">
        <v>5205</v>
      </c>
      <c r="B481" s="239" t="s">
        <v>5206</v>
      </c>
      <c r="C481" s="240" t="s">
        <v>5207</v>
      </c>
      <c r="D481" s="239" t="s">
        <v>74</v>
      </c>
      <c r="E481" s="241"/>
      <c r="F481" s="239"/>
      <c r="G481" s="241"/>
      <c r="H481" s="241">
        <v>40</v>
      </c>
      <c r="I481" s="240" t="s">
        <v>5513</v>
      </c>
      <c r="J481" s="240"/>
      <c r="K481" s="240"/>
      <c r="L481" s="240"/>
      <c r="M481" s="240" t="s">
        <v>5514</v>
      </c>
      <c r="N481" s="240" t="s">
        <v>5515</v>
      </c>
      <c r="O481" s="240" t="s">
        <v>1198</v>
      </c>
      <c r="P481" s="240" t="s">
        <v>5516</v>
      </c>
      <c r="Q481" s="239" t="s">
        <v>2864</v>
      </c>
      <c r="R481" s="241"/>
      <c r="S481" s="240" t="s">
        <v>5517</v>
      </c>
      <c r="T481" s="242" t="s">
        <v>1198</v>
      </c>
      <c r="U481" s="239" t="s">
        <v>2823</v>
      </c>
      <c r="V481" s="251"/>
    </row>
    <row r="482" spans="1:22" ht="30" customHeight="1">
      <c r="A482" s="239" t="s">
        <v>5205</v>
      </c>
      <c r="B482" s="239" t="s">
        <v>5206</v>
      </c>
      <c r="C482" s="240" t="s">
        <v>5207</v>
      </c>
      <c r="D482" s="239" t="s">
        <v>74</v>
      </c>
      <c r="E482" s="241"/>
      <c r="F482" s="239"/>
      <c r="G482" s="241"/>
      <c r="H482" s="241">
        <v>40</v>
      </c>
      <c r="I482" s="240" t="s">
        <v>5518</v>
      </c>
      <c r="J482" s="240"/>
      <c r="K482" s="240"/>
      <c r="L482" s="240"/>
      <c r="M482" s="240" t="s">
        <v>5519</v>
      </c>
      <c r="N482" s="240" t="s">
        <v>5520</v>
      </c>
      <c r="O482" s="240" t="s">
        <v>5521</v>
      </c>
      <c r="P482" s="240" t="s">
        <v>5522</v>
      </c>
      <c r="Q482" s="239" t="s">
        <v>2864</v>
      </c>
      <c r="R482" s="241"/>
      <c r="S482" s="240" t="s">
        <v>5523</v>
      </c>
      <c r="T482" s="242" t="s">
        <v>5524</v>
      </c>
      <c r="U482" s="239" t="s">
        <v>2823</v>
      </c>
      <c r="V482" s="251"/>
    </row>
    <row r="483" spans="1:22" ht="30" customHeight="1">
      <c r="A483" s="239" t="s">
        <v>5525</v>
      </c>
      <c r="B483" s="239" t="s">
        <v>5526</v>
      </c>
      <c r="C483" s="240" t="s">
        <v>5527</v>
      </c>
      <c r="D483" s="239" t="s">
        <v>74</v>
      </c>
      <c r="E483" s="241"/>
      <c r="F483" s="239"/>
      <c r="G483" s="241"/>
      <c r="H483" s="241">
        <v>40</v>
      </c>
      <c r="I483" s="240" t="s">
        <v>5528</v>
      </c>
      <c r="J483" s="240" t="s">
        <v>4993</v>
      </c>
      <c r="K483" s="240" t="s">
        <v>5529</v>
      </c>
      <c r="L483" s="240" t="s">
        <v>4982</v>
      </c>
      <c r="M483" s="240" t="s">
        <v>2801</v>
      </c>
      <c r="N483" s="240" t="s">
        <v>2801</v>
      </c>
      <c r="O483" s="240" t="s">
        <v>2801</v>
      </c>
      <c r="P483" s="240" t="s">
        <v>2801</v>
      </c>
      <c r="Q483" s="239" t="s">
        <v>2864</v>
      </c>
      <c r="R483" s="241"/>
      <c r="S483" s="240" t="s">
        <v>2801</v>
      </c>
      <c r="T483" s="242" t="s">
        <v>2801</v>
      </c>
      <c r="U483" s="239" t="s">
        <v>5530</v>
      </c>
      <c r="V483" s="251"/>
    </row>
    <row r="484" spans="1:22" ht="30" customHeight="1">
      <c r="A484" s="239" t="s">
        <v>5525</v>
      </c>
      <c r="B484" s="239" t="s">
        <v>5526</v>
      </c>
      <c r="C484" s="240" t="s">
        <v>5527</v>
      </c>
      <c r="D484" s="239" t="s">
        <v>74</v>
      </c>
      <c r="E484" s="241"/>
      <c r="F484" s="239"/>
      <c r="G484" s="241"/>
      <c r="H484" s="241">
        <v>40</v>
      </c>
      <c r="I484" s="240" t="s">
        <v>5531</v>
      </c>
      <c r="J484" s="240"/>
      <c r="K484" s="240"/>
      <c r="L484" s="240"/>
      <c r="M484" s="240" t="s">
        <v>3497</v>
      </c>
      <c r="N484" s="240" t="s">
        <v>5532</v>
      </c>
      <c r="O484" s="240" t="s">
        <v>5533</v>
      </c>
      <c r="P484" s="240" t="s">
        <v>5534</v>
      </c>
      <c r="Q484" s="239" t="s">
        <v>2864</v>
      </c>
      <c r="R484" s="241"/>
      <c r="S484" s="240" t="s">
        <v>5535</v>
      </c>
      <c r="T484" s="242" t="s">
        <v>5536</v>
      </c>
      <c r="U484" s="239" t="s">
        <v>5530</v>
      </c>
      <c r="V484" s="251"/>
    </row>
    <row r="485" spans="1:22" ht="30" customHeight="1">
      <c r="A485" s="239" t="s">
        <v>5525</v>
      </c>
      <c r="B485" s="239" t="s">
        <v>5526</v>
      </c>
      <c r="C485" s="240" t="s">
        <v>5527</v>
      </c>
      <c r="D485" s="239" t="s">
        <v>74</v>
      </c>
      <c r="E485" s="241"/>
      <c r="F485" s="239"/>
      <c r="G485" s="241"/>
      <c r="H485" s="241">
        <v>40</v>
      </c>
      <c r="I485" s="240" t="s">
        <v>5537</v>
      </c>
      <c r="J485" s="240"/>
      <c r="K485" s="240"/>
      <c r="L485" s="240"/>
      <c r="M485" s="240" t="s">
        <v>3497</v>
      </c>
      <c r="N485" s="240" t="s">
        <v>5538</v>
      </c>
      <c r="O485" s="240" t="s">
        <v>5539</v>
      </c>
      <c r="P485" s="240" t="s">
        <v>5540</v>
      </c>
      <c r="Q485" s="239" t="s">
        <v>2864</v>
      </c>
      <c r="R485" s="241"/>
      <c r="S485" s="240" t="s">
        <v>5541</v>
      </c>
      <c r="T485" s="242" t="s">
        <v>5542</v>
      </c>
      <c r="U485" s="239" t="s">
        <v>5530</v>
      </c>
      <c r="V485" s="251"/>
    </row>
    <row r="486" spans="1:22" ht="30" customHeight="1">
      <c r="A486" s="239" t="s">
        <v>5525</v>
      </c>
      <c r="B486" s="239" t="s">
        <v>5526</v>
      </c>
      <c r="C486" s="240" t="s">
        <v>5527</v>
      </c>
      <c r="D486" s="239" t="s">
        <v>74</v>
      </c>
      <c r="E486" s="241"/>
      <c r="F486" s="239"/>
      <c r="G486" s="241"/>
      <c r="H486" s="241">
        <v>40</v>
      </c>
      <c r="I486" s="240" t="s">
        <v>5543</v>
      </c>
      <c r="J486" s="240"/>
      <c r="K486" s="240"/>
      <c r="L486" s="240"/>
      <c r="M486" s="240" t="s">
        <v>3497</v>
      </c>
      <c r="N486" s="240" t="s">
        <v>5544</v>
      </c>
      <c r="O486" s="240" t="s">
        <v>5545</v>
      </c>
      <c r="P486" s="240" t="s">
        <v>5546</v>
      </c>
      <c r="Q486" s="239" t="s">
        <v>2864</v>
      </c>
      <c r="R486" s="241"/>
      <c r="S486" s="240" t="s">
        <v>5547</v>
      </c>
      <c r="T486" s="242" t="s">
        <v>5548</v>
      </c>
      <c r="U486" s="239" t="s">
        <v>5530</v>
      </c>
      <c r="V486" s="251"/>
    </row>
    <row r="487" spans="1:22" ht="30" customHeight="1">
      <c r="A487" s="239" t="s">
        <v>5525</v>
      </c>
      <c r="B487" s="239" t="s">
        <v>5526</v>
      </c>
      <c r="C487" s="240" t="s">
        <v>5527</v>
      </c>
      <c r="D487" s="239" t="s">
        <v>74</v>
      </c>
      <c r="E487" s="241"/>
      <c r="F487" s="239"/>
      <c r="G487" s="241"/>
      <c r="H487" s="241">
        <v>40</v>
      </c>
      <c r="I487" s="240" t="s">
        <v>5549</v>
      </c>
      <c r="J487" s="240"/>
      <c r="K487" s="240"/>
      <c r="L487" s="240"/>
      <c r="M487" s="240" t="s">
        <v>3497</v>
      </c>
      <c r="N487" s="240" t="s">
        <v>5550</v>
      </c>
      <c r="O487" s="240" t="s">
        <v>5551</v>
      </c>
      <c r="P487" s="240" t="s">
        <v>5552</v>
      </c>
      <c r="Q487" s="239" t="s">
        <v>2864</v>
      </c>
      <c r="R487" s="241"/>
      <c r="S487" s="240" t="s">
        <v>5553</v>
      </c>
      <c r="T487" s="242" t="s">
        <v>5554</v>
      </c>
      <c r="U487" s="239" t="s">
        <v>5530</v>
      </c>
      <c r="V487" s="251"/>
    </row>
    <row r="488" spans="1:22" ht="30" customHeight="1">
      <c r="A488" s="239" t="s">
        <v>5525</v>
      </c>
      <c r="B488" s="239" t="s">
        <v>5526</v>
      </c>
      <c r="C488" s="240" t="s">
        <v>5527</v>
      </c>
      <c r="D488" s="239" t="s">
        <v>74</v>
      </c>
      <c r="E488" s="241"/>
      <c r="F488" s="239"/>
      <c r="G488" s="241"/>
      <c r="H488" s="241">
        <v>40</v>
      </c>
      <c r="I488" s="240" t="s">
        <v>5555</v>
      </c>
      <c r="J488" s="240"/>
      <c r="K488" s="240"/>
      <c r="L488" s="240"/>
      <c r="M488" s="240" t="s">
        <v>3497</v>
      </c>
      <c r="N488" s="240" t="s">
        <v>5556</v>
      </c>
      <c r="O488" s="240" t="s">
        <v>5557</v>
      </c>
      <c r="P488" s="240" t="s">
        <v>5558</v>
      </c>
      <c r="Q488" s="239" t="s">
        <v>2864</v>
      </c>
      <c r="R488" s="241"/>
      <c r="S488" s="240" t="s">
        <v>5559</v>
      </c>
      <c r="T488" s="242" t="s">
        <v>5560</v>
      </c>
      <c r="U488" s="239" t="s">
        <v>5530</v>
      </c>
      <c r="V488" s="251"/>
    </row>
    <row r="489" spans="1:22" ht="30" customHeight="1">
      <c r="A489" s="239" t="s">
        <v>5525</v>
      </c>
      <c r="B489" s="239" t="s">
        <v>5526</v>
      </c>
      <c r="C489" s="240" t="s">
        <v>5527</v>
      </c>
      <c r="D489" s="239" t="s">
        <v>74</v>
      </c>
      <c r="E489" s="241"/>
      <c r="F489" s="239"/>
      <c r="G489" s="241"/>
      <c r="H489" s="241">
        <v>40</v>
      </c>
      <c r="I489" s="240" t="s">
        <v>5561</v>
      </c>
      <c r="J489" s="240"/>
      <c r="K489" s="240"/>
      <c r="L489" s="240"/>
      <c r="M489" s="240" t="s">
        <v>3497</v>
      </c>
      <c r="N489" s="240" t="s">
        <v>5562</v>
      </c>
      <c r="O489" s="240" t="s">
        <v>5563</v>
      </c>
      <c r="P489" s="240" t="s">
        <v>5564</v>
      </c>
      <c r="Q489" s="239" t="s">
        <v>2864</v>
      </c>
      <c r="R489" s="241"/>
      <c r="S489" s="240" t="s">
        <v>5565</v>
      </c>
      <c r="T489" s="242" t="s">
        <v>5566</v>
      </c>
      <c r="U489" s="239" t="s">
        <v>5530</v>
      </c>
      <c r="V489" s="251"/>
    </row>
    <row r="490" spans="1:22" ht="30" customHeight="1">
      <c r="A490" s="239" t="s">
        <v>5525</v>
      </c>
      <c r="B490" s="239" t="s">
        <v>5526</v>
      </c>
      <c r="C490" s="240" t="s">
        <v>5527</v>
      </c>
      <c r="D490" s="239" t="s">
        <v>74</v>
      </c>
      <c r="E490" s="241"/>
      <c r="F490" s="239"/>
      <c r="G490" s="241"/>
      <c r="H490" s="241">
        <v>40</v>
      </c>
      <c r="I490" s="240" t="s">
        <v>5567</v>
      </c>
      <c r="J490" s="240"/>
      <c r="K490" s="240"/>
      <c r="L490" s="240"/>
      <c r="M490" s="240" t="s">
        <v>3497</v>
      </c>
      <c r="N490" s="240" t="s">
        <v>5568</v>
      </c>
      <c r="O490" s="240" t="s">
        <v>5569</v>
      </c>
      <c r="P490" s="240" t="s">
        <v>5570</v>
      </c>
      <c r="Q490" s="239" t="s">
        <v>2864</v>
      </c>
      <c r="R490" s="241"/>
      <c r="S490" s="240" t="s">
        <v>5571</v>
      </c>
      <c r="T490" s="242" t="s">
        <v>5572</v>
      </c>
      <c r="U490" s="239" t="s">
        <v>5530</v>
      </c>
      <c r="V490" s="251"/>
    </row>
    <row r="491" spans="1:22" ht="30" customHeight="1">
      <c r="A491" s="239" t="s">
        <v>5525</v>
      </c>
      <c r="B491" s="239" t="s">
        <v>5526</v>
      </c>
      <c r="C491" s="240" t="s">
        <v>5527</v>
      </c>
      <c r="D491" s="239" t="s">
        <v>74</v>
      </c>
      <c r="E491" s="241"/>
      <c r="F491" s="239"/>
      <c r="G491" s="241"/>
      <c r="H491" s="241">
        <v>40</v>
      </c>
      <c r="I491" s="240" t="s">
        <v>5573</v>
      </c>
      <c r="J491" s="240"/>
      <c r="K491" s="240"/>
      <c r="L491" s="240"/>
      <c r="M491" s="240" t="s">
        <v>3497</v>
      </c>
      <c r="N491" s="240" t="s">
        <v>5574</v>
      </c>
      <c r="O491" s="240" t="s">
        <v>5575</v>
      </c>
      <c r="P491" s="240" t="s">
        <v>5576</v>
      </c>
      <c r="Q491" s="239" t="s">
        <v>2864</v>
      </c>
      <c r="R491" s="241"/>
      <c r="S491" s="240" t="s">
        <v>5577</v>
      </c>
      <c r="T491" s="242" t="s">
        <v>5578</v>
      </c>
      <c r="U491" s="239" t="s">
        <v>5530</v>
      </c>
      <c r="V491" s="251"/>
    </row>
    <row r="492" spans="1:22" ht="30" customHeight="1">
      <c r="A492" s="239" t="s">
        <v>5579</v>
      </c>
      <c r="B492" s="239" t="s">
        <v>5580</v>
      </c>
      <c r="C492" s="240" t="s">
        <v>5581</v>
      </c>
      <c r="D492" s="239" t="s">
        <v>74</v>
      </c>
      <c r="E492" s="241" t="s">
        <v>2795</v>
      </c>
      <c r="F492" s="239"/>
      <c r="G492" s="241"/>
      <c r="H492" s="241">
        <v>40</v>
      </c>
      <c r="I492" s="240" t="s">
        <v>5582</v>
      </c>
      <c r="J492" s="240" t="s">
        <v>4993</v>
      </c>
      <c r="K492" s="240" t="s">
        <v>4981</v>
      </c>
      <c r="L492" s="240" t="s">
        <v>4982</v>
      </c>
      <c r="M492" s="240" t="s">
        <v>2801</v>
      </c>
      <c r="N492" s="240" t="s">
        <v>2801</v>
      </c>
      <c r="O492" s="240" t="s">
        <v>2801</v>
      </c>
      <c r="P492" s="240" t="s">
        <v>2801</v>
      </c>
      <c r="Q492" s="239" t="s">
        <v>2864</v>
      </c>
      <c r="R492" s="241"/>
      <c r="S492" s="240" t="s">
        <v>2801</v>
      </c>
      <c r="T492" s="242" t="s">
        <v>2801</v>
      </c>
      <c r="U492" s="239" t="s">
        <v>5530</v>
      </c>
      <c r="V492" s="251"/>
    </row>
    <row r="493" spans="1:22" ht="30" customHeight="1">
      <c r="A493" s="239" t="s">
        <v>5579</v>
      </c>
      <c r="B493" s="239" t="s">
        <v>5580</v>
      </c>
      <c r="C493" s="240" t="s">
        <v>5581</v>
      </c>
      <c r="D493" s="239" t="s">
        <v>74</v>
      </c>
      <c r="E493" s="241"/>
      <c r="F493" s="239"/>
      <c r="G493" s="241"/>
      <c r="H493" s="241">
        <v>40</v>
      </c>
      <c r="I493" s="240" t="s">
        <v>5583</v>
      </c>
      <c r="J493" s="240"/>
      <c r="K493" s="240"/>
      <c r="L493" s="240"/>
      <c r="M493" s="240" t="s">
        <v>2805</v>
      </c>
      <c r="N493" s="240" t="s">
        <v>5584</v>
      </c>
      <c r="O493" s="240" t="s">
        <v>5585</v>
      </c>
      <c r="P493" s="240" t="s">
        <v>5586</v>
      </c>
      <c r="Q493" s="239" t="s">
        <v>2802</v>
      </c>
      <c r="R493" s="241"/>
      <c r="S493" s="240" t="s">
        <v>5587</v>
      </c>
      <c r="T493" s="242" t="s">
        <v>1198</v>
      </c>
      <c r="U493" s="239" t="s">
        <v>5530</v>
      </c>
      <c r="V493" s="251"/>
    </row>
    <row r="494" spans="1:22" ht="30" customHeight="1">
      <c r="A494" s="239" t="s">
        <v>5579</v>
      </c>
      <c r="B494" s="239" t="s">
        <v>5580</v>
      </c>
      <c r="C494" s="240" t="s">
        <v>5581</v>
      </c>
      <c r="D494" s="239" t="s">
        <v>74</v>
      </c>
      <c r="E494" s="241"/>
      <c r="F494" s="239"/>
      <c r="G494" s="241"/>
      <c r="H494" s="241">
        <v>40</v>
      </c>
      <c r="I494" s="240" t="s">
        <v>5588</v>
      </c>
      <c r="J494" s="240"/>
      <c r="K494" s="240"/>
      <c r="L494" s="240"/>
      <c r="M494" s="240" t="s">
        <v>5589</v>
      </c>
      <c r="N494" s="240" t="s">
        <v>5590</v>
      </c>
      <c r="O494" s="240" t="s">
        <v>5591</v>
      </c>
      <c r="P494" s="240" t="s">
        <v>5592</v>
      </c>
      <c r="Q494" s="239" t="s">
        <v>2864</v>
      </c>
      <c r="R494" s="241"/>
      <c r="S494" s="240" t="s">
        <v>5593</v>
      </c>
      <c r="T494" s="242" t="s">
        <v>5594</v>
      </c>
      <c r="U494" s="239" t="s">
        <v>5530</v>
      </c>
      <c r="V494" s="251"/>
    </row>
    <row r="495" spans="1:22" ht="30" customHeight="1">
      <c r="A495" s="239" t="s">
        <v>5579</v>
      </c>
      <c r="B495" s="239" t="s">
        <v>5580</v>
      </c>
      <c r="C495" s="240" t="s">
        <v>5581</v>
      </c>
      <c r="D495" s="239" t="s">
        <v>74</v>
      </c>
      <c r="E495" s="241"/>
      <c r="F495" s="239"/>
      <c r="G495" s="241"/>
      <c r="H495" s="241">
        <v>40</v>
      </c>
      <c r="I495" s="240" t="s">
        <v>5595</v>
      </c>
      <c r="J495" s="240"/>
      <c r="K495" s="240"/>
      <c r="L495" s="240"/>
      <c r="M495" s="240" t="s">
        <v>5589</v>
      </c>
      <c r="N495" s="240" t="s">
        <v>5596</v>
      </c>
      <c r="O495" s="240" t="s">
        <v>5597</v>
      </c>
      <c r="P495" s="240" t="s">
        <v>5598</v>
      </c>
      <c r="Q495" s="239" t="s">
        <v>2864</v>
      </c>
      <c r="R495" s="241"/>
      <c r="S495" s="240" t="s">
        <v>5599</v>
      </c>
      <c r="T495" s="242" t="s">
        <v>5600</v>
      </c>
      <c r="U495" s="239" t="s">
        <v>5530</v>
      </c>
      <c r="V495" s="251"/>
    </row>
    <row r="496" spans="1:22" ht="30" customHeight="1">
      <c r="A496" s="239" t="s">
        <v>5579</v>
      </c>
      <c r="B496" s="239" t="s">
        <v>5580</v>
      </c>
      <c r="C496" s="240" t="s">
        <v>5581</v>
      </c>
      <c r="D496" s="239" t="s">
        <v>74</v>
      </c>
      <c r="E496" s="241"/>
      <c r="F496" s="239"/>
      <c r="G496" s="241"/>
      <c r="H496" s="241">
        <v>40</v>
      </c>
      <c r="I496" s="240" t="s">
        <v>5601</v>
      </c>
      <c r="J496" s="240"/>
      <c r="K496" s="240"/>
      <c r="L496" s="240"/>
      <c r="M496" s="240" t="s">
        <v>5589</v>
      </c>
      <c r="N496" s="240" t="s">
        <v>5602</v>
      </c>
      <c r="O496" s="240" t="s">
        <v>5603</v>
      </c>
      <c r="P496" s="240" t="s">
        <v>5604</v>
      </c>
      <c r="Q496" s="239" t="s">
        <v>2864</v>
      </c>
      <c r="R496" s="241"/>
      <c r="S496" s="240" t="s">
        <v>5605</v>
      </c>
      <c r="T496" s="242" t="s">
        <v>5606</v>
      </c>
      <c r="U496" s="239" t="s">
        <v>5530</v>
      </c>
      <c r="V496" s="251"/>
    </row>
    <row r="497" spans="1:22" ht="30" customHeight="1">
      <c r="A497" s="239" t="s">
        <v>5579</v>
      </c>
      <c r="B497" s="239" t="s">
        <v>5580</v>
      </c>
      <c r="C497" s="240" t="s">
        <v>5581</v>
      </c>
      <c r="D497" s="239" t="s">
        <v>74</v>
      </c>
      <c r="E497" s="241"/>
      <c r="F497" s="239"/>
      <c r="G497" s="241"/>
      <c r="H497" s="241">
        <v>40</v>
      </c>
      <c r="I497" s="240" t="s">
        <v>5607</v>
      </c>
      <c r="J497" s="240"/>
      <c r="K497" s="240"/>
      <c r="L497" s="240"/>
      <c r="M497" s="240" t="s">
        <v>5264</v>
      </c>
      <c r="N497" s="240" t="s">
        <v>5608</v>
      </c>
      <c r="O497" s="240" t="s">
        <v>5609</v>
      </c>
      <c r="P497" s="240" t="s">
        <v>5610</v>
      </c>
      <c r="Q497" s="239" t="s">
        <v>2802</v>
      </c>
      <c r="R497" s="241"/>
      <c r="S497" s="240" t="s">
        <v>5611</v>
      </c>
      <c r="T497" s="242" t="s">
        <v>5612</v>
      </c>
      <c r="U497" s="239" t="s">
        <v>5530</v>
      </c>
      <c r="V497" s="251"/>
    </row>
    <row r="498" spans="1:22" ht="30" customHeight="1">
      <c r="A498" s="239" t="s">
        <v>5077</v>
      </c>
      <c r="B498" s="239" t="s">
        <v>5078</v>
      </c>
      <c r="C498" s="240" t="s">
        <v>5079</v>
      </c>
      <c r="D498" s="239" t="s">
        <v>74</v>
      </c>
      <c r="F498" s="239"/>
      <c r="G498" s="241"/>
      <c r="H498" s="241">
        <v>40</v>
      </c>
      <c r="I498" s="240" t="s">
        <v>5613</v>
      </c>
      <c r="J498" s="240" t="s">
        <v>4993</v>
      </c>
      <c r="K498" s="240" t="s">
        <v>5081</v>
      </c>
      <c r="L498" s="240" t="s">
        <v>5017</v>
      </c>
      <c r="M498" s="240" t="s">
        <v>2805</v>
      </c>
      <c r="N498" s="240" t="s">
        <v>5614</v>
      </c>
      <c r="O498" s="240" t="s">
        <v>5615</v>
      </c>
      <c r="P498" s="240" t="s">
        <v>5616</v>
      </c>
      <c r="Q498" s="239" t="s">
        <v>2802</v>
      </c>
      <c r="R498" s="241"/>
      <c r="S498" s="240" t="s">
        <v>5076</v>
      </c>
      <c r="T498" s="242" t="s">
        <v>1198</v>
      </c>
      <c r="U498" s="239" t="s">
        <v>5530</v>
      </c>
      <c r="V498" s="251"/>
    </row>
    <row r="499" spans="1:22" ht="30" customHeight="1">
      <c r="A499" s="239" t="s">
        <v>5077</v>
      </c>
      <c r="B499" s="239" t="s">
        <v>5078</v>
      </c>
      <c r="C499" s="240" t="s">
        <v>5079</v>
      </c>
      <c r="D499" s="239" t="s">
        <v>74</v>
      </c>
      <c r="E499" s="241"/>
      <c r="F499" s="239"/>
      <c r="G499" s="241"/>
      <c r="H499" s="241">
        <v>40</v>
      </c>
      <c r="I499" s="240" t="s">
        <v>5617</v>
      </c>
      <c r="J499" s="240" t="s">
        <v>4993</v>
      </c>
      <c r="K499" s="240" t="s">
        <v>5081</v>
      </c>
      <c r="L499" s="240" t="s">
        <v>5017</v>
      </c>
      <c r="M499" s="240" t="s">
        <v>2805</v>
      </c>
      <c r="N499" s="240" t="s">
        <v>5618</v>
      </c>
      <c r="O499" s="240" t="s">
        <v>5074</v>
      </c>
      <c r="P499" s="240" t="s">
        <v>5619</v>
      </c>
      <c r="Q499" s="239" t="s">
        <v>2802</v>
      </c>
      <c r="R499" s="241"/>
      <c r="S499" s="240" t="s">
        <v>5620</v>
      </c>
      <c r="T499" s="242" t="s">
        <v>1198</v>
      </c>
      <c r="U499" s="239" t="s">
        <v>5530</v>
      </c>
      <c r="V499" s="251"/>
    </row>
    <row r="500" spans="1:22" ht="30" customHeight="1">
      <c r="A500" s="239" t="s">
        <v>5579</v>
      </c>
      <c r="B500" s="239" t="s">
        <v>5580</v>
      </c>
      <c r="C500" s="240" t="s">
        <v>5581</v>
      </c>
      <c r="D500" s="239" t="s">
        <v>74</v>
      </c>
      <c r="E500" s="241"/>
      <c r="F500" s="239"/>
      <c r="G500" s="241"/>
      <c r="H500" s="241">
        <v>40</v>
      </c>
      <c r="I500" s="240" t="s">
        <v>5621</v>
      </c>
      <c r="J500" s="240"/>
      <c r="K500" s="240"/>
      <c r="L500" s="240"/>
      <c r="M500" s="240" t="s">
        <v>5589</v>
      </c>
      <c r="N500" s="240" t="s">
        <v>5622</v>
      </c>
      <c r="O500" s="240" t="s">
        <v>5623</v>
      </c>
      <c r="P500" s="240" t="s">
        <v>5624</v>
      </c>
      <c r="Q500" s="239" t="s">
        <v>2864</v>
      </c>
      <c r="R500" s="241"/>
      <c r="S500" s="240" t="s">
        <v>5625</v>
      </c>
      <c r="T500" s="242" t="s">
        <v>5626</v>
      </c>
      <c r="U500" s="239" t="s">
        <v>5530</v>
      </c>
      <c r="V500" s="251"/>
    </row>
    <row r="501" spans="1:22" ht="30" customHeight="1">
      <c r="A501" s="239" t="s">
        <v>5627</v>
      </c>
      <c r="B501" s="239" t="s">
        <v>5628</v>
      </c>
      <c r="C501" s="240" t="s">
        <v>5629</v>
      </c>
      <c r="D501" s="239" t="s">
        <v>74</v>
      </c>
      <c r="E501" s="241"/>
      <c r="F501" s="239"/>
      <c r="G501" s="241"/>
      <c r="H501" s="241">
        <v>40</v>
      </c>
      <c r="I501" s="240" t="s">
        <v>5630</v>
      </c>
      <c r="J501" s="240" t="s">
        <v>2857</v>
      </c>
      <c r="K501" s="240" t="s">
        <v>5631</v>
      </c>
      <c r="L501" s="240" t="s">
        <v>5632</v>
      </c>
      <c r="M501" s="240" t="s">
        <v>5633</v>
      </c>
      <c r="N501" s="240" t="s">
        <v>5634</v>
      </c>
      <c r="O501" s="240" t="s">
        <v>5635</v>
      </c>
      <c r="P501" s="240" t="s">
        <v>100</v>
      </c>
      <c r="Q501" s="239" t="s">
        <v>5636</v>
      </c>
      <c r="R501" s="241"/>
      <c r="S501" s="240" t="s">
        <v>5637</v>
      </c>
      <c r="T501" s="242" t="s">
        <v>5636</v>
      </c>
      <c r="U501" s="239" t="s">
        <v>5638</v>
      </c>
      <c r="V501" s="251"/>
    </row>
    <row r="502" spans="1:22" ht="30" customHeight="1">
      <c r="A502" s="239" t="s">
        <v>5639</v>
      </c>
      <c r="B502" s="239" t="s">
        <v>5640</v>
      </c>
      <c r="C502" s="240" t="s">
        <v>5641</v>
      </c>
      <c r="D502" s="239" t="s">
        <v>74</v>
      </c>
      <c r="E502" s="241"/>
      <c r="F502" s="239"/>
      <c r="G502" s="241"/>
      <c r="H502" s="241">
        <v>40</v>
      </c>
      <c r="I502" s="240" t="s">
        <v>5630</v>
      </c>
      <c r="J502" s="240" t="s">
        <v>2857</v>
      </c>
      <c r="K502" s="240" t="s">
        <v>5631</v>
      </c>
      <c r="L502" s="240" t="s">
        <v>5632</v>
      </c>
      <c r="M502" s="240" t="s">
        <v>5642</v>
      </c>
      <c r="N502" s="240" t="s">
        <v>5643</v>
      </c>
      <c r="O502" s="240" t="s">
        <v>5635</v>
      </c>
      <c r="P502" s="240" t="s">
        <v>100</v>
      </c>
      <c r="Q502" s="239" t="s">
        <v>5636</v>
      </c>
      <c r="R502" s="241"/>
      <c r="S502" s="240" t="s">
        <v>5644</v>
      </c>
      <c r="T502" s="242" t="s">
        <v>5636</v>
      </c>
      <c r="U502" s="239" t="s">
        <v>5645</v>
      </c>
      <c r="V502" s="251"/>
    </row>
    <row r="503" spans="1:22" ht="30" customHeight="1">
      <c r="A503" s="239" t="s">
        <v>5646</v>
      </c>
      <c r="B503" s="239" t="s">
        <v>5647</v>
      </c>
      <c r="C503" s="240" t="s">
        <v>5648</v>
      </c>
      <c r="D503" s="239" t="s">
        <v>74</v>
      </c>
      <c r="E503" s="241"/>
      <c r="F503" s="239"/>
      <c r="G503" s="241"/>
      <c r="H503" s="241">
        <v>40</v>
      </c>
      <c r="I503" s="240" t="s">
        <v>5630</v>
      </c>
      <c r="J503" s="240" t="s">
        <v>2857</v>
      </c>
      <c r="K503" s="240" t="s">
        <v>5649</v>
      </c>
      <c r="L503" s="240" t="s">
        <v>5650</v>
      </c>
      <c r="M503" s="240" t="s">
        <v>5633</v>
      </c>
      <c r="N503" s="240" t="s">
        <v>5634</v>
      </c>
      <c r="O503" s="240" t="s">
        <v>5635</v>
      </c>
      <c r="P503" s="240" t="s">
        <v>100</v>
      </c>
      <c r="Q503" s="239" t="s">
        <v>5636</v>
      </c>
      <c r="R503" s="241"/>
      <c r="S503" s="240" t="s">
        <v>5651</v>
      </c>
      <c r="T503" s="242" t="s">
        <v>5636</v>
      </c>
      <c r="U503" s="239" t="s">
        <v>5652</v>
      </c>
      <c r="V503" s="251"/>
    </row>
    <row r="504" spans="1:22" ht="30" customHeight="1">
      <c r="A504" s="239" t="s">
        <v>5653</v>
      </c>
      <c r="B504" s="239" t="s">
        <v>5654</v>
      </c>
      <c r="C504" s="240" t="s">
        <v>5655</v>
      </c>
      <c r="D504" s="239" t="s">
        <v>74</v>
      </c>
      <c r="E504" s="241"/>
      <c r="F504" s="239"/>
      <c r="G504" s="241"/>
      <c r="H504" s="241">
        <v>40</v>
      </c>
      <c r="I504" s="240" t="s">
        <v>5630</v>
      </c>
      <c r="J504" s="240" t="s">
        <v>2857</v>
      </c>
      <c r="K504" s="240" t="s">
        <v>5656</v>
      </c>
      <c r="L504" s="240" t="s">
        <v>5650</v>
      </c>
      <c r="M504" s="240" t="s">
        <v>5657</v>
      </c>
      <c r="N504" s="240" t="s">
        <v>5658</v>
      </c>
      <c r="O504" s="240" t="s">
        <v>5635</v>
      </c>
      <c r="P504" s="240" t="s">
        <v>100</v>
      </c>
      <c r="Q504" s="239" t="s">
        <v>5636</v>
      </c>
      <c r="R504" s="241"/>
      <c r="S504" s="240" t="s">
        <v>5659</v>
      </c>
      <c r="T504" s="242" t="s">
        <v>5636</v>
      </c>
      <c r="U504" s="239" t="s">
        <v>5660</v>
      </c>
      <c r="V504" s="251"/>
    </row>
    <row r="505" spans="1:22" ht="30" customHeight="1">
      <c r="A505" s="239" t="s">
        <v>5661</v>
      </c>
      <c r="B505" s="239" t="s">
        <v>5662</v>
      </c>
      <c r="C505" s="240" t="s">
        <v>5663</v>
      </c>
      <c r="D505" s="239" t="s">
        <v>74</v>
      </c>
      <c r="E505" s="241" t="s">
        <v>246</v>
      </c>
      <c r="F505" s="239" t="s">
        <v>2855</v>
      </c>
      <c r="G505" s="241"/>
      <c r="H505" s="241">
        <v>40</v>
      </c>
      <c r="I505" s="240" t="s">
        <v>5664</v>
      </c>
      <c r="J505" s="240" t="s">
        <v>5665</v>
      </c>
      <c r="K505" s="240" t="s">
        <v>5666</v>
      </c>
      <c r="L505" s="240" t="s">
        <v>5667</v>
      </c>
      <c r="M505" s="240" t="s">
        <v>3919</v>
      </c>
      <c r="N505" s="240" t="s">
        <v>5668</v>
      </c>
      <c r="O505" s="240" t="s">
        <v>1198</v>
      </c>
      <c r="P505" s="240" t="s">
        <v>5669</v>
      </c>
      <c r="Q505" s="239" t="s">
        <v>2864</v>
      </c>
      <c r="R505" s="241"/>
      <c r="S505" s="240" t="s">
        <v>5670</v>
      </c>
      <c r="T505" s="242" t="s">
        <v>1198</v>
      </c>
      <c r="U505" s="239" t="s">
        <v>2823</v>
      </c>
      <c r="V505" s="251"/>
    </row>
    <row r="506" spans="1:22" ht="30" customHeight="1">
      <c r="A506" s="239" t="s">
        <v>5671</v>
      </c>
      <c r="B506" s="239" t="s">
        <v>5672</v>
      </c>
      <c r="C506" s="240" t="s">
        <v>5673</v>
      </c>
      <c r="D506" s="239" t="s">
        <v>74</v>
      </c>
      <c r="E506" s="241" t="s">
        <v>2795</v>
      </c>
      <c r="F506" s="239" t="s">
        <v>2924</v>
      </c>
      <c r="G506" s="241"/>
      <c r="H506" s="241">
        <v>40</v>
      </c>
      <c r="I506" s="240" t="s">
        <v>5674</v>
      </c>
      <c r="J506" s="240" t="s">
        <v>3168</v>
      </c>
      <c r="K506" s="240" t="s">
        <v>5675</v>
      </c>
      <c r="L506" s="240" t="s">
        <v>5676</v>
      </c>
      <c r="M506" s="240" t="s">
        <v>5677</v>
      </c>
      <c r="N506" s="240" t="s">
        <v>5678</v>
      </c>
      <c r="O506" s="240" t="s">
        <v>5679</v>
      </c>
      <c r="P506" s="240" t="s">
        <v>5680</v>
      </c>
      <c r="Q506" s="239" t="s">
        <v>2802</v>
      </c>
      <c r="R506" s="241"/>
      <c r="S506" s="240" t="s">
        <v>5681</v>
      </c>
      <c r="T506" s="242" t="s">
        <v>5682</v>
      </c>
      <c r="U506" s="239" t="s">
        <v>2935</v>
      </c>
      <c r="V506" s="251"/>
    </row>
    <row r="507" spans="1:22" ht="30" customHeight="1">
      <c r="A507" s="239" t="s">
        <v>5683</v>
      </c>
      <c r="B507" s="239" t="s">
        <v>5684</v>
      </c>
      <c r="C507" s="240" t="s">
        <v>5685</v>
      </c>
      <c r="D507" s="239" t="s">
        <v>74</v>
      </c>
      <c r="E507" s="241" t="s">
        <v>2795</v>
      </c>
      <c r="F507" s="239" t="s">
        <v>2924</v>
      </c>
      <c r="G507" s="241"/>
      <c r="H507" s="241">
        <v>40</v>
      </c>
      <c r="I507" s="240" t="s">
        <v>5686</v>
      </c>
      <c r="J507" s="240" t="s">
        <v>5687</v>
      </c>
      <c r="K507" s="240" t="s">
        <v>5688</v>
      </c>
      <c r="L507" s="240" t="s">
        <v>5689</v>
      </c>
      <c r="M507" s="240" t="s">
        <v>2801</v>
      </c>
      <c r="N507" s="240" t="s">
        <v>2801</v>
      </c>
      <c r="O507" s="240" t="s">
        <v>2801</v>
      </c>
      <c r="P507" s="240" t="s">
        <v>2801</v>
      </c>
      <c r="Q507" s="239" t="s">
        <v>2814</v>
      </c>
      <c r="R507" s="241"/>
      <c r="S507" s="240" t="s">
        <v>2801</v>
      </c>
      <c r="T507" s="242" t="s">
        <v>2801</v>
      </c>
      <c r="U507" s="239" t="s">
        <v>2803</v>
      </c>
      <c r="V507" s="251"/>
    </row>
    <row r="508" spans="1:22" ht="30" customHeight="1">
      <c r="A508" s="239" t="s">
        <v>5683</v>
      </c>
      <c r="B508" s="239" t="s">
        <v>5684</v>
      </c>
      <c r="C508" s="240" t="s">
        <v>5685</v>
      </c>
      <c r="D508" s="239" t="s">
        <v>74</v>
      </c>
      <c r="E508" s="241" t="s">
        <v>2795</v>
      </c>
      <c r="F508" s="239" t="s">
        <v>2924</v>
      </c>
      <c r="G508" s="241"/>
      <c r="H508" s="241">
        <v>40</v>
      </c>
      <c r="I508" s="240" t="s">
        <v>5690</v>
      </c>
      <c r="J508" s="240"/>
      <c r="K508" s="240"/>
      <c r="L508" s="240"/>
      <c r="M508" s="240" t="s">
        <v>5691</v>
      </c>
      <c r="N508" s="240" t="s">
        <v>5692</v>
      </c>
      <c r="O508" s="240" t="s">
        <v>5693</v>
      </c>
      <c r="P508" s="240" t="s">
        <v>5694</v>
      </c>
      <c r="Q508" s="239" t="s">
        <v>5695</v>
      </c>
      <c r="R508" s="241"/>
      <c r="S508" s="240" t="s">
        <v>5696</v>
      </c>
      <c r="T508" s="242" t="s">
        <v>5697</v>
      </c>
      <c r="U508" s="239" t="s">
        <v>2935</v>
      </c>
      <c r="V508" s="251"/>
    </row>
    <row r="509" spans="1:22" ht="30" customHeight="1">
      <c r="A509" s="239" t="s">
        <v>5683</v>
      </c>
      <c r="B509" s="239" t="s">
        <v>5684</v>
      </c>
      <c r="C509" s="240" t="s">
        <v>5685</v>
      </c>
      <c r="D509" s="239" t="s">
        <v>74</v>
      </c>
      <c r="E509" s="241" t="s">
        <v>2795</v>
      </c>
      <c r="F509" s="239" t="s">
        <v>2924</v>
      </c>
      <c r="G509" s="241"/>
      <c r="H509" s="241">
        <v>40</v>
      </c>
      <c r="I509" s="240" t="s">
        <v>5698</v>
      </c>
      <c r="J509" s="240"/>
      <c r="K509" s="240"/>
      <c r="L509" s="240"/>
      <c r="M509" s="240" t="s">
        <v>1198</v>
      </c>
      <c r="N509" s="240" t="s">
        <v>5699</v>
      </c>
      <c r="O509" s="240" t="s">
        <v>5700</v>
      </c>
      <c r="P509" s="240" t="s">
        <v>5701</v>
      </c>
      <c r="Q509" s="239" t="s">
        <v>5695</v>
      </c>
      <c r="R509" s="241"/>
      <c r="S509" s="240" t="s">
        <v>5702</v>
      </c>
      <c r="T509" s="242" t="s">
        <v>5703</v>
      </c>
      <c r="U509" s="239" t="s">
        <v>2935</v>
      </c>
      <c r="V509" s="251"/>
    </row>
    <row r="510" spans="1:22" ht="30" customHeight="1">
      <c r="A510" s="239" t="s">
        <v>5683</v>
      </c>
      <c r="B510" s="239" t="s">
        <v>5684</v>
      </c>
      <c r="C510" s="240" t="s">
        <v>5685</v>
      </c>
      <c r="D510" s="239" t="s">
        <v>74</v>
      </c>
      <c r="E510" s="241" t="s">
        <v>2795</v>
      </c>
      <c r="F510" s="239" t="s">
        <v>2924</v>
      </c>
      <c r="G510" s="241"/>
      <c r="H510" s="241">
        <v>40</v>
      </c>
      <c r="I510" s="240" t="s">
        <v>5704</v>
      </c>
      <c r="J510" s="240"/>
      <c r="K510" s="240"/>
      <c r="L510" s="240"/>
      <c r="M510" s="240" t="s">
        <v>5705</v>
      </c>
      <c r="N510" s="240" t="s">
        <v>5706</v>
      </c>
      <c r="O510" s="240" t="s">
        <v>5707</v>
      </c>
      <c r="P510" s="240" t="s">
        <v>5708</v>
      </c>
      <c r="Q510" s="239" t="s">
        <v>5695</v>
      </c>
      <c r="R510" s="241"/>
      <c r="S510" s="240" t="s">
        <v>5709</v>
      </c>
      <c r="T510" s="242" t="s">
        <v>5710</v>
      </c>
      <c r="U510" s="239" t="s">
        <v>2935</v>
      </c>
      <c r="V510" s="251"/>
    </row>
    <row r="511" spans="1:22" ht="30" customHeight="1">
      <c r="A511" s="239" t="s">
        <v>5683</v>
      </c>
      <c r="B511" s="239" t="s">
        <v>5684</v>
      </c>
      <c r="C511" s="240" t="s">
        <v>5685</v>
      </c>
      <c r="D511" s="239" t="s">
        <v>74</v>
      </c>
      <c r="E511" s="241" t="s">
        <v>2795</v>
      </c>
      <c r="F511" s="239" t="s">
        <v>2924</v>
      </c>
      <c r="G511" s="241"/>
      <c r="H511" s="241">
        <v>40</v>
      </c>
      <c r="I511" s="240" t="s">
        <v>5711</v>
      </c>
      <c r="J511" s="240"/>
      <c r="K511" s="240"/>
      <c r="L511" s="240"/>
      <c r="M511" s="240" t="s">
        <v>5705</v>
      </c>
      <c r="N511" s="240" t="s">
        <v>5712</v>
      </c>
      <c r="O511" s="240" t="s">
        <v>5713</v>
      </c>
      <c r="P511" s="240" t="s">
        <v>5714</v>
      </c>
      <c r="Q511" s="239" t="s">
        <v>5695</v>
      </c>
      <c r="R511" s="241"/>
      <c r="S511" s="240" t="s">
        <v>5715</v>
      </c>
      <c r="T511" s="242" t="s">
        <v>5716</v>
      </c>
      <c r="U511" s="239" t="s">
        <v>2823</v>
      </c>
      <c r="V511" s="251"/>
    </row>
    <row r="512" spans="1:22" ht="30" customHeight="1">
      <c r="A512" s="239" t="s">
        <v>5683</v>
      </c>
      <c r="B512" s="239" t="s">
        <v>5684</v>
      </c>
      <c r="C512" s="240" t="s">
        <v>5685</v>
      </c>
      <c r="D512" s="239" t="s">
        <v>74</v>
      </c>
      <c r="E512" s="241" t="s">
        <v>2795</v>
      </c>
      <c r="F512" s="239" t="s">
        <v>2924</v>
      </c>
      <c r="G512" s="241"/>
      <c r="H512" s="241">
        <v>40</v>
      </c>
      <c r="I512" s="240" t="s">
        <v>5717</v>
      </c>
      <c r="J512" s="240"/>
      <c r="K512" s="240"/>
      <c r="L512" s="240"/>
      <c r="M512" s="240" t="s">
        <v>5705</v>
      </c>
      <c r="N512" s="240" t="s">
        <v>5718</v>
      </c>
      <c r="O512" s="240" t="s">
        <v>5719</v>
      </c>
      <c r="P512" s="240" t="s">
        <v>5720</v>
      </c>
      <c r="Q512" s="239" t="s">
        <v>5695</v>
      </c>
      <c r="R512" s="241"/>
      <c r="S512" s="240" t="s">
        <v>5721</v>
      </c>
      <c r="T512" s="242" t="s">
        <v>5710</v>
      </c>
      <c r="U512" s="239" t="s">
        <v>2935</v>
      </c>
      <c r="V512" s="251"/>
    </row>
    <row r="513" spans="1:22" ht="30" customHeight="1">
      <c r="A513" s="239" t="s">
        <v>5683</v>
      </c>
      <c r="B513" s="239" t="s">
        <v>5684</v>
      </c>
      <c r="C513" s="240" t="s">
        <v>5685</v>
      </c>
      <c r="D513" s="239" t="s">
        <v>74</v>
      </c>
      <c r="E513" s="241" t="s">
        <v>2795</v>
      </c>
      <c r="F513" s="239" t="s">
        <v>2924</v>
      </c>
      <c r="G513" s="241"/>
      <c r="H513" s="241">
        <v>40</v>
      </c>
      <c r="I513" s="240" t="s">
        <v>5722</v>
      </c>
      <c r="J513" s="240"/>
      <c r="K513" s="240"/>
      <c r="L513" s="240"/>
      <c r="M513" s="240" t="s">
        <v>5705</v>
      </c>
      <c r="N513" s="240" t="s">
        <v>5723</v>
      </c>
      <c r="O513" s="240" t="s">
        <v>5724</v>
      </c>
      <c r="P513" s="240" t="s">
        <v>5725</v>
      </c>
      <c r="Q513" s="239" t="s">
        <v>5695</v>
      </c>
      <c r="R513" s="241"/>
      <c r="S513" s="240" t="s">
        <v>5726</v>
      </c>
      <c r="T513" s="242" t="s">
        <v>5727</v>
      </c>
      <c r="U513" s="239" t="s">
        <v>2823</v>
      </c>
      <c r="V513" s="251"/>
    </row>
    <row r="514" spans="1:22" ht="30" customHeight="1">
      <c r="A514" s="239" t="s">
        <v>5683</v>
      </c>
      <c r="B514" s="239" t="s">
        <v>5684</v>
      </c>
      <c r="C514" s="240" t="s">
        <v>5685</v>
      </c>
      <c r="D514" s="239" t="s">
        <v>74</v>
      </c>
      <c r="E514" s="241" t="s">
        <v>2795</v>
      </c>
      <c r="F514" s="239" t="s">
        <v>2924</v>
      </c>
      <c r="G514" s="241"/>
      <c r="H514" s="241">
        <v>40</v>
      </c>
      <c r="I514" s="240" t="s">
        <v>5728</v>
      </c>
      <c r="J514" s="240"/>
      <c r="K514" s="240"/>
      <c r="L514" s="240"/>
      <c r="M514" s="240" t="s">
        <v>5705</v>
      </c>
      <c r="N514" s="240" t="s">
        <v>5729</v>
      </c>
      <c r="O514" s="240" t="s">
        <v>5730</v>
      </c>
      <c r="P514" s="240" t="s">
        <v>5731</v>
      </c>
      <c r="Q514" s="239" t="s">
        <v>5695</v>
      </c>
      <c r="R514" s="241"/>
      <c r="S514" s="240" t="s">
        <v>5732</v>
      </c>
      <c r="T514" s="242" t="s">
        <v>5733</v>
      </c>
      <c r="U514" s="239" t="s">
        <v>2823</v>
      </c>
      <c r="V514" s="251"/>
    </row>
    <row r="515" spans="1:22" ht="30" customHeight="1">
      <c r="A515" s="239" t="s">
        <v>5683</v>
      </c>
      <c r="B515" s="239" t="s">
        <v>5684</v>
      </c>
      <c r="C515" s="240" t="s">
        <v>5685</v>
      </c>
      <c r="D515" s="239" t="s">
        <v>74</v>
      </c>
      <c r="E515" s="241" t="s">
        <v>2795</v>
      </c>
      <c r="F515" s="239" t="s">
        <v>2924</v>
      </c>
      <c r="G515" s="241"/>
      <c r="H515" s="241">
        <v>40</v>
      </c>
      <c r="I515" s="240" t="s">
        <v>5734</v>
      </c>
      <c r="J515" s="240"/>
      <c r="K515" s="240"/>
      <c r="L515" s="240"/>
      <c r="M515" s="240" t="s">
        <v>5735</v>
      </c>
      <c r="N515" s="240" t="s">
        <v>5736</v>
      </c>
      <c r="O515" s="240" t="s">
        <v>5737</v>
      </c>
      <c r="P515" s="240" t="s">
        <v>5738</v>
      </c>
      <c r="Q515" s="239" t="s">
        <v>5695</v>
      </c>
      <c r="R515" s="241"/>
      <c r="S515" s="240" t="s">
        <v>5739</v>
      </c>
      <c r="T515" s="242" t="s">
        <v>5740</v>
      </c>
      <c r="U515" s="239" t="s">
        <v>2823</v>
      </c>
      <c r="V515" s="251"/>
    </row>
    <row r="516" spans="1:22" ht="30" customHeight="1">
      <c r="A516" s="239" t="s">
        <v>5683</v>
      </c>
      <c r="B516" s="239" t="s">
        <v>5684</v>
      </c>
      <c r="C516" s="240" t="s">
        <v>5685</v>
      </c>
      <c r="D516" s="239" t="s">
        <v>74</v>
      </c>
      <c r="E516" s="241" t="s">
        <v>2795</v>
      </c>
      <c r="F516" s="239" t="s">
        <v>2924</v>
      </c>
      <c r="G516" s="241"/>
      <c r="H516" s="241">
        <v>40</v>
      </c>
      <c r="I516" s="240" t="s">
        <v>5741</v>
      </c>
      <c r="J516" s="240"/>
      <c r="K516" s="240"/>
      <c r="L516" s="240"/>
      <c r="M516" s="240" t="s">
        <v>5742</v>
      </c>
      <c r="N516" s="240" t="s">
        <v>5743</v>
      </c>
      <c r="O516" s="240" t="s">
        <v>5744</v>
      </c>
      <c r="P516" s="240" t="s">
        <v>5745</v>
      </c>
      <c r="Q516" s="239" t="s">
        <v>5695</v>
      </c>
      <c r="R516" s="241"/>
      <c r="S516" s="240" t="s">
        <v>5746</v>
      </c>
      <c r="T516" s="242" t="s">
        <v>5747</v>
      </c>
      <c r="U516" s="239" t="s">
        <v>2823</v>
      </c>
      <c r="V516" s="251"/>
    </row>
    <row r="517" spans="1:22" ht="30" customHeight="1">
      <c r="A517" s="239" t="s">
        <v>5683</v>
      </c>
      <c r="B517" s="239" t="s">
        <v>5684</v>
      </c>
      <c r="C517" s="240" t="s">
        <v>5685</v>
      </c>
      <c r="D517" s="239" t="s">
        <v>74</v>
      </c>
      <c r="E517" s="241" t="s">
        <v>2795</v>
      </c>
      <c r="F517" s="239" t="s">
        <v>2924</v>
      </c>
      <c r="G517" s="241"/>
      <c r="H517" s="241">
        <v>40</v>
      </c>
      <c r="I517" s="240" t="s">
        <v>5748</v>
      </c>
      <c r="J517" s="240"/>
      <c r="K517" s="240"/>
      <c r="L517" s="240"/>
      <c r="M517" s="240" t="s">
        <v>5749</v>
      </c>
      <c r="N517" s="240" t="s">
        <v>5750</v>
      </c>
      <c r="O517" s="240" t="s">
        <v>5751</v>
      </c>
      <c r="P517" s="240" t="s">
        <v>5752</v>
      </c>
      <c r="Q517" s="239" t="s">
        <v>5695</v>
      </c>
      <c r="R517" s="241"/>
      <c r="S517" s="240" t="s">
        <v>5753</v>
      </c>
      <c r="T517" s="242" t="s">
        <v>5754</v>
      </c>
      <c r="U517" s="239" t="s">
        <v>2823</v>
      </c>
      <c r="V517" s="251"/>
    </row>
    <row r="518" spans="1:22" ht="30" customHeight="1">
      <c r="A518" s="239" t="s">
        <v>5683</v>
      </c>
      <c r="B518" s="239" t="s">
        <v>5684</v>
      </c>
      <c r="C518" s="240" t="s">
        <v>5685</v>
      </c>
      <c r="D518" s="239" t="s">
        <v>74</v>
      </c>
      <c r="E518" s="241" t="s">
        <v>2795</v>
      </c>
      <c r="F518" s="239" t="s">
        <v>2924</v>
      </c>
      <c r="G518" s="241"/>
      <c r="H518" s="241">
        <v>40</v>
      </c>
      <c r="I518" s="240" t="s">
        <v>5755</v>
      </c>
      <c r="J518" s="240"/>
      <c r="K518" s="240"/>
      <c r="L518" s="240"/>
      <c r="M518" s="240" t="s">
        <v>5749</v>
      </c>
      <c r="N518" s="240" t="s">
        <v>5756</v>
      </c>
      <c r="O518" s="240" t="s">
        <v>5757</v>
      </c>
      <c r="P518" s="240" t="s">
        <v>5758</v>
      </c>
      <c r="Q518" s="239" t="s">
        <v>5695</v>
      </c>
      <c r="R518" s="241"/>
      <c r="S518" s="240" t="s">
        <v>5759</v>
      </c>
      <c r="T518" s="242" t="s">
        <v>5760</v>
      </c>
      <c r="U518" s="239" t="s">
        <v>2823</v>
      </c>
      <c r="V518" s="251"/>
    </row>
    <row r="519" spans="1:22" ht="30" customHeight="1">
      <c r="A519" s="239" t="s">
        <v>5683</v>
      </c>
      <c r="B519" s="239" t="s">
        <v>5684</v>
      </c>
      <c r="C519" s="240" t="s">
        <v>5685</v>
      </c>
      <c r="D519" s="239" t="s">
        <v>74</v>
      </c>
      <c r="E519" s="241" t="s">
        <v>2795</v>
      </c>
      <c r="F519" s="239" t="s">
        <v>2924</v>
      </c>
      <c r="G519" s="241"/>
      <c r="H519" s="241">
        <v>40</v>
      </c>
      <c r="I519" s="240" t="s">
        <v>5761</v>
      </c>
      <c r="J519" s="240"/>
      <c r="K519" s="240"/>
      <c r="L519" s="240"/>
      <c r="M519" s="240" t="s">
        <v>5749</v>
      </c>
      <c r="N519" s="240" t="s">
        <v>5762</v>
      </c>
      <c r="O519" s="240" t="s">
        <v>1198</v>
      </c>
      <c r="P519" s="240" t="s">
        <v>5763</v>
      </c>
      <c r="Q519" s="239" t="s">
        <v>5695</v>
      </c>
      <c r="R519" s="241"/>
      <c r="S519" s="240" t="s">
        <v>5764</v>
      </c>
      <c r="T519" s="242" t="s">
        <v>1198</v>
      </c>
      <c r="U519" s="239" t="s">
        <v>2823</v>
      </c>
      <c r="V519" s="251"/>
    </row>
    <row r="520" spans="1:22" ht="30" customHeight="1">
      <c r="A520" s="239" t="s">
        <v>5683</v>
      </c>
      <c r="B520" s="239" t="s">
        <v>5684</v>
      </c>
      <c r="C520" s="240" t="s">
        <v>5685</v>
      </c>
      <c r="D520" s="239" t="s">
        <v>74</v>
      </c>
      <c r="E520" s="241" t="s">
        <v>2795</v>
      </c>
      <c r="F520" s="239" t="s">
        <v>2924</v>
      </c>
      <c r="G520" s="241"/>
      <c r="H520" s="241">
        <v>40</v>
      </c>
      <c r="I520" s="240" t="s">
        <v>5765</v>
      </c>
      <c r="J520" s="240"/>
      <c r="K520" s="240"/>
      <c r="L520" s="240"/>
      <c r="M520" s="240" t="s">
        <v>5749</v>
      </c>
      <c r="N520" s="240" t="s">
        <v>5766</v>
      </c>
      <c r="O520" s="240" t="s">
        <v>5767</v>
      </c>
      <c r="P520" s="240" t="s">
        <v>5768</v>
      </c>
      <c r="Q520" s="239" t="s">
        <v>5695</v>
      </c>
      <c r="R520" s="241"/>
      <c r="S520" s="240" t="s">
        <v>5769</v>
      </c>
      <c r="T520" s="242" t="s">
        <v>5770</v>
      </c>
      <c r="U520" s="239" t="s">
        <v>2823</v>
      </c>
      <c r="V520" s="251"/>
    </row>
    <row r="521" spans="1:22" ht="30" customHeight="1">
      <c r="A521" s="239" t="s">
        <v>5683</v>
      </c>
      <c r="B521" s="239" t="s">
        <v>5684</v>
      </c>
      <c r="C521" s="240" t="s">
        <v>5685</v>
      </c>
      <c r="D521" s="239" t="s">
        <v>74</v>
      </c>
      <c r="E521" s="241" t="s">
        <v>2795</v>
      </c>
      <c r="F521" s="239" t="s">
        <v>2924</v>
      </c>
      <c r="G521" s="241"/>
      <c r="H521" s="241">
        <v>40</v>
      </c>
      <c r="I521" s="240" t="s">
        <v>5771</v>
      </c>
      <c r="J521" s="240"/>
      <c r="K521" s="240"/>
      <c r="L521" s="240"/>
      <c r="M521" s="240" t="s">
        <v>5749</v>
      </c>
      <c r="N521" s="240" t="s">
        <v>5772</v>
      </c>
      <c r="O521" s="240" t="s">
        <v>5773</v>
      </c>
      <c r="P521" s="240" t="s">
        <v>5774</v>
      </c>
      <c r="Q521" s="239" t="s">
        <v>5695</v>
      </c>
      <c r="R521" s="241"/>
      <c r="S521" s="240" t="s">
        <v>5775</v>
      </c>
      <c r="T521" s="242" t="s">
        <v>5776</v>
      </c>
      <c r="U521" s="239" t="s">
        <v>2823</v>
      </c>
      <c r="V521" s="251"/>
    </row>
    <row r="522" spans="1:22" ht="30" customHeight="1">
      <c r="A522" s="239" t="s">
        <v>5683</v>
      </c>
      <c r="B522" s="239" t="s">
        <v>5684</v>
      </c>
      <c r="C522" s="240" t="s">
        <v>5685</v>
      </c>
      <c r="D522" s="239" t="s">
        <v>74</v>
      </c>
      <c r="E522" s="241" t="s">
        <v>2795</v>
      </c>
      <c r="F522" s="239" t="s">
        <v>2924</v>
      </c>
      <c r="G522" s="241"/>
      <c r="H522" s="241">
        <v>40</v>
      </c>
      <c r="I522" s="240" t="s">
        <v>5777</v>
      </c>
      <c r="J522" s="240"/>
      <c r="K522" s="240"/>
      <c r="L522" s="240"/>
      <c r="M522" s="240" t="s">
        <v>5778</v>
      </c>
      <c r="N522" s="240" t="s">
        <v>5779</v>
      </c>
      <c r="O522" s="240" t="s">
        <v>5780</v>
      </c>
      <c r="P522" s="240" t="s">
        <v>5781</v>
      </c>
      <c r="Q522" s="239" t="s">
        <v>5695</v>
      </c>
      <c r="R522" s="241"/>
      <c r="S522" s="240" t="s">
        <v>5782</v>
      </c>
      <c r="T522" s="242" t="s">
        <v>5783</v>
      </c>
      <c r="U522" s="239" t="s">
        <v>2823</v>
      </c>
      <c r="V522" s="251"/>
    </row>
    <row r="523" spans="1:22" ht="30" customHeight="1">
      <c r="A523" s="239" t="s">
        <v>5683</v>
      </c>
      <c r="B523" s="239" t="s">
        <v>5684</v>
      </c>
      <c r="C523" s="240" t="s">
        <v>5685</v>
      </c>
      <c r="D523" s="239" t="s">
        <v>74</v>
      </c>
      <c r="E523" s="241" t="s">
        <v>2795</v>
      </c>
      <c r="F523" s="239" t="s">
        <v>2924</v>
      </c>
      <c r="G523" s="241"/>
      <c r="H523" s="241">
        <v>40</v>
      </c>
      <c r="I523" s="240" t="s">
        <v>5784</v>
      </c>
      <c r="J523" s="240"/>
      <c r="K523" s="240"/>
      <c r="L523" s="240"/>
      <c r="M523" s="240" t="s">
        <v>5785</v>
      </c>
      <c r="N523" s="240" t="s">
        <v>5786</v>
      </c>
      <c r="O523" s="240" t="s">
        <v>5787</v>
      </c>
      <c r="P523" s="240" t="s">
        <v>5788</v>
      </c>
      <c r="Q523" s="239" t="s">
        <v>5695</v>
      </c>
      <c r="R523" s="241"/>
      <c r="S523" s="240" t="s">
        <v>5789</v>
      </c>
      <c r="T523" s="242" t="s">
        <v>5790</v>
      </c>
      <c r="U523" s="239" t="s">
        <v>2823</v>
      </c>
      <c r="V523" s="251"/>
    </row>
    <row r="524" spans="1:22" ht="30" customHeight="1">
      <c r="A524" s="239" t="s">
        <v>5683</v>
      </c>
      <c r="B524" s="239" t="s">
        <v>5684</v>
      </c>
      <c r="C524" s="240" t="s">
        <v>5685</v>
      </c>
      <c r="D524" s="239" t="s">
        <v>74</v>
      </c>
      <c r="E524" s="241" t="s">
        <v>2795</v>
      </c>
      <c r="F524" s="239" t="s">
        <v>2924</v>
      </c>
      <c r="G524" s="241"/>
      <c r="H524" s="241">
        <v>40</v>
      </c>
      <c r="I524" s="240" t="s">
        <v>5791</v>
      </c>
      <c r="J524" s="240"/>
      <c r="K524" s="240"/>
      <c r="L524" s="240"/>
      <c r="M524" s="240" t="s">
        <v>5792</v>
      </c>
      <c r="N524" s="240" t="s">
        <v>5793</v>
      </c>
      <c r="O524" s="240" t="s">
        <v>5794</v>
      </c>
      <c r="P524" s="240" t="s">
        <v>5795</v>
      </c>
      <c r="Q524" s="239" t="s">
        <v>5695</v>
      </c>
      <c r="R524" s="241"/>
      <c r="S524" s="240" t="s">
        <v>5796</v>
      </c>
      <c r="T524" s="242" t="s">
        <v>5797</v>
      </c>
      <c r="U524" s="239" t="s">
        <v>2935</v>
      </c>
      <c r="V524" s="251"/>
    </row>
    <row r="525" spans="1:22" ht="30" customHeight="1">
      <c r="A525" s="239" t="s">
        <v>5683</v>
      </c>
      <c r="B525" s="239" t="s">
        <v>5684</v>
      </c>
      <c r="C525" s="240" t="s">
        <v>5685</v>
      </c>
      <c r="D525" s="239" t="s">
        <v>74</v>
      </c>
      <c r="E525" s="241" t="s">
        <v>2795</v>
      </c>
      <c r="F525" s="239" t="s">
        <v>2924</v>
      </c>
      <c r="G525" s="241"/>
      <c r="H525" s="241">
        <v>40</v>
      </c>
      <c r="I525" s="240" t="s">
        <v>5798</v>
      </c>
      <c r="J525" s="240"/>
      <c r="K525" s="240"/>
      <c r="L525" s="240"/>
      <c r="M525" s="240" t="s">
        <v>5799</v>
      </c>
      <c r="N525" s="240" t="s">
        <v>5800</v>
      </c>
      <c r="O525" s="240" t="s">
        <v>5801</v>
      </c>
      <c r="P525" s="240" t="s">
        <v>5802</v>
      </c>
      <c r="Q525" s="239" t="s">
        <v>5695</v>
      </c>
      <c r="R525" s="241"/>
      <c r="S525" s="240" t="s">
        <v>5803</v>
      </c>
      <c r="T525" s="242" t="s">
        <v>5804</v>
      </c>
      <c r="U525" s="239" t="s">
        <v>3375</v>
      </c>
      <c r="V525" s="251"/>
    </row>
    <row r="526" spans="1:22" ht="30" customHeight="1">
      <c r="A526" s="239" t="s">
        <v>5683</v>
      </c>
      <c r="B526" s="239" t="s">
        <v>5684</v>
      </c>
      <c r="C526" s="240" t="s">
        <v>5685</v>
      </c>
      <c r="D526" s="239" t="s">
        <v>74</v>
      </c>
      <c r="E526" s="241" t="s">
        <v>2795</v>
      </c>
      <c r="F526" s="239" t="s">
        <v>2924</v>
      </c>
      <c r="G526" s="241"/>
      <c r="H526" s="241">
        <v>40</v>
      </c>
      <c r="I526" s="240" t="s">
        <v>5805</v>
      </c>
      <c r="J526" s="240"/>
      <c r="K526" s="240"/>
      <c r="L526" s="240"/>
      <c r="M526" s="240" t="s">
        <v>5806</v>
      </c>
      <c r="N526" s="240" t="s">
        <v>5807</v>
      </c>
      <c r="O526" s="240" t="s">
        <v>5808</v>
      </c>
      <c r="P526" s="240" t="s">
        <v>5809</v>
      </c>
      <c r="Q526" s="239" t="s">
        <v>5695</v>
      </c>
      <c r="R526" s="241"/>
      <c r="S526" s="240" t="s">
        <v>5810</v>
      </c>
      <c r="T526" s="242" t="s">
        <v>5811</v>
      </c>
      <c r="U526" s="239" t="s">
        <v>2823</v>
      </c>
      <c r="V526" s="251"/>
    </row>
    <row r="527" spans="1:22" ht="30" customHeight="1">
      <c r="A527" s="239" t="s">
        <v>5683</v>
      </c>
      <c r="B527" s="239" t="s">
        <v>5684</v>
      </c>
      <c r="C527" s="240" t="s">
        <v>5685</v>
      </c>
      <c r="D527" s="239" t="s">
        <v>74</v>
      </c>
      <c r="E527" s="241" t="s">
        <v>2795</v>
      </c>
      <c r="F527" s="239" t="s">
        <v>2924</v>
      </c>
      <c r="G527" s="241"/>
      <c r="H527" s="241">
        <v>40</v>
      </c>
      <c r="I527" s="240" t="s">
        <v>5812</v>
      </c>
      <c r="J527" s="240"/>
      <c r="K527" s="240"/>
      <c r="L527" s="240"/>
      <c r="M527" s="240" t="s">
        <v>5806</v>
      </c>
      <c r="N527" s="240" t="s">
        <v>5813</v>
      </c>
      <c r="O527" s="240" t="s">
        <v>5814</v>
      </c>
      <c r="P527" s="240" t="s">
        <v>5815</v>
      </c>
      <c r="Q527" s="239" t="s">
        <v>5695</v>
      </c>
      <c r="R527" s="241"/>
      <c r="S527" s="240" t="s">
        <v>5816</v>
      </c>
      <c r="T527" s="242" t="s">
        <v>5817</v>
      </c>
      <c r="U527" s="239" t="s">
        <v>2823</v>
      </c>
      <c r="V527" s="251"/>
    </row>
    <row r="528" spans="1:22" ht="30" customHeight="1">
      <c r="A528" s="239" t="s">
        <v>5683</v>
      </c>
      <c r="B528" s="239" t="s">
        <v>5684</v>
      </c>
      <c r="C528" s="240" t="s">
        <v>5685</v>
      </c>
      <c r="D528" s="239" t="s">
        <v>74</v>
      </c>
      <c r="E528" s="241" t="s">
        <v>2795</v>
      </c>
      <c r="F528" s="239" t="s">
        <v>2924</v>
      </c>
      <c r="G528" s="241"/>
      <c r="H528" s="241">
        <v>40</v>
      </c>
      <c r="I528" s="240" t="s">
        <v>5818</v>
      </c>
      <c r="J528" s="240"/>
      <c r="K528" s="240"/>
      <c r="L528" s="240"/>
      <c r="M528" s="240" t="s">
        <v>5806</v>
      </c>
      <c r="N528" s="240" t="s">
        <v>5819</v>
      </c>
      <c r="O528" s="240" t="s">
        <v>5820</v>
      </c>
      <c r="P528" s="240" t="s">
        <v>5821</v>
      </c>
      <c r="Q528" s="239" t="s">
        <v>5695</v>
      </c>
      <c r="R528" s="241"/>
      <c r="S528" s="240" t="s">
        <v>5822</v>
      </c>
      <c r="T528" s="242" t="s">
        <v>5823</v>
      </c>
      <c r="U528" s="239" t="s">
        <v>2823</v>
      </c>
      <c r="V528" s="251"/>
    </row>
    <row r="529" spans="1:22" ht="30" customHeight="1">
      <c r="A529" s="239" t="s">
        <v>5683</v>
      </c>
      <c r="B529" s="239" t="s">
        <v>5684</v>
      </c>
      <c r="C529" s="240" t="s">
        <v>5685</v>
      </c>
      <c r="D529" s="239" t="s">
        <v>74</v>
      </c>
      <c r="E529" s="241" t="s">
        <v>2795</v>
      </c>
      <c r="F529" s="239" t="s">
        <v>2924</v>
      </c>
      <c r="G529" s="241"/>
      <c r="H529" s="241">
        <v>40</v>
      </c>
      <c r="I529" s="240" t="s">
        <v>5824</v>
      </c>
      <c r="J529" s="240"/>
      <c r="K529" s="240"/>
      <c r="L529" s="240"/>
      <c r="M529" s="240" t="s">
        <v>5785</v>
      </c>
      <c r="N529" s="240" t="s">
        <v>5825</v>
      </c>
      <c r="O529" s="240" t="s">
        <v>5826</v>
      </c>
      <c r="P529" s="240" t="s">
        <v>5827</v>
      </c>
      <c r="Q529" s="239" t="s">
        <v>5695</v>
      </c>
      <c r="R529" s="241"/>
      <c r="S529" s="240" t="s">
        <v>5828</v>
      </c>
      <c r="T529" s="242" t="s">
        <v>5829</v>
      </c>
      <c r="U529" s="239" t="s">
        <v>2935</v>
      </c>
      <c r="V529" s="251"/>
    </row>
    <row r="530" spans="1:22" ht="30" customHeight="1">
      <c r="A530" s="239" t="s">
        <v>5683</v>
      </c>
      <c r="B530" s="239" t="s">
        <v>5684</v>
      </c>
      <c r="C530" s="240" t="s">
        <v>5685</v>
      </c>
      <c r="D530" s="239" t="s">
        <v>74</v>
      </c>
      <c r="E530" s="241" t="s">
        <v>2795</v>
      </c>
      <c r="F530" s="239" t="s">
        <v>2924</v>
      </c>
      <c r="G530" s="241"/>
      <c r="H530" s="241">
        <v>40</v>
      </c>
      <c r="I530" s="240" t="s">
        <v>5830</v>
      </c>
      <c r="J530" s="240"/>
      <c r="K530" s="240"/>
      <c r="L530" s="240"/>
      <c r="M530" s="240" t="s">
        <v>5785</v>
      </c>
      <c r="N530" s="240" t="s">
        <v>5831</v>
      </c>
      <c r="O530" s="240" t="s">
        <v>5832</v>
      </c>
      <c r="P530" s="240" t="s">
        <v>5833</v>
      </c>
      <c r="Q530" s="239" t="s">
        <v>5695</v>
      </c>
      <c r="R530" s="241"/>
      <c r="S530" s="240" t="s">
        <v>5834</v>
      </c>
      <c r="T530" s="242" t="s">
        <v>5835</v>
      </c>
      <c r="U530" s="239" t="s">
        <v>2935</v>
      </c>
      <c r="V530" s="251"/>
    </row>
    <row r="531" spans="1:22" ht="30" customHeight="1">
      <c r="A531" s="239" t="s">
        <v>5683</v>
      </c>
      <c r="B531" s="239" t="s">
        <v>5684</v>
      </c>
      <c r="C531" s="240" t="s">
        <v>5685</v>
      </c>
      <c r="D531" s="239" t="s">
        <v>74</v>
      </c>
      <c r="E531" s="241" t="s">
        <v>2795</v>
      </c>
      <c r="F531" s="239" t="s">
        <v>2924</v>
      </c>
      <c r="G531" s="241"/>
      <c r="H531" s="241">
        <v>40</v>
      </c>
      <c r="I531" s="240" t="s">
        <v>5836</v>
      </c>
      <c r="J531" s="240"/>
      <c r="K531" s="240"/>
      <c r="L531" s="240"/>
      <c r="M531" s="240" t="s">
        <v>5785</v>
      </c>
      <c r="N531" s="240" t="s">
        <v>5837</v>
      </c>
      <c r="O531" s="240" t="s">
        <v>5838</v>
      </c>
      <c r="P531" s="240" t="s">
        <v>5839</v>
      </c>
      <c r="Q531" s="239" t="s">
        <v>5695</v>
      </c>
      <c r="R531" s="241"/>
      <c r="S531" s="240" t="s">
        <v>5840</v>
      </c>
      <c r="T531" s="242" t="s">
        <v>5841</v>
      </c>
      <c r="U531" s="239" t="s">
        <v>2935</v>
      </c>
      <c r="V531" s="251"/>
    </row>
    <row r="532" spans="1:22" ht="30" customHeight="1">
      <c r="A532" s="239" t="s">
        <v>5683</v>
      </c>
      <c r="B532" s="239" t="s">
        <v>5684</v>
      </c>
      <c r="C532" s="240" t="s">
        <v>5685</v>
      </c>
      <c r="D532" s="239" t="s">
        <v>74</v>
      </c>
      <c r="E532" s="241" t="s">
        <v>2795</v>
      </c>
      <c r="F532" s="239" t="s">
        <v>2924</v>
      </c>
      <c r="G532" s="241"/>
      <c r="H532" s="241">
        <v>40</v>
      </c>
      <c r="I532" s="240" t="s">
        <v>5842</v>
      </c>
      <c r="J532" s="240"/>
      <c r="K532" s="240"/>
      <c r="L532" s="240"/>
      <c r="M532" s="240" t="s">
        <v>5785</v>
      </c>
      <c r="N532" s="240" t="s">
        <v>5843</v>
      </c>
      <c r="O532" s="240" t="s">
        <v>5844</v>
      </c>
      <c r="P532" s="240" t="s">
        <v>5845</v>
      </c>
      <c r="Q532" s="239" t="s">
        <v>5695</v>
      </c>
      <c r="R532" s="241"/>
      <c r="S532" s="240" t="s">
        <v>5846</v>
      </c>
      <c r="T532" s="242" t="s">
        <v>5847</v>
      </c>
      <c r="U532" s="239" t="s">
        <v>2935</v>
      </c>
      <c r="V532" s="251"/>
    </row>
    <row r="533" spans="1:22" ht="30" customHeight="1">
      <c r="A533" s="239" t="s">
        <v>5683</v>
      </c>
      <c r="B533" s="239" t="s">
        <v>5684</v>
      </c>
      <c r="C533" s="240" t="s">
        <v>5685</v>
      </c>
      <c r="D533" s="239" t="s">
        <v>74</v>
      </c>
      <c r="E533" s="241" t="s">
        <v>2795</v>
      </c>
      <c r="F533" s="239" t="s">
        <v>2924</v>
      </c>
      <c r="G533" s="241"/>
      <c r="H533" s="241">
        <v>40</v>
      </c>
      <c r="I533" s="240" t="s">
        <v>5848</v>
      </c>
      <c r="J533" s="240"/>
      <c r="K533" s="240"/>
      <c r="L533" s="240"/>
      <c r="M533" s="240" t="s">
        <v>5785</v>
      </c>
      <c r="N533" s="240" t="s">
        <v>5849</v>
      </c>
      <c r="O533" s="240" t="s">
        <v>5850</v>
      </c>
      <c r="P533" s="240" t="s">
        <v>5851</v>
      </c>
      <c r="Q533" s="239" t="s">
        <v>5695</v>
      </c>
      <c r="R533" s="241"/>
      <c r="S533" s="240" t="s">
        <v>5852</v>
      </c>
      <c r="T533" s="242" t="s">
        <v>5853</v>
      </c>
      <c r="U533" s="239" t="s">
        <v>2935</v>
      </c>
      <c r="V533" s="251"/>
    </row>
    <row r="534" spans="1:22" ht="30" customHeight="1">
      <c r="A534" s="239" t="s">
        <v>5683</v>
      </c>
      <c r="B534" s="239" t="s">
        <v>5684</v>
      </c>
      <c r="C534" s="240" t="s">
        <v>5685</v>
      </c>
      <c r="D534" s="239" t="s">
        <v>74</v>
      </c>
      <c r="E534" s="241" t="s">
        <v>2795</v>
      </c>
      <c r="F534" s="239" t="s">
        <v>2924</v>
      </c>
      <c r="G534" s="241"/>
      <c r="H534" s="241">
        <v>40</v>
      </c>
      <c r="I534" s="240" t="s">
        <v>5854</v>
      </c>
      <c r="J534" s="240"/>
      <c r="K534" s="240"/>
      <c r="L534" s="240"/>
      <c r="M534" s="240" t="s">
        <v>5785</v>
      </c>
      <c r="N534" s="240" t="s">
        <v>5855</v>
      </c>
      <c r="O534" s="240" t="s">
        <v>5856</v>
      </c>
      <c r="P534" s="240" t="s">
        <v>5857</v>
      </c>
      <c r="Q534" s="239" t="s">
        <v>5695</v>
      </c>
      <c r="R534" s="241"/>
      <c r="S534" s="240" t="s">
        <v>5858</v>
      </c>
      <c r="T534" s="242" t="s">
        <v>5859</v>
      </c>
      <c r="U534" s="239" t="s">
        <v>2935</v>
      </c>
      <c r="V534" s="251"/>
    </row>
    <row r="535" spans="1:22" ht="30" customHeight="1">
      <c r="A535" s="239" t="s">
        <v>5683</v>
      </c>
      <c r="B535" s="239" t="s">
        <v>5684</v>
      </c>
      <c r="C535" s="240" t="s">
        <v>5685</v>
      </c>
      <c r="D535" s="239" t="s">
        <v>74</v>
      </c>
      <c r="E535" s="241" t="s">
        <v>2795</v>
      </c>
      <c r="F535" s="239" t="s">
        <v>2924</v>
      </c>
      <c r="G535" s="241"/>
      <c r="H535" s="241">
        <v>40</v>
      </c>
      <c r="I535" s="240" t="s">
        <v>5860</v>
      </c>
      <c r="J535" s="240"/>
      <c r="K535" s="240"/>
      <c r="L535" s="240"/>
      <c r="M535" s="240" t="s">
        <v>5861</v>
      </c>
      <c r="N535" s="240" t="s">
        <v>5862</v>
      </c>
      <c r="O535" s="240" t="s">
        <v>5863</v>
      </c>
      <c r="P535" s="240" t="s">
        <v>5864</v>
      </c>
      <c r="Q535" s="239" t="s">
        <v>5695</v>
      </c>
      <c r="R535" s="241"/>
      <c r="S535" s="240" t="s">
        <v>5865</v>
      </c>
      <c r="T535" s="242" t="s">
        <v>5866</v>
      </c>
      <c r="U535" s="239" t="s">
        <v>2935</v>
      </c>
      <c r="V535" s="251"/>
    </row>
    <row r="536" spans="1:22" ht="30" customHeight="1">
      <c r="A536" s="239" t="s">
        <v>5683</v>
      </c>
      <c r="B536" s="239" t="s">
        <v>5684</v>
      </c>
      <c r="C536" s="240" t="s">
        <v>5685</v>
      </c>
      <c r="D536" s="239" t="s">
        <v>74</v>
      </c>
      <c r="E536" s="241" t="s">
        <v>2795</v>
      </c>
      <c r="F536" s="239" t="s">
        <v>2924</v>
      </c>
      <c r="G536" s="241"/>
      <c r="H536" s="241">
        <v>40</v>
      </c>
      <c r="I536" s="240" t="s">
        <v>5867</v>
      </c>
      <c r="J536" s="240"/>
      <c r="K536" s="240"/>
      <c r="L536" s="240"/>
      <c r="M536" s="240" t="s">
        <v>5799</v>
      </c>
      <c r="N536" s="240" t="s">
        <v>5868</v>
      </c>
      <c r="O536" s="240" t="s">
        <v>5869</v>
      </c>
      <c r="P536" s="240" t="s">
        <v>5870</v>
      </c>
      <c r="Q536" s="239" t="s">
        <v>5695</v>
      </c>
      <c r="R536" s="241"/>
      <c r="S536" s="240" t="s">
        <v>5871</v>
      </c>
      <c r="T536" s="242" t="s">
        <v>5872</v>
      </c>
      <c r="U536" s="239" t="s">
        <v>5873</v>
      </c>
      <c r="V536" s="251"/>
    </row>
    <row r="537" spans="1:22" ht="30" customHeight="1">
      <c r="A537" s="239" t="s">
        <v>5683</v>
      </c>
      <c r="B537" s="239" t="s">
        <v>5684</v>
      </c>
      <c r="C537" s="240" t="s">
        <v>5685</v>
      </c>
      <c r="D537" s="239" t="s">
        <v>74</v>
      </c>
      <c r="E537" s="241" t="s">
        <v>2795</v>
      </c>
      <c r="F537" s="239" t="s">
        <v>2924</v>
      </c>
      <c r="G537" s="241"/>
      <c r="H537" s="241">
        <v>40</v>
      </c>
      <c r="I537" s="240" t="s">
        <v>5874</v>
      </c>
      <c r="J537" s="240"/>
      <c r="K537" s="240"/>
      <c r="L537" s="240"/>
      <c r="M537" s="240" t="s">
        <v>5799</v>
      </c>
      <c r="N537" s="240" t="s">
        <v>5875</v>
      </c>
      <c r="O537" s="240" t="s">
        <v>5876</v>
      </c>
      <c r="P537" s="240" t="s">
        <v>5877</v>
      </c>
      <c r="Q537" s="239" t="s">
        <v>5695</v>
      </c>
      <c r="R537" s="241"/>
      <c r="S537" s="240" t="s">
        <v>5878</v>
      </c>
      <c r="T537" s="242" t="s">
        <v>5879</v>
      </c>
      <c r="U537" s="239" t="s">
        <v>5873</v>
      </c>
      <c r="V537" s="251"/>
    </row>
    <row r="538" spans="1:22" ht="30" customHeight="1">
      <c r="A538" s="239" t="s">
        <v>5683</v>
      </c>
      <c r="B538" s="239" t="s">
        <v>5684</v>
      </c>
      <c r="C538" s="240" t="s">
        <v>5685</v>
      </c>
      <c r="D538" s="239" t="s">
        <v>74</v>
      </c>
      <c r="E538" s="241" t="s">
        <v>2795</v>
      </c>
      <c r="F538" s="239" t="s">
        <v>2924</v>
      </c>
      <c r="G538" s="241"/>
      <c r="H538" s="241">
        <v>40</v>
      </c>
      <c r="I538" s="240" t="s">
        <v>5880</v>
      </c>
      <c r="J538" s="240"/>
      <c r="K538" s="240"/>
      <c r="L538" s="240"/>
      <c r="M538" s="240" t="s">
        <v>5799</v>
      </c>
      <c r="N538" s="240" t="s">
        <v>5881</v>
      </c>
      <c r="O538" s="240" t="s">
        <v>5882</v>
      </c>
      <c r="P538" s="240" t="s">
        <v>5883</v>
      </c>
      <c r="Q538" s="239" t="s">
        <v>5695</v>
      </c>
      <c r="R538" s="241"/>
      <c r="S538" s="240" t="s">
        <v>5884</v>
      </c>
      <c r="T538" s="242" t="s">
        <v>5885</v>
      </c>
      <c r="U538" s="239" t="s">
        <v>5873</v>
      </c>
      <c r="V538" s="251"/>
    </row>
    <row r="539" spans="1:22" ht="30" customHeight="1">
      <c r="A539" s="239" t="s">
        <v>5683</v>
      </c>
      <c r="B539" s="239" t="s">
        <v>5684</v>
      </c>
      <c r="C539" s="240" t="s">
        <v>5685</v>
      </c>
      <c r="D539" s="239" t="s">
        <v>74</v>
      </c>
      <c r="E539" s="241" t="s">
        <v>2795</v>
      </c>
      <c r="F539" s="239" t="s">
        <v>2924</v>
      </c>
      <c r="G539" s="241"/>
      <c r="H539" s="241">
        <v>40</v>
      </c>
      <c r="I539" s="240" t="s">
        <v>5886</v>
      </c>
      <c r="J539" s="240"/>
      <c r="K539" s="240"/>
      <c r="L539" s="240"/>
      <c r="M539" s="240" t="s">
        <v>5887</v>
      </c>
      <c r="N539" s="240" t="s">
        <v>5888</v>
      </c>
      <c r="O539" s="240" t="s">
        <v>5889</v>
      </c>
      <c r="P539" s="240" t="s">
        <v>5890</v>
      </c>
      <c r="Q539" s="239" t="s">
        <v>5695</v>
      </c>
      <c r="R539" s="241"/>
      <c r="S539" s="240" t="s">
        <v>5891</v>
      </c>
      <c r="T539" s="242" t="s">
        <v>5891</v>
      </c>
      <c r="U539" s="239" t="s">
        <v>2935</v>
      </c>
      <c r="V539" s="251"/>
    </row>
    <row r="540" spans="1:22" ht="30" customHeight="1">
      <c r="A540" s="239" t="s">
        <v>5683</v>
      </c>
      <c r="B540" s="239" t="s">
        <v>5684</v>
      </c>
      <c r="C540" s="240" t="s">
        <v>5685</v>
      </c>
      <c r="D540" s="239" t="s">
        <v>74</v>
      </c>
      <c r="E540" s="241" t="s">
        <v>2795</v>
      </c>
      <c r="F540" s="239" t="s">
        <v>2924</v>
      </c>
      <c r="G540" s="241"/>
      <c r="H540" s="241">
        <v>40</v>
      </c>
      <c r="I540" s="240" t="s">
        <v>5892</v>
      </c>
      <c r="J540" s="240"/>
      <c r="K540" s="240"/>
      <c r="L540" s="240"/>
      <c r="M540" s="240" t="s">
        <v>5893</v>
      </c>
      <c r="N540" s="240" t="s">
        <v>5894</v>
      </c>
      <c r="O540" s="240" t="s">
        <v>5895</v>
      </c>
      <c r="P540" s="240" t="s">
        <v>5896</v>
      </c>
      <c r="Q540" s="239" t="s">
        <v>5695</v>
      </c>
      <c r="R540" s="241"/>
      <c r="S540" s="240" t="s">
        <v>5897</v>
      </c>
      <c r="T540" s="242" t="s">
        <v>5898</v>
      </c>
      <c r="U540" s="239" t="s">
        <v>2823</v>
      </c>
      <c r="V540" s="251"/>
    </row>
    <row r="541" spans="1:22" ht="30" customHeight="1">
      <c r="A541" s="239" t="s">
        <v>5683</v>
      </c>
      <c r="B541" s="239" t="s">
        <v>5684</v>
      </c>
      <c r="C541" s="240" t="s">
        <v>5685</v>
      </c>
      <c r="D541" s="239" t="s">
        <v>74</v>
      </c>
      <c r="E541" s="241" t="s">
        <v>2795</v>
      </c>
      <c r="F541" s="239" t="s">
        <v>2924</v>
      </c>
      <c r="G541" s="241"/>
      <c r="H541" s="241">
        <v>40</v>
      </c>
      <c r="I541" s="240" t="s">
        <v>5899</v>
      </c>
      <c r="J541" s="240"/>
      <c r="K541" s="240"/>
      <c r="L541" s="240"/>
      <c r="M541" s="240" t="s">
        <v>5900</v>
      </c>
      <c r="N541" s="240" t="s">
        <v>5901</v>
      </c>
      <c r="O541" s="240" t="s">
        <v>5902</v>
      </c>
      <c r="P541" s="240" t="s">
        <v>5903</v>
      </c>
      <c r="Q541" s="239" t="s">
        <v>5695</v>
      </c>
      <c r="R541" s="241"/>
      <c r="S541" s="240" t="s">
        <v>5904</v>
      </c>
      <c r="T541" s="242" t="s">
        <v>5905</v>
      </c>
      <c r="U541" s="239" t="s">
        <v>3375</v>
      </c>
      <c r="V541" s="251"/>
    </row>
    <row r="542" spans="1:22" ht="30" customHeight="1">
      <c r="A542" s="239" t="s">
        <v>5683</v>
      </c>
      <c r="B542" s="239" t="s">
        <v>5684</v>
      </c>
      <c r="C542" s="240" t="s">
        <v>5685</v>
      </c>
      <c r="D542" s="239" t="s">
        <v>74</v>
      </c>
      <c r="E542" s="241" t="s">
        <v>2795</v>
      </c>
      <c r="F542" s="239" t="s">
        <v>2924</v>
      </c>
      <c r="G542" s="241"/>
      <c r="H542" s="241">
        <v>40</v>
      </c>
      <c r="I542" s="240" t="s">
        <v>5906</v>
      </c>
      <c r="J542" s="240"/>
      <c r="K542" s="240"/>
      <c r="L542" s="240"/>
      <c r="M542" s="240" t="s">
        <v>5893</v>
      </c>
      <c r="N542" s="240" t="s">
        <v>5907</v>
      </c>
      <c r="O542" s="240" t="s">
        <v>5908</v>
      </c>
      <c r="P542" s="240" t="s">
        <v>5909</v>
      </c>
      <c r="Q542" s="239" t="s">
        <v>5695</v>
      </c>
      <c r="R542" s="241"/>
      <c r="S542" s="240" t="s">
        <v>5910</v>
      </c>
      <c r="T542" s="242" t="s">
        <v>5911</v>
      </c>
      <c r="U542" s="239" t="s">
        <v>2823</v>
      </c>
      <c r="V542" s="251"/>
    </row>
    <row r="543" spans="1:22" ht="30" customHeight="1">
      <c r="A543" s="239" t="s">
        <v>5683</v>
      </c>
      <c r="B543" s="239" t="s">
        <v>5684</v>
      </c>
      <c r="C543" s="240" t="s">
        <v>5685</v>
      </c>
      <c r="D543" s="239" t="s">
        <v>74</v>
      </c>
      <c r="E543" s="241" t="s">
        <v>2795</v>
      </c>
      <c r="F543" s="239" t="s">
        <v>2924</v>
      </c>
      <c r="G543" s="241"/>
      <c r="H543" s="241">
        <v>40</v>
      </c>
      <c r="I543" s="240" t="s">
        <v>5912</v>
      </c>
      <c r="J543" s="240"/>
      <c r="K543" s="240"/>
      <c r="L543" s="240"/>
      <c r="M543" s="240" t="s">
        <v>5893</v>
      </c>
      <c r="N543" s="240" t="s">
        <v>5913</v>
      </c>
      <c r="O543" s="240" t="s">
        <v>5914</v>
      </c>
      <c r="P543" s="240" t="s">
        <v>5915</v>
      </c>
      <c r="Q543" s="239" t="s">
        <v>5695</v>
      </c>
      <c r="R543" s="241"/>
      <c r="S543" s="240" t="s">
        <v>5916</v>
      </c>
      <c r="T543" s="242" t="s">
        <v>5917</v>
      </c>
      <c r="U543" s="239" t="s">
        <v>2823</v>
      </c>
      <c r="V543" s="251"/>
    </row>
    <row r="544" spans="1:22" ht="30" customHeight="1">
      <c r="A544" s="239" t="s">
        <v>5683</v>
      </c>
      <c r="B544" s="239" t="s">
        <v>5684</v>
      </c>
      <c r="C544" s="240" t="s">
        <v>5685</v>
      </c>
      <c r="D544" s="239" t="s">
        <v>74</v>
      </c>
      <c r="E544" s="241" t="s">
        <v>2795</v>
      </c>
      <c r="F544" s="239" t="s">
        <v>2924</v>
      </c>
      <c r="G544" s="241"/>
      <c r="H544" s="241">
        <v>40</v>
      </c>
      <c r="I544" s="240" t="s">
        <v>5918</v>
      </c>
      <c r="J544" s="240"/>
      <c r="K544" s="240"/>
      <c r="L544" s="240"/>
      <c r="M544" s="240" t="s">
        <v>5919</v>
      </c>
      <c r="N544" s="240" t="s">
        <v>5920</v>
      </c>
      <c r="O544" s="240" t="s">
        <v>5921</v>
      </c>
      <c r="P544" s="240" t="s">
        <v>5922</v>
      </c>
      <c r="Q544" s="239" t="s">
        <v>5695</v>
      </c>
      <c r="R544" s="241"/>
      <c r="S544" s="240" t="s">
        <v>5923</v>
      </c>
      <c r="T544" s="242" t="s">
        <v>5924</v>
      </c>
      <c r="U544" s="239" t="s">
        <v>2935</v>
      </c>
      <c r="V544" s="251"/>
    </row>
    <row r="545" spans="1:22" ht="30" customHeight="1">
      <c r="A545" s="239" t="s">
        <v>5683</v>
      </c>
      <c r="B545" s="239" t="s">
        <v>5684</v>
      </c>
      <c r="C545" s="240" t="s">
        <v>5685</v>
      </c>
      <c r="D545" s="239" t="s">
        <v>74</v>
      </c>
      <c r="E545" s="241" t="s">
        <v>2795</v>
      </c>
      <c r="F545" s="239" t="s">
        <v>2924</v>
      </c>
      <c r="G545" s="241"/>
      <c r="H545" s="241">
        <v>40</v>
      </c>
      <c r="I545" s="240" t="s">
        <v>5925</v>
      </c>
      <c r="J545" s="240"/>
      <c r="K545" s="240"/>
      <c r="L545" s="240"/>
      <c r="M545" s="240" t="s">
        <v>5926</v>
      </c>
      <c r="N545" s="240" t="s">
        <v>5927</v>
      </c>
      <c r="O545" s="240" t="s">
        <v>5928</v>
      </c>
      <c r="P545" s="240" t="s">
        <v>5929</v>
      </c>
      <c r="Q545" s="239" t="s">
        <v>5695</v>
      </c>
      <c r="R545" s="241"/>
      <c r="S545" s="240" t="s">
        <v>5930</v>
      </c>
      <c r="T545" s="242" t="s">
        <v>5931</v>
      </c>
      <c r="U545" s="239" t="s">
        <v>2935</v>
      </c>
      <c r="V545" s="251"/>
    </row>
    <row r="546" spans="1:22" ht="30" customHeight="1">
      <c r="A546" s="239" t="s">
        <v>5683</v>
      </c>
      <c r="B546" s="239" t="s">
        <v>5684</v>
      </c>
      <c r="C546" s="240" t="s">
        <v>5685</v>
      </c>
      <c r="D546" s="239" t="s">
        <v>74</v>
      </c>
      <c r="E546" s="241" t="s">
        <v>2795</v>
      </c>
      <c r="F546" s="239" t="s">
        <v>2924</v>
      </c>
      <c r="G546" s="241"/>
      <c r="H546" s="241">
        <v>40</v>
      </c>
      <c r="I546" s="240" t="s">
        <v>5932</v>
      </c>
      <c r="J546" s="240"/>
      <c r="K546" s="240"/>
      <c r="L546" s="240"/>
      <c r="M546" s="240" t="s">
        <v>5933</v>
      </c>
      <c r="N546" s="240" t="s">
        <v>5934</v>
      </c>
      <c r="O546" s="240" t="s">
        <v>5935</v>
      </c>
      <c r="P546" s="240" t="s">
        <v>5936</v>
      </c>
      <c r="Q546" s="239" t="s">
        <v>5695</v>
      </c>
      <c r="R546" s="241"/>
      <c r="S546" s="240" t="s">
        <v>5937</v>
      </c>
      <c r="T546" s="242" t="s">
        <v>5938</v>
      </c>
      <c r="U546" s="239" t="s">
        <v>2935</v>
      </c>
      <c r="V546" s="251"/>
    </row>
    <row r="547" spans="1:22" ht="30" customHeight="1">
      <c r="A547" s="239" t="s">
        <v>5683</v>
      </c>
      <c r="B547" s="239" t="s">
        <v>5684</v>
      </c>
      <c r="C547" s="240" t="s">
        <v>5685</v>
      </c>
      <c r="D547" s="239" t="s">
        <v>74</v>
      </c>
      <c r="E547" s="241" t="s">
        <v>2795</v>
      </c>
      <c r="F547" s="239" t="s">
        <v>2924</v>
      </c>
      <c r="G547" s="241"/>
      <c r="H547" s="241">
        <v>40</v>
      </c>
      <c r="I547" s="240" t="s">
        <v>5939</v>
      </c>
      <c r="J547" s="240"/>
      <c r="K547" s="240"/>
      <c r="L547" s="240"/>
      <c r="M547" s="240" t="s">
        <v>5933</v>
      </c>
      <c r="N547" s="240" t="s">
        <v>5940</v>
      </c>
      <c r="O547" s="240" t="s">
        <v>5941</v>
      </c>
      <c r="P547" s="240" t="s">
        <v>5942</v>
      </c>
      <c r="Q547" s="239" t="s">
        <v>5695</v>
      </c>
      <c r="R547" s="241"/>
      <c r="S547" s="240" t="s">
        <v>5943</v>
      </c>
      <c r="T547" s="242" t="s">
        <v>5944</v>
      </c>
      <c r="U547" s="239" t="s">
        <v>2935</v>
      </c>
      <c r="V547" s="251"/>
    </row>
    <row r="548" spans="1:22" ht="30" customHeight="1">
      <c r="A548" s="239" t="s">
        <v>5683</v>
      </c>
      <c r="B548" s="239" t="s">
        <v>5684</v>
      </c>
      <c r="C548" s="240" t="s">
        <v>5685</v>
      </c>
      <c r="D548" s="239" t="s">
        <v>74</v>
      </c>
      <c r="E548" s="241" t="s">
        <v>2795</v>
      </c>
      <c r="F548" s="239" t="s">
        <v>2924</v>
      </c>
      <c r="G548" s="241"/>
      <c r="H548" s="241">
        <v>40</v>
      </c>
      <c r="I548" s="240" t="s">
        <v>5945</v>
      </c>
      <c r="J548" s="240"/>
      <c r="K548" s="240"/>
      <c r="L548" s="240"/>
      <c r="M548" s="240" t="s">
        <v>5919</v>
      </c>
      <c r="N548" s="240" t="s">
        <v>5946</v>
      </c>
      <c r="O548" s="240" t="s">
        <v>5947</v>
      </c>
      <c r="P548" s="240" t="s">
        <v>5948</v>
      </c>
      <c r="Q548" s="239" t="s">
        <v>5695</v>
      </c>
      <c r="R548" s="241"/>
      <c r="S548" s="240" t="s">
        <v>5949</v>
      </c>
      <c r="T548" s="242" t="s">
        <v>5950</v>
      </c>
      <c r="U548" s="239" t="s">
        <v>2935</v>
      </c>
      <c r="V548" s="251"/>
    </row>
    <row r="549" spans="1:22" ht="30" customHeight="1">
      <c r="A549" s="239" t="s">
        <v>5683</v>
      </c>
      <c r="B549" s="239" t="s">
        <v>5684</v>
      </c>
      <c r="C549" s="240" t="s">
        <v>5685</v>
      </c>
      <c r="D549" s="239" t="s">
        <v>74</v>
      </c>
      <c r="E549" s="241" t="s">
        <v>2795</v>
      </c>
      <c r="F549" s="239" t="s">
        <v>2924</v>
      </c>
      <c r="G549" s="241"/>
      <c r="H549" s="241">
        <v>40</v>
      </c>
      <c r="I549" s="240" t="s">
        <v>5951</v>
      </c>
      <c r="J549" s="240"/>
      <c r="K549" s="240"/>
      <c r="L549" s="240"/>
      <c r="M549" s="240" t="s">
        <v>5919</v>
      </c>
      <c r="N549" s="240" t="s">
        <v>5952</v>
      </c>
      <c r="O549" s="240" t="s">
        <v>5953</v>
      </c>
      <c r="P549" s="240" t="s">
        <v>5954</v>
      </c>
      <c r="Q549" s="239" t="s">
        <v>5695</v>
      </c>
      <c r="R549" s="241"/>
      <c r="S549" s="240" t="s">
        <v>5955</v>
      </c>
      <c r="T549" s="242" t="s">
        <v>5956</v>
      </c>
      <c r="U549" s="239" t="s">
        <v>2935</v>
      </c>
      <c r="V549" s="251"/>
    </row>
    <row r="550" spans="1:22" ht="30" customHeight="1">
      <c r="A550" s="239" t="s">
        <v>5683</v>
      </c>
      <c r="B550" s="239" t="s">
        <v>5684</v>
      </c>
      <c r="C550" s="240" t="s">
        <v>5685</v>
      </c>
      <c r="D550" s="239" t="s">
        <v>74</v>
      </c>
      <c r="E550" s="241" t="s">
        <v>2795</v>
      </c>
      <c r="F550" s="239" t="s">
        <v>2924</v>
      </c>
      <c r="G550" s="241"/>
      <c r="H550" s="241">
        <v>40</v>
      </c>
      <c r="I550" s="240" t="s">
        <v>5957</v>
      </c>
      <c r="J550" s="240"/>
      <c r="K550" s="240"/>
      <c r="L550" s="240"/>
      <c r="M550" s="240" t="s">
        <v>5958</v>
      </c>
      <c r="N550" s="240" t="s">
        <v>5959</v>
      </c>
      <c r="O550" s="240" t="s">
        <v>5960</v>
      </c>
      <c r="P550" s="240" t="s">
        <v>5961</v>
      </c>
      <c r="Q550" s="239" t="s">
        <v>5695</v>
      </c>
      <c r="R550" s="241"/>
      <c r="S550" s="240" t="s">
        <v>5962</v>
      </c>
      <c r="T550" s="242" t="s">
        <v>5963</v>
      </c>
      <c r="U550" s="239" t="s">
        <v>2935</v>
      </c>
      <c r="V550" s="251"/>
    </row>
    <row r="551" spans="1:22" ht="30" customHeight="1">
      <c r="A551" s="239" t="s">
        <v>5683</v>
      </c>
      <c r="B551" s="239" t="s">
        <v>5684</v>
      </c>
      <c r="C551" s="240" t="s">
        <v>5685</v>
      </c>
      <c r="D551" s="239" t="s">
        <v>74</v>
      </c>
      <c r="E551" s="241" t="s">
        <v>2795</v>
      </c>
      <c r="F551" s="239" t="s">
        <v>2924</v>
      </c>
      <c r="G551" s="241"/>
      <c r="H551" s="241">
        <v>40</v>
      </c>
      <c r="I551" s="240" t="s">
        <v>5964</v>
      </c>
      <c r="J551" s="240"/>
      <c r="K551" s="240"/>
      <c r="L551" s="240"/>
      <c r="M551" s="240" t="s">
        <v>5933</v>
      </c>
      <c r="N551" s="240" t="s">
        <v>5965</v>
      </c>
      <c r="O551" s="240" t="s">
        <v>5966</v>
      </c>
      <c r="P551" s="240" t="s">
        <v>5967</v>
      </c>
      <c r="Q551" s="239" t="s">
        <v>5695</v>
      </c>
      <c r="R551" s="241"/>
      <c r="S551" s="240" t="s">
        <v>5968</v>
      </c>
      <c r="T551" s="242" t="s">
        <v>5969</v>
      </c>
      <c r="U551" s="239" t="s">
        <v>2935</v>
      </c>
      <c r="V551" s="251"/>
    </row>
    <row r="552" spans="1:22" ht="30" customHeight="1">
      <c r="A552" s="239" t="s">
        <v>5683</v>
      </c>
      <c r="B552" s="239" t="s">
        <v>5684</v>
      </c>
      <c r="C552" s="240" t="s">
        <v>5685</v>
      </c>
      <c r="D552" s="239" t="s">
        <v>74</v>
      </c>
      <c r="E552" s="241" t="s">
        <v>2795</v>
      </c>
      <c r="F552" s="239" t="s">
        <v>2924</v>
      </c>
      <c r="G552" s="241"/>
      <c r="H552" s="241">
        <v>40</v>
      </c>
      <c r="I552" s="240" t="s">
        <v>5970</v>
      </c>
      <c r="J552" s="240"/>
      <c r="K552" s="240"/>
      <c r="L552" s="240"/>
      <c r="M552" s="240" t="s">
        <v>5933</v>
      </c>
      <c r="N552" s="240" t="s">
        <v>5971</v>
      </c>
      <c r="O552" s="240" t="s">
        <v>1198</v>
      </c>
      <c r="P552" s="240" t="s">
        <v>5972</v>
      </c>
      <c r="Q552" s="239" t="s">
        <v>5695</v>
      </c>
      <c r="R552" s="241"/>
      <c r="S552" s="240" t="s">
        <v>5973</v>
      </c>
      <c r="T552" s="242" t="s">
        <v>1198</v>
      </c>
      <c r="U552" s="239" t="s">
        <v>2935</v>
      </c>
      <c r="V552" s="251"/>
    </row>
    <row r="553" spans="1:22" ht="30" customHeight="1">
      <c r="A553" s="239" t="s">
        <v>5683</v>
      </c>
      <c r="B553" s="239" t="s">
        <v>5684</v>
      </c>
      <c r="C553" s="240" t="s">
        <v>5685</v>
      </c>
      <c r="D553" s="239" t="s">
        <v>74</v>
      </c>
      <c r="E553" s="241" t="s">
        <v>2795</v>
      </c>
      <c r="F553" s="239" t="s">
        <v>2924</v>
      </c>
      <c r="G553" s="241"/>
      <c r="H553" s="241">
        <v>40</v>
      </c>
      <c r="I553" s="240" t="s">
        <v>5974</v>
      </c>
      <c r="J553" s="240"/>
      <c r="K553" s="240"/>
      <c r="L553" s="240"/>
      <c r="M553" s="240" t="s">
        <v>5933</v>
      </c>
      <c r="N553" s="240" t="s">
        <v>5975</v>
      </c>
      <c r="O553" s="240" t="s">
        <v>5976</v>
      </c>
      <c r="P553" s="240" t="s">
        <v>5977</v>
      </c>
      <c r="Q553" s="239" t="s">
        <v>5695</v>
      </c>
      <c r="R553" s="241"/>
      <c r="S553" s="240" t="s">
        <v>5978</v>
      </c>
      <c r="T553" s="242" t="s">
        <v>5979</v>
      </c>
      <c r="U553" s="239" t="s">
        <v>2935</v>
      </c>
      <c r="V553" s="251"/>
    </row>
    <row r="554" spans="1:22" ht="30" customHeight="1">
      <c r="A554" s="239" t="s">
        <v>5683</v>
      </c>
      <c r="B554" s="239" t="s">
        <v>5684</v>
      </c>
      <c r="C554" s="240" t="s">
        <v>5685</v>
      </c>
      <c r="D554" s="239" t="s">
        <v>74</v>
      </c>
      <c r="E554" s="241" t="s">
        <v>2795</v>
      </c>
      <c r="F554" s="239" t="s">
        <v>2924</v>
      </c>
      <c r="G554" s="241"/>
      <c r="H554" s="241">
        <v>40</v>
      </c>
      <c r="I554" s="240" t="s">
        <v>5980</v>
      </c>
      <c r="J554" s="240"/>
      <c r="K554" s="240"/>
      <c r="L554" s="240"/>
      <c r="M554" s="240" t="s">
        <v>5933</v>
      </c>
      <c r="N554" s="240" t="s">
        <v>5981</v>
      </c>
      <c r="O554" s="240" t="s">
        <v>5982</v>
      </c>
      <c r="P554" s="240" t="s">
        <v>5983</v>
      </c>
      <c r="Q554" s="239" t="s">
        <v>5695</v>
      </c>
      <c r="R554" s="241"/>
      <c r="S554" s="240" t="s">
        <v>5984</v>
      </c>
      <c r="T554" s="242" t="s">
        <v>5985</v>
      </c>
      <c r="U554" s="239" t="s">
        <v>2935</v>
      </c>
      <c r="V554" s="251"/>
    </row>
    <row r="555" spans="1:22" ht="30" customHeight="1">
      <c r="A555" s="239" t="s">
        <v>5683</v>
      </c>
      <c r="B555" s="239" t="s">
        <v>5684</v>
      </c>
      <c r="C555" s="240" t="s">
        <v>5685</v>
      </c>
      <c r="D555" s="239" t="s">
        <v>74</v>
      </c>
      <c r="E555" s="241" t="s">
        <v>2795</v>
      </c>
      <c r="F555" s="239" t="s">
        <v>2924</v>
      </c>
      <c r="G555" s="241"/>
      <c r="H555" s="241">
        <v>40</v>
      </c>
      <c r="I555" s="240" t="s">
        <v>5986</v>
      </c>
      <c r="J555" s="240"/>
      <c r="K555" s="240"/>
      <c r="L555" s="240"/>
      <c r="M555" s="240" t="s">
        <v>5933</v>
      </c>
      <c r="N555" s="240" t="s">
        <v>5987</v>
      </c>
      <c r="O555" s="240" t="s">
        <v>5988</v>
      </c>
      <c r="P555" s="240" t="s">
        <v>5989</v>
      </c>
      <c r="Q555" s="239" t="s">
        <v>5695</v>
      </c>
      <c r="R555" s="241"/>
      <c r="S555" s="240" t="s">
        <v>5990</v>
      </c>
      <c r="T555" s="242" t="s">
        <v>5991</v>
      </c>
      <c r="U555" s="239" t="s">
        <v>2935</v>
      </c>
      <c r="V555" s="251"/>
    </row>
    <row r="556" spans="1:22" ht="30" customHeight="1">
      <c r="A556" s="239" t="s">
        <v>5683</v>
      </c>
      <c r="B556" s="239" t="s">
        <v>5684</v>
      </c>
      <c r="C556" s="240" t="s">
        <v>5685</v>
      </c>
      <c r="D556" s="239" t="s">
        <v>74</v>
      </c>
      <c r="E556" s="241" t="s">
        <v>2795</v>
      </c>
      <c r="F556" s="239" t="s">
        <v>2924</v>
      </c>
      <c r="G556" s="241"/>
      <c r="H556" s="241">
        <v>40</v>
      </c>
      <c r="I556" s="240" t="s">
        <v>5992</v>
      </c>
      <c r="J556" s="240"/>
      <c r="K556" s="240"/>
      <c r="L556" s="240"/>
      <c r="M556" s="240" t="s">
        <v>5933</v>
      </c>
      <c r="N556" s="240" t="s">
        <v>5993</v>
      </c>
      <c r="O556" s="240" t="s">
        <v>5994</v>
      </c>
      <c r="P556" s="240" t="s">
        <v>5995</v>
      </c>
      <c r="Q556" s="239" t="s">
        <v>5695</v>
      </c>
      <c r="R556" s="241"/>
      <c r="S556" s="240" t="s">
        <v>5996</v>
      </c>
      <c r="T556" s="242" t="s">
        <v>5997</v>
      </c>
      <c r="U556" s="239" t="s">
        <v>2935</v>
      </c>
      <c r="V556" s="251"/>
    </row>
    <row r="557" spans="1:22" ht="30" customHeight="1">
      <c r="A557" s="239" t="s">
        <v>5683</v>
      </c>
      <c r="B557" s="239" t="s">
        <v>5684</v>
      </c>
      <c r="C557" s="240" t="s">
        <v>5685</v>
      </c>
      <c r="D557" s="239" t="s">
        <v>74</v>
      </c>
      <c r="E557" s="241" t="s">
        <v>2795</v>
      </c>
      <c r="F557" s="239" t="s">
        <v>2924</v>
      </c>
      <c r="G557" s="241"/>
      <c r="H557" s="241">
        <v>40</v>
      </c>
      <c r="I557" s="240" t="s">
        <v>5998</v>
      </c>
      <c r="J557" s="240"/>
      <c r="K557" s="240"/>
      <c r="L557" s="240"/>
      <c r="M557" s="240" t="s">
        <v>5919</v>
      </c>
      <c r="N557" s="240" t="s">
        <v>5999</v>
      </c>
      <c r="O557" s="240" t="s">
        <v>6000</v>
      </c>
      <c r="P557" s="240" t="s">
        <v>6001</v>
      </c>
      <c r="Q557" s="239" t="s">
        <v>5695</v>
      </c>
      <c r="R557" s="241"/>
      <c r="S557" s="240" t="s">
        <v>6002</v>
      </c>
      <c r="T557" s="242" t="s">
        <v>6003</v>
      </c>
      <c r="U557" s="239" t="s">
        <v>2935</v>
      </c>
      <c r="V557" s="251"/>
    </row>
    <row r="558" spans="1:22" ht="30" customHeight="1">
      <c r="A558" s="239" t="s">
        <v>5683</v>
      </c>
      <c r="B558" s="239" t="s">
        <v>5684</v>
      </c>
      <c r="C558" s="240" t="s">
        <v>5685</v>
      </c>
      <c r="D558" s="239" t="s">
        <v>74</v>
      </c>
      <c r="E558" s="241" t="s">
        <v>2795</v>
      </c>
      <c r="F558" s="239" t="s">
        <v>2924</v>
      </c>
      <c r="G558" s="241"/>
      <c r="H558" s="241">
        <v>40</v>
      </c>
      <c r="I558" s="240" t="s">
        <v>6004</v>
      </c>
      <c r="J558" s="240"/>
      <c r="K558" s="240"/>
      <c r="L558" s="240"/>
      <c r="M558" s="240" t="s">
        <v>5919</v>
      </c>
      <c r="N558" s="240" t="s">
        <v>6005</v>
      </c>
      <c r="O558" s="240" t="s">
        <v>6006</v>
      </c>
      <c r="P558" s="240" t="s">
        <v>6007</v>
      </c>
      <c r="Q558" s="239" t="s">
        <v>5695</v>
      </c>
      <c r="R558" s="241"/>
      <c r="S558" s="240" t="s">
        <v>6008</v>
      </c>
      <c r="T558" s="242" t="s">
        <v>6009</v>
      </c>
      <c r="U558" s="239" t="s">
        <v>2935</v>
      </c>
      <c r="V558" s="251"/>
    </row>
    <row r="559" spans="1:22" ht="30" customHeight="1">
      <c r="A559" s="239" t="s">
        <v>5683</v>
      </c>
      <c r="B559" s="239" t="s">
        <v>5684</v>
      </c>
      <c r="C559" s="240" t="s">
        <v>5685</v>
      </c>
      <c r="D559" s="239" t="s">
        <v>74</v>
      </c>
      <c r="E559" s="241" t="s">
        <v>2795</v>
      </c>
      <c r="F559" s="239" t="s">
        <v>2924</v>
      </c>
      <c r="G559" s="241"/>
      <c r="H559" s="241">
        <v>40</v>
      </c>
      <c r="I559" s="240" t="s">
        <v>6010</v>
      </c>
      <c r="J559" s="240"/>
      <c r="K559" s="240"/>
      <c r="L559" s="240"/>
      <c r="M559" s="240" t="s">
        <v>6011</v>
      </c>
      <c r="N559" s="240" t="s">
        <v>6012</v>
      </c>
      <c r="O559" s="240" t="s">
        <v>6013</v>
      </c>
      <c r="P559" s="240" t="s">
        <v>6014</v>
      </c>
      <c r="Q559" s="239" t="s">
        <v>5695</v>
      </c>
      <c r="R559" s="241"/>
      <c r="S559" s="240" t="s">
        <v>6015</v>
      </c>
      <c r="T559" s="242" t="s">
        <v>6016</v>
      </c>
      <c r="U559" s="239" t="s">
        <v>2935</v>
      </c>
      <c r="V559" s="251"/>
    </row>
    <row r="560" spans="1:22" ht="30" customHeight="1">
      <c r="A560" s="239" t="s">
        <v>5683</v>
      </c>
      <c r="B560" s="239" t="s">
        <v>5684</v>
      </c>
      <c r="C560" s="240" t="s">
        <v>5685</v>
      </c>
      <c r="D560" s="239" t="s">
        <v>74</v>
      </c>
      <c r="E560" s="241" t="s">
        <v>2795</v>
      </c>
      <c r="F560" s="239" t="s">
        <v>2924</v>
      </c>
      <c r="G560" s="241"/>
      <c r="H560" s="241">
        <v>40</v>
      </c>
      <c r="I560" s="240" t="s">
        <v>6017</v>
      </c>
      <c r="J560" s="240"/>
      <c r="K560" s="240"/>
      <c r="L560" s="240"/>
      <c r="M560" s="240" t="s">
        <v>6011</v>
      </c>
      <c r="N560" s="240" t="s">
        <v>6018</v>
      </c>
      <c r="O560" s="240" t="s">
        <v>6019</v>
      </c>
      <c r="P560" s="240" t="s">
        <v>6020</v>
      </c>
      <c r="Q560" s="239" t="s">
        <v>5695</v>
      </c>
      <c r="R560" s="241"/>
      <c r="S560" s="240" t="s">
        <v>6021</v>
      </c>
      <c r="T560" s="242" t="s">
        <v>6022</v>
      </c>
      <c r="U560" s="239" t="s">
        <v>2935</v>
      </c>
      <c r="V560" s="251"/>
    </row>
    <row r="561" spans="1:22" ht="30" customHeight="1">
      <c r="A561" s="239" t="s">
        <v>5683</v>
      </c>
      <c r="B561" s="239" t="s">
        <v>5684</v>
      </c>
      <c r="C561" s="240" t="s">
        <v>5685</v>
      </c>
      <c r="D561" s="239" t="s">
        <v>74</v>
      </c>
      <c r="E561" s="241" t="s">
        <v>2795</v>
      </c>
      <c r="F561" s="239" t="s">
        <v>2924</v>
      </c>
      <c r="G561" s="241"/>
      <c r="H561" s="241">
        <v>40</v>
      </c>
      <c r="I561" s="240" t="s">
        <v>6023</v>
      </c>
      <c r="J561" s="240"/>
      <c r="K561" s="240"/>
      <c r="L561" s="240"/>
      <c r="M561" s="240" t="s">
        <v>6011</v>
      </c>
      <c r="N561" s="240" t="s">
        <v>6024</v>
      </c>
      <c r="O561" s="240" t="s">
        <v>6025</v>
      </c>
      <c r="P561" s="240" t="s">
        <v>6026</v>
      </c>
      <c r="Q561" s="239" t="s">
        <v>5695</v>
      </c>
      <c r="R561" s="241"/>
      <c r="S561" s="240" t="s">
        <v>6027</v>
      </c>
      <c r="T561" s="242" t="s">
        <v>6028</v>
      </c>
      <c r="U561" s="239" t="s">
        <v>2935</v>
      </c>
      <c r="V561" s="251"/>
    </row>
    <row r="562" spans="1:22" ht="30" customHeight="1">
      <c r="A562" s="239" t="s">
        <v>5683</v>
      </c>
      <c r="B562" s="239" t="s">
        <v>5684</v>
      </c>
      <c r="C562" s="240" t="s">
        <v>5685</v>
      </c>
      <c r="D562" s="239" t="s">
        <v>74</v>
      </c>
      <c r="E562" s="241" t="s">
        <v>2795</v>
      </c>
      <c r="F562" s="239" t="s">
        <v>2924</v>
      </c>
      <c r="G562" s="241"/>
      <c r="H562" s="241">
        <v>40</v>
      </c>
      <c r="I562" s="240" t="s">
        <v>6029</v>
      </c>
      <c r="J562" s="240"/>
      <c r="K562" s="240"/>
      <c r="L562" s="240"/>
      <c r="M562" s="240" t="s">
        <v>6011</v>
      </c>
      <c r="N562" s="240" t="s">
        <v>6030</v>
      </c>
      <c r="O562" s="240" t="s">
        <v>6031</v>
      </c>
      <c r="P562" s="240" t="s">
        <v>6032</v>
      </c>
      <c r="Q562" s="239" t="s">
        <v>5695</v>
      </c>
      <c r="R562" s="241"/>
      <c r="S562" s="240" t="s">
        <v>6033</v>
      </c>
      <c r="T562" s="242" t="s">
        <v>6034</v>
      </c>
      <c r="U562" s="239" t="s">
        <v>2935</v>
      </c>
      <c r="V562" s="251"/>
    </row>
    <row r="563" spans="1:22" ht="30" customHeight="1">
      <c r="A563" s="239" t="s">
        <v>5683</v>
      </c>
      <c r="B563" s="239" t="s">
        <v>5684</v>
      </c>
      <c r="C563" s="240" t="s">
        <v>5685</v>
      </c>
      <c r="D563" s="239" t="s">
        <v>74</v>
      </c>
      <c r="E563" s="241" t="s">
        <v>2795</v>
      </c>
      <c r="F563" s="239" t="s">
        <v>2924</v>
      </c>
      <c r="G563" s="241"/>
      <c r="H563" s="241">
        <v>40</v>
      </c>
      <c r="I563" s="240" t="s">
        <v>6035</v>
      </c>
      <c r="J563" s="240"/>
      <c r="K563" s="240"/>
      <c r="L563" s="240"/>
      <c r="M563" s="240" t="s">
        <v>6011</v>
      </c>
      <c r="N563" s="240" t="s">
        <v>6036</v>
      </c>
      <c r="O563" s="240" t="s">
        <v>6037</v>
      </c>
      <c r="P563" s="240" t="s">
        <v>6038</v>
      </c>
      <c r="Q563" s="239" t="s">
        <v>5695</v>
      </c>
      <c r="R563" s="241"/>
      <c r="S563" s="240" t="s">
        <v>6039</v>
      </c>
      <c r="T563" s="242" t="s">
        <v>6040</v>
      </c>
      <c r="U563" s="239" t="s">
        <v>2935</v>
      </c>
      <c r="V563" s="251"/>
    </row>
    <row r="564" spans="1:22" ht="30" customHeight="1">
      <c r="A564" s="239" t="s">
        <v>5683</v>
      </c>
      <c r="B564" s="239" t="s">
        <v>5684</v>
      </c>
      <c r="C564" s="240" t="s">
        <v>5685</v>
      </c>
      <c r="D564" s="239" t="s">
        <v>74</v>
      </c>
      <c r="E564" s="241" t="s">
        <v>2795</v>
      </c>
      <c r="F564" s="239" t="s">
        <v>2924</v>
      </c>
      <c r="G564" s="241"/>
      <c r="H564" s="241">
        <v>40</v>
      </c>
      <c r="I564" s="240" t="s">
        <v>6041</v>
      </c>
      <c r="J564" s="240"/>
      <c r="K564" s="240"/>
      <c r="L564" s="240"/>
      <c r="M564" s="240" t="s">
        <v>6011</v>
      </c>
      <c r="N564" s="240" t="s">
        <v>6042</v>
      </c>
      <c r="O564" s="240" t="s">
        <v>6043</v>
      </c>
      <c r="P564" s="240" t="s">
        <v>6044</v>
      </c>
      <c r="Q564" s="239" t="s">
        <v>5695</v>
      </c>
      <c r="R564" s="241"/>
      <c r="S564" s="240" t="s">
        <v>6045</v>
      </c>
      <c r="T564" s="242" t="s">
        <v>6046</v>
      </c>
      <c r="U564" s="239" t="s">
        <v>2935</v>
      </c>
      <c r="V564" s="251"/>
    </row>
    <row r="565" spans="1:22" ht="30" customHeight="1">
      <c r="A565" s="239" t="s">
        <v>5683</v>
      </c>
      <c r="B565" s="239" t="s">
        <v>5684</v>
      </c>
      <c r="C565" s="240" t="s">
        <v>5685</v>
      </c>
      <c r="D565" s="239" t="s">
        <v>74</v>
      </c>
      <c r="E565" s="241" t="s">
        <v>2795</v>
      </c>
      <c r="F565" s="239" t="s">
        <v>2924</v>
      </c>
      <c r="G565" s="241"/>
      <c r="H565" s="241">
        <v>40</v>
      </c>
      <c r="I565" s="240" t="s">
        <v>6047</v>
      </c>
      <c r="J565" s="240"/>
      <c r="K565" s="240"/>
      <c r="L565" s="240"/>
      <c r="M565" s="240" t="s">
        <v>6011</v>
      </c>
      <c r="N565" s="240" t="s">
        <v>6048</v>
      </c>
      <c r="O565" s="240" t="s">
        <v>6049</v>
      </c>
      <c r="P565" s="240" t="s">
        <v>6050</v>
      </c>
      <c r="Q565" s="239" t="s">
        <v>5695</v>
      </c>
      <c r="R565" s="241"/>
      <c r="S565" s="240" t="s">
        <v>6051</v>
      </c>
      <c r="T565" s="242" t="s">
        <v>6052</v>
      </c>
      <c r="U565" s="239" t="s">
        <v>2935</v>
      </c>
      <c r="V565" s="251"/>
    </row>
    <row r="566" spans="1:22" ht="30" customHeight="1">
      <c r="A566" s="239" t="s">
        <v>5683</v>
      </c>
      <c r="B566" s="239" t="s">
        <v>5684</v>
      </c>
      <c r="C566" s="240" t="s">
        <v>5685</v>
      </c>
      <c r="D566" s="239" t="s">
        <v>74</v>
      </c>
      <c r="E566" s="241" t="s">
        <v>2795</v>
      </c>
      <c r="F566" s="239" t="s">
        <v>2924</v>
      </c>
      <c r="G566" s="241"/>
      <c r="H566" s="241">
        <v>40</v>
      </c>
      <c r="I566" s="240" t="s">
        <v>6053</v>
      </c>
      <c r="J566" s="240"/>
      <c r="K566" s="240"/>
      <c r="L566" s="240"/>
      <c r="M566" s="240" t="s">
        <v>6054</v>
      </c>
      <c r="N566" s="240" t="s">
        <v>6055</v>
      </c>
      <c r="O566" s="240" t="s">
        <v>6056</v>
      </c>
      <c r="P566" s="240" t="s">
        <v>6057</v>
      </c>
      <c r="Q566" s="239" t="s">
        <v>5695</v>
      </c>
      <c r="R566" s="241"/>
      <c r="S566" s="240" t="s">
        <v>6058</v>
      </c>
      <c r="T566" s="242" t="s">
        <v>6059</v>
      </c>
      <c r="U566" s="239" t="s">
        <v>2935</v>
      </c>
      <c r="V566" s="251"/>
    </row>
    <row r="567" spans="1:22" ht="30" customHeight="1">
      <c r="A567" s="239" t="s">
        <v>5683</v>
      </c>
      <c r="B567" s="239" t="s">
        <v>5684</v>
      </c>
      <c r="C567" s="240" t="s">
        <v>5685</v>
      </c>
      <c r="D567" s="239" t="s">
        <v>74</v>
      </c>
      <c r="E567" s="241" t="s">
        <v>2795</v>
      </c>
      <c r="F567" s="239" t="s">
        <v>2924</v>
      </c>
      <c r="G567" s="241"/>
      <c r="H567" s="241">
        <v>40</v>
      </c>
      <c r="I567" s="240" t="s">
        <v>6060</v>
      </c>
      <c r="J567" s="240"/>
      <c r="K567" s="240"/>
      <c r="L567" s="240"/>
      <c r="M567" s="240" t="s">
        <v>3919</v>
      </c>
      <c r="N567" s="240" t="s">
        <v>6061</v>
      </c>
      <c r="O567" s="240" t="s">
        <v>6062</v>
      </c>
      <c r="P567" s="240" t="s">
        <v>6063</v>
      </c>
      <c r="Q567" s="239" t="s">
        <v>5695</v>
      </c>
      <c r="R567" s="241"/>
      <c r="S567" s="240" t="s">
        <v>6064</v>
      </c>
      <c r="T567" s="242" t="s">
        <v>6065</v>
      </c>
      <c r="U567" s="239" t="s">
        <v>2823</v>
      </c>
      <c r="V567" s="251"/>
    </row>
    <row r="568" spans="1:22" ht="30" customHeight="1">
      <c r="A568" s="239" t="s">
        <v>5683</v>
      </c>
      <c r="B568" s="239" t="s">
        <v>5684</v>
      </c>
      <c r="C568" s="240" t="s">
        <v>5685</v>
      </c>
      <c r="D568" s="239" t="s">
        <v>74</v>
      </c>
      <c r="E568" s="241" t="s">
        <v>2795</v>
      </c>
      <c r="F568" s="239" t="s">
        <v>2924</v>
      </c>
      <c r="G568" s="241"/>
      <c r="H568" s="241">
        <v>40</v>
      </c>
      <c r="I568" s="240" t="s">
        <v>6066</v>
      </c>
      <c r="J568" s="240"/>
      <c r="K568" s="240"/>
      <c r="L568" s="240"/>
      <c r="M568" s="240" t="s">
        <v>3919</v>
      </c>
      <c r="N568" s="240" t="s">
        <v>6067</v>
      </c>
      <c r="O568" s="240" t="s">
        <v>6068</v>
      </c>
      <c r="P568" s="240" t="s">
        <v>6069</v>
      </c>
      <c r="Q568" s="239" t="s">
        <v>5695</v>
      </c>
      <c r="R568" s="241"/>
      <c r="S568" s="240" t="s">
        <v>6070</v>
      </c>
      <c r="T568" s="242" t="s">
        <v>6071</v>
      </c>
      <c r="U568" s="239" t="s">
        <v>2823</v>
      </c>
      <c r="V568" s="251"/>
    </row>
    <row r="569" spans="1:22" ht="30" customHeight="1">
      <c r="A569" s="239" t="s">
        <v>5683</v>
      </c>
      <c r="B569" s="239" t="s">
        <v>5684</v>
      </c>
      <c r="C569" s="240" t="s">
        <v>5685</v>
      </c>
      <c r="D569" s="239" t="s">
        <v>74</v>
      </c>
      <c r="E569" s="241" t="s">
        <v>2795</v>
      </c>
      <c r="F569" s="239" t="s">
        <v>2924</v>
      </c>
      <c r="G569" s="241"/>
      <c r="H569" s="241">
        <v>40</v>
      </c>
      <c r="I569" s="240" t="s">
        <v>6072</v>
      </c>
      <c r="J569" s="240"/>
      <c r="K569" s="240"/>
      <c r="L569" s="240"/>
      <c r="M569" s="240" t="s">
        <v>3919</v>
      </c>
      <c r="N569" s="240" t="s">
        <v>6073</v>
      </c>
      <c r="O569" s="240" t="s">
        <v>6074</v>
      </c>
      <c r="P569" s="240" t="s">
        <v>6075</v>
      </c>
      <c r="Q569" s="239" t="s">
        <v>5695</v>
      </c>
      <c r="R569" s="241"/>
      <c r="S569" s="240" t="s">
        <v>6076</v>
      </c>
      <c r="T569" s="242" t="s">
        <v>6077</v>
      </c>
      <c r="U569" s="239" t="s">
        <v>2823</v>
      </c>
      <c r="V569" s="251"/>
    </row>
    <row r="570" spans="1:22" ht="30" customHeight="1">
      <c r="A570" s="239" t="s">
        <v>5683</v>
      </c>
      <c r="B570" s="239" t="s">
        <v>5684</v>
      </c>
      <c r="C570" s="240" t="s">
        <v>5685</v>
      </c>
      <c r="D570" s="239" t="s">
        <v>74</v>
      </c>
      <c r="E570" s="241" t="s">
        <v>2795</v>
      </c>
      <c r="F570" s="239" t="s">
        <v>2924</v>
      </c>
      <c r="G570" s="241"/>
      <c r="H570" s="241">
        <v>40</v>
      </c>
      <c r="I570" s="240" t="s">
        <v>6078</v>
      </c>
      <c r="J570" s="240"/>
      <c r="K570" s="240"/>
      <c r="L570" s="240"/>
      <c r="M570" s="240" t="s">
        <v>3919</v>
      </c>
      <c r="N570" s="240" t="s">
        <v>6079</v>
      </c>
      <c r="O570" s="240" t="s">
        <v>6080</v>
      </c>
      <c r="P570" s="240" t="s">
        <v>6081</v>
      </c>
      <c r="Q570" s="239" t="s">
        <v>5695</v>
      </c>
      <c r="R570" s="241"/>
      <c r="S570" s="240" t="s">
        <v>6082</v>
      </c>
      <c r="T570" s="242" t="s">
        <v>6083</v>
      </c>
      <c r="U570" s="239" t="s">
        <v>2823</v>
      </c>
      <c r="V570" s="251"/>
    </row>
    <row r="571" spans="1:22" ht="30" customHeight="1">
      <c r="A571" s="239" t="s">
        <v>5683</v>
      </c>
      <c r="B571" s="239" t="s">
        <v>5684</v>
      </c>
      <c r="C571" s="240" t="s">
        <v>5685</v>
      </c>
      <c r="D571" s="239" t="s">
        <v>74</v>
      </c>
      <c r="E571" s="241" t="s">
        <v>2795</v>
      </c>
      <c r="F571" s="239" t="s">
        <v>2924</v>
      </c>
      <c r="G571" s="241"/>
      <c r="H571" s="241">
        <v>40</v>
      </c>
      <c r="I571" s="240" t="s">
        <v>6084</v>
      </c>
      <c r="J571" s="240"/>
      <c r="K571" s="240"/>
      <c r="L571" s="240"/>
      <c r="M571" s="240" t="s">
        <v>6085</v>
      </c>
      <c r="N571" s="240" t="s">
        <v>6086</v>
      </c>
      <c r="O571" s="240" t="s">
        <v>6087</v>
      </c>
      <c r="P571" s="240" t="s">
        <v>6088</v>
      </c>
      <c r="Q571" s="239" t="s">
        <v>5695</v>
      </c>
      <c r="R571" s="241"/>
      <c r="S571" s="240" t="s">
        <v>6089</v>
      </c>
      <c r="T571" s="242" t="s">
        <v>6090</v>
      </c>
      <c r="U571" s="239" t="s">
        <v>2935</v>
      </c>
      <c r="V571" s="251"/>
    </row>
    <row r="572" spans="1:22" ht="30" customHeight="1">
      <c r="A572" s="239" t="s">
        <v>5683</v>
      </c>
      <c r="B572" s="239" t="s">
        <v>5684</v>
      </c>
      <c r="C572" s="240" t="s">
        <v>5685</v>
      </c>
      <c r="D572" s="239" t="s">
        <v>74</v>
      </c>
      <c r="E572" s="241" t="s">
        <v>2795</v>
      </c>
      <c r="F572" s="239" t="s">
        <v>2924</v>
      </c>
      <c r="G572" s="241"/>
      <c r="H572" s="241">
        <v>40</v>
      </c>
      <c r="I572" s="240" t="s">
        <v>6091</v>
      </c>
      <c r="J572" s="240"/>
      <c r="K572" s="240"/>
      <c r="L572" s="240"/>
      <c r="M572" s="240" t="s">
        <v>6085</v>
      </c>
      <c r="N572" s="240" t="s">
        <v>6092</v>
      </c>
      <c r="O572" s="240" t="s">
        <v>6093</v>
      </c>
      <c r="P572" s="240" t="s">
        <v>6094</v>
      </c>
      <c r="Q572" s="239" t="s">
        <v>5695</v>
      </c>
      <c r="R572" s="241"/>
      <c r="S572" s="240" t="s">
        <v>6095</v>
      </c>
      <c r="T572" s="242" t="s">
        <v>6096</v>
      </c>
      <c r="U572" s="239" t="s">
        <v>2935</v>
      </c>
      <c r="V572" s="251"/>
    </row>
    <row r="573" spans="1:22" ht="30" customHeight="1">
      <c r="A573" s="239" t="s">
        <v>5683</v>
      </c>
      <c r="B573" s="239" t="s">
        <v>5684</v>
      </c>
      <c r="C573" s="240" t="s">
        <v>5685</v>
      </c>
      <c r="D573" s="239" t="s">
        <v>74</v>
      </c>
      <c r="E573" s="241" t="s">
        <v>2795</v>
      </c>
      <c r="F573" s="239" t="s">
        <v>2924</v>
      </c>
      <c r="G573" s="241"/>
      <c r="H573" s="241">
        <v>40</v>
      </c>
      <c r="I573" s="240" t="s">
        <v>6097</v>
      </c>
      <c r="J573" s="240"/>
      <c r="K573" s="240"/>
      <c r="L573" s="240"/>
      <c r="M573" s="240" t="s">
        <v>6098</v>
      </c>
      <c r="N573" s="240" t="s">
        <v>6099</v>
      </c>
      <c r="O573" s="240" t="s">
        <v>6100</v>
      </c>
      <c r="P573" s="240" t="s">
        <v>6101</v>
      </c>
      <c r="Q573" s="239" t="s">
        <v>5695</v>
      </c>
      <c r="R573" s="241"/>
      <c r="S573" s="240" t="s">
        <v>6102</v>
      </c>
      <c r="T573" s="242" t="s">
        <v>6103</v>
      </c>
      <c r="U573" s="239" t="s">
        <v>2823</v>
      </c>
      <c r="V573" s="251"/>
    </row>
    <row r="574" spans="1:22" ht="30" customHeight="1">
      <c r="A574" s="239" t="s">
        <v>5683</v>
      </c>
      <c r="B574" s="239" t="s">
        <v>5684</v>
      </c>
      <c r="C574" s="240" t="s">
        <v>5685</v>
      </c>
      <c r="D574" s="239" t="s">
        <v>74</v>
      </c>
      <c r="E574" s="241" t="s">
        <v>2795</v>
      </c>
      <c r="F574" s="239" t="s">
        <v>2924</v>
      </c>
      <c r="G574" s="241"/>
      <c r="H574" s="241">
        <v>40</v>
      </c>
      <c r="I574" s="240" t="s">
        <v>6104</v>
      </c>
      <c r="J574" s="240"/>
      <c r="K574" s="240"/>
      <c r="L574" s="240"/>
      <c r="M574" s="240" t="s">
        <v>6098</v>
      </c>
      <c r="N574" s="240" t="s">
        <v>6105</v>
      </c>
      <c r="O574" s="240" t="s">
        <v>6106</v>
      </c>
      <c r="P574" s="240" t="s">
        <v>6107</v>
      </c>
      <c r="Q574" s="239" t="s">
        <v>5695</v>
      </c>
      <c r="R574" s="241"/>
      <c r="S574" s="240" t="s">
        <v>6108</v>
      </c>
      <c r="T574" s="242" t="s">
        <v>6109</v>
      </c>
      <c r="U574" s="239" t="s">
        <v>2823</v>
      </c>
      <c r="V574" s="251"/>
    </row>
    <row r="575" spans="1:22" ht="30" customHeight="1">
      <c r="A575" s="239" t="s">
        <v>5683</v>
      </c>
      <c r="B575" s="239" t="s">
        <v>5684</v>
      </c>
      <c r="C575" s="240" t="s">
        <v>5685</v>
      </c>
      <c r="D575" s="239" t="s">
        <v>74</v>
      </c>
      <c r="E575" s="241" t="s">
        <v>2795</v>
      </c>
      <c r="F575" s="239" t="s">
        <v>2924</v>
      </c>
      <c r="G575" s="241"/>
      <c r="H575" s="241">
        <v>40</v>
      </c>
      <c r="I575" s="240" t="s">
        <v>6110</v>
      </c>
      <c r="J575" s="240"/>
      <c r="K575" s="240"/>
      <c r="L575" s="240"/>
      <c r="M575" s="240" t="s">
        <v>6111</v>
      </c>
      <c r="N575" s="240" t="s">
        <v>6112</v>
      </c>
      <c r="O575" s="240" t="s">
        <v>6113</v>
      </c>
      <c r="P575" s="240" t="s">
        <v>6114</v>
      </c>
      <c r="Q575" s="239" t="s">
        <v>5695</v>
      </c>
      <c r="R575" s="241"/>
      <c r="S575" s="240" t="s">
        <v>6115</v>
      </c>
      <c r="T575" s="242" t="s">
        <v>6116</v>
      </c>
      <c r="U575" s="239" t="s">
        <v>2935</v>
      </c>
      <c r="V575" s="251"/>
    </row>
    <row r="576" spans="1:22" ht="30" customHeight="1">
      <c r="A576" s="239" t="s">
        <v>5683</v>
      </c>
      <c r="B576" s="239" t="s">
        <v>5684</v>
      </c>
      <c r="C576" s="240" t="s">
        <v>5685</v>
      </c>
      <c r="D576" s="239" t="s">
        <v>74</v>
      </c>
      <c r="E576" s="241" t="s">
        <v>2795</v>
      </c>
      <c r="F576" s="239" t="s">
        <v>2924</v>
      </c>
      <c r="G576" s="241"/>
      <c r="H576" s="241">
        <v>40</v>
      </c>
      <c r="I576" s="240" t="s">
        <v>6117</v>
      </c>
      <c r="J576" s="240"/>
      <c r="K576" s="240"/>
      <c r="L576" s="240"/>
      <c r="M576" s="240" t="s">
        <v>6118</v>
      </c>
      <c r="N576" s="240" t="s">
        <v>6119</v>
      </c>
      <c r="O576" s="240" t="s">
        <v>6120</v>
      </c>
      <c r="P576" s="240" t="s">
        <v>6121</v>
      </c>
      <c r="Q576" s="239" t="s">
        <v>5695</v>
      </c>
      <c r="R576" s="241"/>
      <c r="S576" s="240" t="s">
        <v>6122</v>
      </c>
      <c r="T576" s="242" t="s">
        <v>6123</v>
      </c>
      <c r="U576" s="239" t="s">
        <v>2935</v>
      </c>
      <c r="V576" s="251"/>
    </row>
    <row r="577" spans="1:22" ht="30" customHeight="1">
      <c r="A577" s="239" t="s">
        <v>5683</v>
      </c>
      <c r="B577" s="239" t="s">
        <v>5684</v>
      </c>
      <c r="C577" s="240" t="s">
        <v>5685</v>
      </c>
      <c r="D577" s="239" t="s">
        <v>74</v>
      </c>
      <c r="E577" s="241" t="s">
        <v>2795</v>
      </c>
      <c r="F577" s="239" t="s">
        <v>2924</v>
      </c>
      <c r="G577" s="241"/>
      <c r="H577" s="241">
        <v>40</v>
      </c>
      <c r="I577" s="240" t="s">
        <v>6124</v>
      </c>
      <c r="J577" s="240"/>
      <c r="K577" s="240"/>
      <c r="L577" s="240"/>
      <c r="M577" s="240" t="s">
        <v>6125</v>
      </c>
      <c r="N577" s="240" t="s">
        <v>6126</v>
      </c>
      <c r="O577" s="240" t="s">
        <v>6127</v>
      </c>
      <c r="P577" s="240" t="s">
        <v>6128</v>
      </c>
      <c r="Q577" s="239" t="s">
        <v>5695</v>
      </c>
      <c r="R577" s="241"/>
      <c r="S577" s="240" t="s">
        <v>6129</v>
      </c>
      <c r="T577" s="242" t="s">
        <v>6130</v>
      </c>
      <c r="U577" s="239" t="s">
        <v>2935</v>
      </c>
      <c r="V577" s="251"/>
    </row>
    <row r="578" spans="1:22" ht="30" customHeight="1">
      <c r="A578" s="239" t="s">
        <v>5683</v>
      </c>
      <c r="B578" s="239" t="s">
        <v>5684</v>
      </c>
      <c r="C578" s="240" t="s">
        <v>5685</v>
      </c>
      <c r="D578" s="239" t="s">
        <v>74</v>
      </c>
      <c r="E578" s="241" t="s">
        <v>2795</v>
      </c>
      <c r="F578" s="239" t="s">
        <v>2924</v>
      </c>
      <c r="G578" s="241"/>
      <c r="H578" s="241">
        <v>40</v>
      </c>
      <c r="I578" s="240" t="s">
        <v>6131</v>
      </c>
      <c r="J578" s="240"/>
      <c r="K578" s="240"/>
      <c r="L578" s="240"/>
      <c r="M578" s="240" t="s">
        <v>6132</v>
      </c>
      <c r="N578" s="240" t="s">
        <v>6133</v>
      </c>
      <c r="O578" s="240" t="s">
        <v>6134</v>
      </c>
      <c r="P578" s="240" t="s">
        <v>6135</v>
      </c>
      <c r="Q578" s="239" t="s">
        <v>5695</v>
      </c>
      <c r="R578" s="241"/>
      <c r="S578" s="240" t="s">
        <v>6136</v>
      </c>
      <c r="T578" s="242" t="s">
        <v>6137</v>
      </c>
      <c r="U578" s="239" t="s">
        <v>2935</v>
      </c>
      <c r="V578" s="251"/>
    </row>
    <row r="579" spans="1:22" ht="30" customHeight="1">
      <c r="A579" s="239" t="s">
        <v>5683</v>
      </c>
      <c r="B579" s="239" t="s">
        <v>5684</v>
      </c>
      <c r="C579" s="240" t="s">
        <v>5685</v>
      </c>
      <c r="D579" s="239" t="s">
        <v>74</v>
      </c>
      <c r="E579" s="241" t="s">
        <v>2795</v>
      </c>
      <c r="F579" s="239" t="s">
        <v>2924</v>
      </c>
      <c r="G579" s="241"/>
      <c r="H579" s="241">
        <v>40</v>
      </c>
      <c r="I579" s="240" t="s">
        <v>6138</v>
      </c>
      <c r="J579" s="240"/>
      <c r="K579" s="240"/>
      <c r="L579" s="240"/>
      <c r="M579" s="240" t="s">
        <v>6139</v>
      </c>
      <c r="N579" s="240" t="s">
        <v>6140</v>
      </c>
      <c r="O579" s="240" t="s">
        <v>6141</v>
      </c>
      <c r="P579" s="240" t="s">
        <v>6142</v>
      </c>
      <c r="Q579" s="239" t="s">
        <v>5695</v>
      </c>
      <c r="R579" s="241"/>
      <c r="S579" s="240" t="s">
        <v>6143</v>
      </c>
      <c r="T579" s="242" t="s">
        <v>6144</v>
      </c>
      <c r="U579" s="239" t="s">
        <v>2935</v>
      </c>
      <c r="V579" s="251"/>
    </row>
    <row r="580" spans="1:22" ht="30" customHeight="1">
      <c r="A580" s="239" t="s">
        <v>5683</v>
      </c>
      <c r="B580" s="239" t="s">
        <v>5684</v>
      </c>
      <c r="C580" s="240" t="s">
        <v>5685</v>
      </c>
      <c r="D580" s="239" t="s">
        <v>74</v>
      </c>
      <c r="E580" s="241" t="s">
        <v>2795</v>
      </c>
      <c r="F580" s="239" t="s">
        <v>2924</v>
      </c>
      <c r="G580" s="241"/>
      <c r="H580" s="241">
        <v>40</v>
      </c>
      <c r="I580" s="240" t="s">
        <v>6145</v>
      </c>
      <c r="J580" s="240"/>
      <c r="K580" s="240"/>
      <c r="L580" s="240"/>
      <c r="M580" s="240" t="s">
        <v>6139</v>
      </c>
      <c r="N580" s="240" t="s">
        <v>6146</v>
      </c>
      <c r="O580" s="240" t="s">
        <v>6147</v>
      </c>
      <c r="P580" s="240" t="s">
        <v>6148</v>
      </c>
      <c r="Q580" s="239" t="s">
        <v>5695</v>
      </c>
      <c r="R580" s="241"/>
      <c r="S580" s="240" t="s">
        <v>6149</v>
      </c>
      <c r="T580" s="242" t="s">
        <v>6150</v>
      </c>
      <c r="U580" s="239" t="s">
        <v>2935</v>
      </c>
      <c r="V580" s="251"/>
    </row>
    <row r="581" spans="1:22" ht="30" customHeight="1">
      <c r="A581" s="239" t="s">
        <v>5683</v>
      </c>
      <c r="B581" s="239" t="s">
        <v>5684</v>
      </c>
      <c r="C581" s="240" t="s">
        <v>5685</v>
      </c>
      <c r="D581" s="239" t="s">
        <v>74</v>
      </c>
      <c r="E581" s="241" t="s">
        <v>2795</v>
      </c>
      <c r="F581" s="239" t="s">
        <v>2924</v>
      </c>
      <c r="G581" s="241"/>
      <c r="H581" s="241">
        <v>40</v>
      </c>
      <c r="I581" s="240" t="s">
        <v>6151</v>
      </c>
      <c r="J581" s="240"/>
      <c r="K581" s="240"/>
      <c r="L581" s="240"/>
      <c r="M581" s="240" t="s">
        <v>6139</v>
      </c>
      <c r="N581" s="240" t="s">
        <v>6152</v>
      </c>
      <c r="O581" s="240" t="s">
        <v>6153</v>
      </c>
      <c r="P581" s="240" t="s">
        <v>6154</v>
      </c>
      <c r="Q581" s="239" t="s">
        <v>5695</v>
      </c>
      <c r="R581" s="241"/>
      <c r="S581" s="240" t="s">
        <v>6155</v>
      </c>
      <c r="T581" s="242" t="s">
        <v>6156</v>
      </c>
      <c r="U581" s="239" t="s">
        <v>2935</v>
      </c>
      <c r="V581" s="251"/>
    </row>
    <row r="582" spans="1:22" ht="30" customHeight="1">
      <c r="A582" s="239" t="s">
        <v>5683</v>
      </c>
      <c r="B582" s="239" t="s">
        <v>5684</v>
      </c>
      <c r="C582" s="240" t="s">
        <v>5685</v>
      </c>
      <c r="D582" s="239" t="s">
        <v>74</v>
      </c>
      <c r="E582" s="241" t="s">
        <v>2795</v>
      </c>
      <c r="F582" s="239" t="s">
        <v>2924</v>
      </c>
      <c r="G582" s="241"/>
      <c r="H582" s="241">
        <v>40</v>
      </c>
      <c r="I582" s="240" t="s">
        <v>6157</v>
      </c>
      <c r="J582" s="240"/>
      <c r="K582" s="240"/>
      <c r="L582" s="240"/>
      <c r="M582" s="240" t="s">
        <v>6158</v>
      </c>
      <c r="N582" s="240" t="s">
        <v>6159</v>
      </c>
      <c r="O582" s="240" t="s">
        <v>6160</v>
      </c>
      <c r="P582" s="240" t="s">
        <v>6161</v>
      </c>
      <c r="Q582" s="239" t="s">
        <v>5695</v>
      </c>
      <c r="R582" s="241"/>
      <c r="S582" s="240" t="s">
        <v>6162</v>
      </c>
      <c r="T582" s="242" t="s">
        <v>6163</v>
      </c>
      <c r="U582" s="239" t="s">
        <v>2823</v>
      </c>
      <c r="V582" s="251"/>
    </row>
    <row r="583" spans="1:22" ht="30" customHeight="1">
      <c r="A583" s="239" t="s">
        <v>5683</v>
      </c>
      <c r="B583" s="239" t="s">
        <v>5684</v>
      </c>
      <c r="C583" s="240" t="s">
        <v>5685</v>
      </c>
      <c r="D583" s="239" t="s">
        <v>74</v>
      </c>
      <c r="E583" s="241" t="s">
        <v>2795</v>
      </c>
      <c r="F583" s="239" t="s">
        <v>2924</v>
      </c>
      <c r="G583" s="241"/>
      <c r="H583" s="241">
        <v>40</v>
      </c>
      <c r="I583" s="240" t="s">
        <v>6164</v>
      </c>
      <c r="J583" s="240"/>
      <c r="K583" s="240"/>
      <c r="L583" s="240"/>
      <c r="M583" s="240" t="s">
        <v>6165</v>
      </c>
      <c r="N583" s="240" t="s">
        <v>6166</v>
      </c>
      <c r="O583" s="240" t="s">
        <v>6167</v>
      </c>
      <c r="P583" s="240" t="s">
        <v>6168</v>
      </c>
      <c r="Q583" s="239" t="s">
        <v>5695</v>
      </c>
      <c r="R583" s="241"/>
      <c r="S583" s="240" t="s">
        <v>6169</v>
      </c>
      <c r="T583" s="242" t="s">
        <v>6170</v>
      </c>
      <c r="U583" s="239" t="s">
        <v>5873</v>
      </c>
      <c r="V583" s="251"/>
    </row>
    <row r="584" spans="1:22" ht="30" customHeight="1">
      <c r="A584" s="239" t="s">
        <v>6171</v>
      </c>
      <c r="B584" s="239" t="s">
        <v>6172</v>
      </c>
      <c r="C584" s="240" t="s">
        <v>6173</v>
      </c>
      <c r="D584" s="239" t="s">
        <v>74</v>
      </c>
      <c r="E584" s="241" t="s">
        <v>2795</v>
      </c>
      <c r="F584" s="239" t="s">
        <v>2924</v>
      </c>
      <c r="G584" s="241"/>
      <c r="H584" s="241">
        <v>40</v>
      </c>
      <c r="I584" s="240" t="s">
        <v>6174</v>
      </c>
      <c r="J584" s="240" t="s">
        <v>5687</v>
      </c>
      <c r="K584" s="240" t="s">
        <v>6175</v>
      </c>
      <c r="L584" s="240" t="s">
        <v>6176</v>
      </c>
      <c r="M584" s="240" t="s">
        <v>2801</v>
      </c>
      <c r="N584" s="240" t="s">
        <v>2801</v>
      </c>
      <c r="O584" s="240" t="s">
        <v>2801</v>
      </c>
      <c r="P584" s="240" t="s">
        <v>2801</v>
      </c>
      <c r="Q584" s="239" t="s">
        <v>2802</v>
      </c>
      <c r="R584" s="241"/>
      <c r="S584" s="240" t="s">
        <v>2801</v>
      </c>
      <c r="T584" s="242" t="s">
        <v>2801</v>
      </c>
      <c r="U584" s="239" t="s">
        <v>2803</v>
      </c>
      <c r="V584" s="251"/>
    </row>
    <row r="585" spans="1:22" ht="30" customHeight="1">
      <c r="A585" s="239" t="s">
        <v>6171</v>
      </c>
      <c r="B585" s="239" t="s">
        <v>6172</v>
      </c>
      <c r="C585" s="240" t="s">
        <v>6173</v>
      </c>
      <c r="D585" s="239" t="s">
        <v>74</v>
      </c>
      <c r="E585" s="241" t="s">
        <v>2795</v>
      </c>
      <c r="F585" s="239" t="s">
        <v>2924</v>
      </c>
      <c r="G585" s="241"/>
      <c r="H585" s="241">
        <v>40</v>
      </c>
      <c r="I585" s="240" t="s">
        <v>6177</v>
      </c>
      <c r="J585" s="240"/>
      <c r="K585" s="240"/>
      <c r="L585" s="240"/>
      <c r="M585" s="240" t="s">
        <v>6178</v>
      </c>
      <c r="N585" s="240" t="s">
        <v>6179</v>
      </c>
      <c r="O585" s="240" t="s">
        <v>6180</v>
      </c>
      <c r="P585" s="240" t="s">
        <v>6181</v>
      </c>
      <c r="Q585" s="239" t="s">
        <v>2802</v>
      </c>
      <c r="R585" s="241"/>
      <c r="S585" s="240" t="s">
        <v>6182</v>
      </c>
      <c r="T585" s="242" t="s">
        <v>6183</v>
      </c>
      <c r="U585" s="239" t="s">
        <v>2823</v>
      </c>
      <c r="V585" s="251"/>
    </row>
    <row r="586" spans="1:22" ht="30" customHeight="1">
      <c r="A586" s="239" t="s">
        <v>6171</v>
      </c>
      <c r="B586" s="239" t="s">
        <v>6172</v>
      </c>
      <c r="C586" s="240" t="s">
        <v>6173</v>
      </c>
      <c r="D586" s="239" t="s">
        <v>74</v>
      </c>
      <c r="E586" s="241" t="s">
        <v>2795</v>
      </c>
      <c r="F586" s="239" t="s">
        <v>2924</v>
      </c>
      <c r="G586" s="241"/>
      <c r="H586" s="241">
        <v>40</v>
      </c>
      <c r="I586" s="240" t="s">
        <v>6184</v>
      </c>
      <c r="J586" s="240"/>
      <c r="K586" s="240"/>
      <c r="L586" s="240"/>
      <c r="M586" s="240" t="s">
        <v>6185</v>
      </c>
      <c r="N586" s="240" t="s">
        <v>6186</v>
      </c>
      <c r="O586" s="240" t="s">
        <v>6187</v>
      </c>
      <c r="P586" s="240" t="s">
        <v>6188</v>
      </c>
      <c r="Q586" s="239" t="s">
        <v>2802</v>
      </c>
      <c r="R586" s="241"/>
      <c r="S586" s="240" t="s">
        <v>4485</v>
      </c>
      <c r="T586" s="242" t="s">
        <v>6189</v>
      </c>
      <c r="U586" s="239" t="s">
        <v>2935</v>
      </c>
      <c r="V586" s="251"/>
    </row>
    <row r="587" spans="1:22" ht="30" customHeight="1">
      <c r="A587" s="239" t="s">
        <v>6171</v>
      </c>
      <c r="B587" s="239" t="s">
        <v>6172</v>
      </c>
      <c r="C587" s="240" t="s">
        <v>6173</v>
      </c>
      <c r="D587" s="239" t="s">
        <v>74</v>
      </c>
      <c r="E587" s="241" t="s">
        <v>2795</v>
      </c>
      <c r="F587" s="239" t="s">
        <v>2924</v>
      </c>
      <c r="G587" s="241"/>
      <c r="H587" s="241">
        <v>40</v>
      </c>
      <c r="I587" s="240" t="s">
        <v>6190</v>
      </c>
      <c r="J587" s="240"/>
      <c r="K587" s="240"/>
      <c r="L587" s="240"/>
      <c r="M587" s="240" t="s">
        <v>6191</v>
      </c>
      <c r="N587" s="240" t="s">
        <v>6192</v>
      </c>
      <c r="O587" s="240" t="s">
        <v>2944</v>
      </c>
      <c r="P587" s="240" t="s">
        <v>6193</v>
      </c>
      <c r="Q587" s="239" t="s">
        <v>4969</v>
      </c>
      <c r="R587" s="241"/>
      <c r="S587" s="240" t="s">
        <v>6194</v>
      </c>
      <c r="T587" s="242" t="s">
        <v>1198</v>
      </c>
      <c r="U587" s="239" t="s">
        <v>2935</v>
      </c>
      <c r="V587" s="251"/>
    </row>
    <row r="588" spans="1:22" ht="30" customHeight="1">
      <c r="A588" s="239" t="s">
        <v>6195</v>
      </c>
      <c r="B588" s="239" t="s">
        <v>6196</v>
      </c>
      <c r="C588" s="240" t="s">
        <v>6197</v>
      </c>
      <c r="D588" s="239" t="s">
        <v>74</v>
      </c>
      <c r="E588" s="241" t="s">
        <v>2795</v>
      </c>
      <c r="F588" s="239" t="s">
        <v>2924</v>
      </c>
      <c r="G588" s="241"/>
      <c r="H588" s="241">
        <v>40</v>
      </c>
      <c r="I588" s="240" t="s">
        <v>6198</v>
      </c>
      <c r="J588" s="260" t="s">
        <v>5687</v>
      </c>
      <c r="K588" s="240" t="s">
        <v>6199</v>
      </c>
      <c r="L588" s="240" t="s">
        <v>6200</v>
      </c>
      <c r="M588" s="240" t="s">
        <v>6201</v>
      </c>
      <c r="N588" s="240" t="s">
        <v>6202</v>
      </c>
      <c r="O588" s="240" t="s">
        <v>6203</v>
      </c>
      <c r="P588" s="240" t="s">
        <v>6204</v>
      </c>
      <c r="Q588" s="239" t="s">
        <v>2802</v>
      </c>
      <c r="R588" s="241"/>
      <c r="S588" s="240" t="s">
        <v>6205</v>
      </c>
      <c r="T588" s="242" t="s">
        <v>6206</v>
      </c>
      <c r="U588" s="239" t="s">
        <v>2935</v>
      </c>
      <c r="V588" s="251"/>
    </row>
    <row r="589" spans="1:22" ht="30" customHeight="1">
      <c r="A589" s="239" t="s">
        <v>6207</v>
      </c>
      <c r="B589" s="239" t="s">
        <v>6208</v>
      </c>
      <c r="C589" s="240" t="s">
        <v>6209</v>
      </c>
      <c r="D589" s="239" t="s">
        <v>74</v>
      </c>
      <c r="E589" s="241" t="s">
        <v>2795</v>
      </c>
      <c r="F589" s="239" t="s">
        <v>2924</v>
      </c>
      <c r="G589" s="241"/>
      <c r="H589" s="241">
        <v>40</v>
      </c>
      <c r="I589" s="240" t="s">
        <v>6210</v>
      </c>
      <c r="J589" s="260" t="s">
        <v>5687</v>
      </c>
      <c r="K589" s="240" t="s">
        <v>2953</v>
      </c>
      <c r="L589" s="240" t="s">
        <v>6200</v>
      </c>
      <c r="M589" s="240" t="s">
        <v>6211</v>
      </c>
      <c r="N589" s="240" t="s">
        <v>6212</v>
      </c>
      <c r="O589" s="240" t="s">
        <v>6213</v>
      </c>
      <c r="P589" s="240" t="s">
        <v>6214</v>
      </c>
      <c r="Q589" s="239" t="s">
        <v>2802</v>
      </c>
      <c r="R589" s="241"/>
      <c r="S589" s="240" t="s">
        <v>6215</v>
      </c>
      <c r="T589" s="242" t="s">
        <v>6216</v>
      </c>
      <c r="U589" s="239" t="s">
        <v>2935</v>
      </c>
      <c r="V589" s="251"/>
    </row>
    <row r="590" spans="1:22" ht="30" customHeight="1">
      <c r="A590" s="239" t="s">
        <v>6217</v>
      </c>
      <c r="B590" s="239" t="s">
        <v>6218</v>
      </c>
      <c r="C590" s="240" t="s">
        <v>6219</v>
      </c>
      <c r="D590" s="239" t="s">
        <v>74</v>
      </c>
      <c r="E590" s="241" t="s">
        <v>2795</v>
      </c>
      <c r="F590" s="239" t="s">
        <v>2924</v>
      </c>
      <c r="G590" s="241"/>
      <c r="H590" s="241">
        <v>40</v>
      </c>
      <c r="I590" s="240" t="s">
        <v>6220</v>
      </c>
      <c r="J590" s="260" t="s">
        <v>5687</v>
      </c>
      <c r="K590" s="240" t="s">
        <v>6221</v>
      </c>
      <c r="L590" s="240" t="s">
        <v>6222</v>
      </c>
      <c r="M590" s="240" t="s">
        <v>2801</v>
      </c>
      <c r="N590" s="240" t="s">
        <v>2801</v>
      </c>
      <c r="O590" s="240" t="s">
        <v>2801</v>
      </c>
      <c r="P590" s="240" t="s">
        <v>2801</v>
      </c>
      <c r="Q590" s="239" t="s">
        <v>2802</v>
      </c>
      <c r="R590" s="241"/>
      <c r="S590" s="240" t="s">
        <v>2801</v>
      </c>
      <c r="T590" s="242" t="s">
        <v>2801</v>
      </c>
      <c r="U590" s="239" t="s">
        <v>2803</v>
      </c>
      <c r="V590" s="251"/>
    </row>
    <row r="591" spans="1:22" ht="30" customHeight="1">
      <c r="A591" s="239" t="s">
        <v>6217</v>
      </c>
      <c r="B591" s="239" t="s">
        <v>6218</v>
      </c>
      <c r="C591" s="240" t="s">
        <v>6219</v>
      </c>
      <c r="D591" s="239" t="s">
        <v>74</v>
      </c>
      <c r="E591" s="241" t="s">
        <v>2795</v>
      </c>
      <c r="F591" s="239" t="s">
        <v>2924</v>
      </c>
      <c r="G591" s="241"/>
      <c r="H591" s="241">
        <v>40</v>
      </c>
      <c r="I591" s="240" t="s">
        <v>6223</v>
      </c>
      <c r="J591" s="240"/>
      <c r="K591" s="240"/>
      <c r="L591" s="240"/>
      <c r="M591" s="240" t="s">
        <v>6224</v>
      </c>
      <c r="N591" s="240" t="s">
        <v>6225</v>
      </c>
      <c r="O591" s="240" t="s">
        <v>6226</v>
      </c>
      <c r="P591" s="240" t="s">
        <v>6227</v>
      </c>
      <c r="Q591" s="239" t="s">
        <v>2802</v>
      </c>
      <c r="R591" s="241"/>
      <c r="S591" s="240" t="s">
        <v>6228</v>
      </c>
      <c r="T591" s="242" t="s">
        <v>6229</v>
      </c>
      <c r="U591" s="239" t="s">
        <v>2935</v>
      </c>
      <c r="V591" s="251"/>
    </row>
    <row r="592" spans="1:22" ht="30" customHeight="1">
      <c r="A592" s="239" t="s">
        <v>6217</v>
      </c>
      <c r="B592" s="239" t="s">
        <v>6218</v>
      </c>
      <c r="C592" s="240" t="s">
        <v>6219</v>
      </c>
      <c r="D592" s="239" t="s">
        <v>74</v>
      </c>
      <c r="E592" s="241" t="s">
        <v>2795</v>
      </c>
      <c r="F592" s="239" t="s">
        <v>2924</v>
      </c>
      <c r="G592" s="241"/>
      <c r="H592" s="241">
        <v>40</v>
      </c>
      <c r="I592" s="240" t="s">
        <v>6230</v>
      </c>
      <c r="J592" s="240"/>
      <c r="K592" s="240"/>
      <c r="L592" s="240"/>
      <c r="M592" s="240" t="s">
        <v>6231</v>
      </c>
      <c r="N592" s="240" t="s">
        <v>6232</v>
      </c>
      <c r="O592" s="240" t="s">
        <v>6233</v>
      </c>
      <c r="P592" s="240" t="s">
        <v>6234</v>
      </c>
      <c r="Q592" s="239" t="s">
        <v>2802</v>
      </c>
      <c r="R592" s="241"/>
      <c r="S592" s="240" t="s">
        <v>6235</v>
      </c>
      <c r="T592" s="242" t="s">
        <v>6236</v>
      </c>
      <c r="U592" s="239" t="s">
        <v>2823</v>
      </c>
      <c r="V592" s="251"/>
    </row>
    <row r="593" spans="1:23" ht="30" customHeight="1">
      <c r="A593" s="239" t="s">
        <v>6237</v>
      </c>
      <c r="B593" s="239" t="s">
        <v>6238</v>
      </c>
      <c r="C593" s="240" t="s">
        <v>6239</v>
      </c>
      <c r="D593" s="239" t="s">
        <v>74</v>
      </c>
      <c r="E593" s="241" t="s">
        <v>2795</v>
      </c>
      <c r="F593" s="239" t="s">
        <v>2924</v>
      </c>
      <c r="G593" s="241"/>
      <c r="H593" s="241">
        <v>40</v>
      </c>
      <c r="I593" s="240" t="s">
        <v>6240</v>
      </c>
      <c r="J593" s="240" t="s">
        <v>6241</v>
      </c>
      <c r="K593" s="240" t="s">
        <v>2953</v>
      </c>
      <c r="L593" s="240" t="s">
        <v>6200</v>
      </c>
      <c r="M593" s="240" t="s">
        <v>2801</v>
      </c>
      <c r="N593" s="240" t="s">
        <v>2801</v>
      </c>
      <c r="O593" s="240" t="s">
        <v>2801</v>
      </c>
      <c r="P593" s="240" t="s">
        <v>2801</v>
      </c>
      <c r="Q593" s="239" t="s">
        <v>2864</v>
      </c>
      <c r="R593" s="241"/>
      <c r="S593" s="240" t="s">
        <v>2801</v>
      </c>
      <c r="T593" s="242" t="s">
        <v>2801</v>
      </c>
      <c r="U593" s="239" t="s">
        <v>2803</v>
      </c>
      <c r="V593" s="251"/>
    </row>
    <row r="594" spans="1:23" ht="30" customHeight="1">
      <c r="A594" s="239" t="s">
        <v>6237</v>
      </c>
      <c r="B594" s="239" t="s">
        <v>6238</v>
      </c>
      <c r="C594" s="240" t="s">
        <v>6239</v>
      </c>
      <c r="D594" s="239" t="s">
        <v>74</v>
      </c>
      <c r="E594" s="241" t="s">
        <v>2795</v>
      </c>
      <c r="F594" s="239" t="s">
        <v>2924</v>
      </c>
      <c r="G594" s="241"/>
      <c r="H594" s="241">
        <v>40</v>
      </c>
      <c r="I594" s="240" t="s">
        <v>6242</v>
      </c>
      <c r="J594" s="240"/>
      <c r="K594" s="240"/>
      <c r="L594" s="240"/>
      <c r="M594" s="240" t="s">
        <v>6243</v>
      </c>
      <c r="N594" s="240" t="s">
        <v>6244</v>
      </c>
      <c r="O594" s="240" t="s">
        <v>6245</v>
      </c>
      <c r="P594" s="240" t="s">
        <v>6246</v>
      </c>
      <c r="Q594" s="239" t="s">
        <v>2864</v>
      </c>
      <c r="R594" s="241"/>
      <c r="S594" s="240" t="s">
        <v>6247</v>
      </c>
      <c r="T594" s="242" t="s">
        <v>6248</v>
      </c>
      <c r="U594" s="239" t="s">
        <v>2823</v>
      </c>
      <c r="V594" s="251"/>
    </row>
    <row r="595" spans="1:23" ht="30" customHeight="1">
      <c r="A595" s="239" t="s">
        <v>6237</v>
      </c>
      <c r="B595" s="239" t="s">
        <v>6238</v>
      </c>
      <c r="C595" s="240" t="s">
        <v>6239</v>
      </c>
      <c r="D595" s="239" t="s">
        <v>74</v>
      </c>
      <c r="E595" s="241" t="s">
        <v>2795</v>
      </c>
      <c r="F595" s="239" t="s">
        <v>2924</v>
      </c>
      <c r="G595" s="241"/>
      <c r="H595" s="241">
        <v>40</v>
      </c>
      <c r="I595" s="240" t="s">
        <v>6249</v>
      </c>
      <c r="J595" s="240"/>
      <c r="K595" s="240"/>
      <c r="L595" s="240"/>
      <c r="M595" s="240" t="s">
        <v>6250</v>
      </c>
      <c r="N595" s="240" t="s">
        <v>6251</v>
      </c>
      <c r="O595" s="240" t="s">
        <v>6252</v>
      </c>
      <c r="P595" s="240" t="s">
        <v>6253</v>
      </c>
      <c r="Q595" s="239" t="s">
        <v>2864</v>
      </c>
      <c r="R595" s="241"/>
      <c r="S595" s="240" t="s">
        <v>6254</v>
      </c>
      <c r="T595" s="242" t="s">
        <v>6255</v>
      </c>
      <c r="U595" s="239" t="s">
        <v>2809</v>
      </c>
      <c r="V595" s="251"/>
    </row>
    <row r="596" spans="1:23" ht="30" customHeight="1">
      <c r="A596" s="246" t="s">
        <v>6256</v>
      </c>
      <c r="B596" s="247" t="s">
        <v>6257</v>
      </c>
      <c r="C596" s="247" t="s">
        <v>6258</v>
      </c>
      <c r="D596" s="261" t="s">
        <v>74</v>
      </c>
      <c r="E596" s="261" t="s">
        <v>2795</v>
      </c>
      <c r="F596" s="261" t="s">
        <v>2924</v>
      </c>
      <c r="G596" s="261" t="s">
        <v>6259</v>
      </c>
      <c r="H596" s="261">
        <v>40</v>
      </c>
      <c r="I596" s="247" t="s">
        <v>6260</v>
      </c>
      <c r="J596" s="262" t="s">
        <v>6261</v>
      </c>
      <c r="K596" s="247" t="s">
        <v>6262</v>
      </c>
      <c r="L596" s="262" t="s">
        <v>6263</v>
      </c>
      <c r="M596" s="247" t="s">
        <v>6264</v>
      </c>
      <c r="N596" s="247" t="s">
        <v>1198</v>
      </c>
      <c r="O596" s="247" t="s">
        <v>1198</v>
      </c>
      <c r="P596" s="247" t="s">
        <v>6259</v>
      </c>
      <c r="Q596" s="247" t="s">
        <v>6259</v>
      </c>
      <c r="R596" s="247" t="s">
        <v>1198</v>
      </c>
      <c r="S596" s="247" t="s">
        <v>6265</v>
      </c>
      <c r="T596" s="247" t="s">
        <v>6259</v>
      </c>
      <c r="U596" s="263" t="s">
        <v>6266</v>
      </c>
      <c r="V596" s="247" t="s">
        <v>6259</v>
      </c>
      <c r="W596" s="264"/>
    </row>
    <row r="597" spans="1:23" ht="30" customHeight="1">
      <c r="A597" s="265" t="s">
        <v>6267</v>
      </c>
      <c r="B597" s="262" t="s">
        <v>6268</v>
      </c>
      <c r="C597" s="262" t="s">
        <v>6269</v>
      </c>
      <c r="D597" s="266" t="s">
        <v>74</v>
      </c>
      <c r="E597" s="266" t="s">
        <v>2795</v>
      </c>
      <c r="F597" s="266" t="s">
        <v>2924</v>
      </c>
      <c r="G597" s="266" t="s">
        <v>6259</v>
      </c>
      <c r="H597" s="266">
        <v>40</v>
      </c>
      <c r="I597" s="262" t="s">
        <v>6270</v>
      </c>
      <c r="J597" s="262" t="s">
        <v>6261</v>
      </c>
      <c r="K597" s="262" t="s">
        <v>6271</v>
      </c>
      <c r="L597" s="262" t="s">
        <v>6263</v>
      </c>
      <c r="M597" s="262" t="s">
        <v>6264</v>
      </c>
      <c r="N597" s="262" t="s">
        <v>1198</v>
      </c>
      <c r="O597" s="262" t="s">
        <v>1198</v>
      </c>
      <c r="P597" s="262" t="s">
        <v>6259</v>
      </c>
      <c r="Q597" s="262" t="s">
        <v>6259</v>
      </c>
      <c r="R597" s="262" t="s">
        <v>1198</v>
      </c>
      <c r="S597" s="262" t="s">
        <v>6272</v>
      </c>
      <c r="T597" s="262" t="s">
        <v>6259</v>
      </c>
      <c r="U597" s="267" t="s">
        <v>6266</v>
      </c>
      <c r="V597" s="262" t="s">
        <v>6259</v>
      </c>
      <c r="W597" s="264"/>
    </row>
    <row r="598" spans="1:23" ht="30" customHeight="1">
      <c r="A598" s="265" t="s">
        <v>6273</v>
      </c>
      <c r="B598" s="262" t="s">
        <v>6274</v>
      </c>
      <c r="C598" s="262" t="s">
        <v>6275</v>
      </c>
      <c r="D598" s="266" t="s">
        <v>74</v>
      </c>
      <c r="E598" s="266" t="s">
        <v>6259</v>
      </c>
      <c r="F598" s="266" t="s">
        <v>6259</v>
      </c>
      <c r="G598" s="266" t="s">
        <v>6259</v>
      </c>
      <c r="H598" s="266">
        <v>40</v>
      </c>
      <c r="I598" s="262" t="s">
        <v>6276</v>
      </c>
      <c r="J598" s="262" t="s">
        <v>6261</v>
      </c>
      <c r="K598" s="262" t="s">
        <v>6277</v>
      </c>
      <c r="L598" s="262" t="s">
        <v>6263</v>
      </c>
      <c r="M598" s="262" t="s">
        <v>6264</v>
      </c>
      <c r="N598" s="262" t="s">
        <v>1198</v>
      </c>
      <c r="O598" s="262" t="s">
        <v>1198</v>
      </c>
      <c r="P598" s="262" t="s">
        <v>6259</v>
      </c>
      <c r="Q598" s="262" t="s">
        <v>6259</v>
      </c>
      <c r="R598" s="262" t="s">
        <v>6259</v>
      </c>
      <c r="S598" s="262" t="s">
        <v>6259</v>
      </c>
      <c r="T598" s="262" t="s">
        <v>6259</v>
      </c>
      <c r="U598" s="267" t="s">
        <v>6266</v>
      </c>
      <c r="V598" s="262" t="s">
        <v>6259</v>
      </c>
      <c r="W598" s="264"/>
    </row>
    <row r="599" spans="1:23" ht="30" customHeight="1">
      <c r="A599" s="265" t="s">
        <v>6278</v>
      </c>
      <c r="B599" s="262" t="s">
        <v>6279</v>
      </c>
      <c r="C599" s="262" t="s">
        <v>6280</v>
      </c>
      <c r="D599" s="266" t="s">
        <v>74</v>
      </c>
      <c r="E599" s="266" t="s">
        <v>2795</v>
      </c>
      <c r="F599" s="266" t="s">
        <v>2924</v>
      </c>
      <c r="G599" s="266" t="s">
        <v>6259</v>
      </c>
      <c r="H599" s="266">
        <v>40</v>
      </c>
      <c r="I599" s="262" t="s">
        <v>6281</v>
      </c>
      <c r="J599" s="262" t="s">
        <v>6282</v>
      </c>
      <c r="K599" s="262" t="s">
        <v>6283</v>
      </c>
      <c r="L599" s="262" t="s">
        <v>6263</v>
      </c>
      <c r="M599" s="262" t="s">
        <v>6284</v>
      </c>
      <c r="N599" s="262" t="s">
        <v>1198</v>
      </c>
      <c r="O599" s="262" t="s">
        <v>1198</v>
      </c>
      <c r="P599" s="262" t="s">
        <v>1198</v>
      </c>
      <c r="Q599" s="262" t="s">
        <v>6259</v>
      </c>
      <c r="R599" s="262" t="s">
        <v>6259</v>
      </c>
      <c r="S599" s="262" t="s">
        <v>6259</v>
      </c>
      <c r="T599" s="262" t="s">
        <v>6259</v>
      </c>
      <c r="U599" s="267" t="s">
        <v>2935</v>
      </c>
      <c r="V599" s="262" t="s">
        <v>6259</v>
      </c>
      <c r="W599" s="264"/>
    </row>
    <row r="600" spans="1:23" ht="30" customHeight="1">
      <c r="A600" s="265" t="s">
        <v>6285</v>
      </c>
      <c r="B600" s="262" t="s">
        <v>6286</v>
      </c>
      <c r="C600" s="262" t="s">
        <v>6287</v>
      </c>
      <c r="D600" s="266" t="s">
        <v>74</v>
      </c>
      <c r="E600" s="266" t="s">
        <v>2795</v>
      </c>
      <c r="F600" s="266" t="s">
        <v>2924</v>
      </c>
      <c r="G600" s="266" t="s">
        <v>6259</v>
      </c>
      <c r="H600" s="266">
        <v>40</v>
      </c>
      <c r="I600" s="262" t="s">
        <v>6288</v>
      </c>
      <c r="J600" s="262" t="s">
        <v>6261</v>
      </c>
      <c r="K600" s="262" t="s">
        <v>6289</v>
      </c>
      <c r="L600" s="262" t="s">
        <v>6263</v>
      </c>
      <c r="M600" s="262" t="s">
        <v>6264</v>
      </c>
      <c r="N600" s="262" t="s">
        <v>1198</v>
      </c>
      <c r="O600" s="262" t="s">
        <v>1198</v>
      </c>
      <c r="P600" s="262" t="s">
        <v>1198</v>
      </c>
      <c r="Q600" s="262" t="s">
        <v>6259</v>
      </c>
      <c r="R600" s="262" t="s">
        <v>6259</v>
      </c>
      <c r="S600" s="262" t="s">
        <v>6259</v>
      </c>
      <c r="T600" s="262" t="s">
        <v>6259</v>
      </c>
      <c r="U600" s="267" t="s">
        <v>6266</v>
      </c>
      <c r="V600" s="262" t="s">
        <v>6259</v>
      </c>
      <c r="W600" s="264"/>
    </row>
    <row r="601" spans="1:23" ht="30" customHeight="1">
      <c r="A601" s="265" t="s">
        <v>6290</v>
      </c>
      <c r="B601" s="262" t="s">
        <v>6291</v>
      </c>
      <c r="C601" s="262" t="s">
        <v>6292</v>
      </c>
      <c r="D601" s="266" t="s">
        <v>74</v>
      </c>
      <c r="E601" s="266" t="s">
        <v>246</v>
      </c>
      <c r="F601" s="266" t="s">
        <v>2855</v>
      </c>
      <c r="G601" s="266" t="s">
        <v>6259</v>
      </c>
      <c r="H601" s="266">
        <v>40</v>
      </c>
      <c r="I601" s="262" t="s">
        <v>6293</v>
      </c>
      <c r="J601" s="262" t="s">
        <v>6261</v>
      </c>
      <c r="K601" s="262" t="s">
        <v>6294</v>
      </c>
      <c r="L601" s="262" t="s">
        <v>2954</v>
      </c>
      <c r="M601" s="262" t="s">
        <v>6295</v>
      </c>
      <c r="N601" s="262" t="s">
        <v>6296</v>
      </c>
      <c r="O601" s="262" t="s">
        <v>6259</v>
      </c>
      <c r="P601" s="262" t="s">
        <v>6259</v>
      </c>
      <c r="Q601" s="262" t="s">
        <v>6259</v>
      </c>
      <c r="R601" s="262" t="s">
        <v>6259</v>
      </c>
      <c r="S601" s="262" t="s">
        <v>6259</v>
      </c>
      <c r="T601" s="262" t="s">
        <v>6259</v>
      </c>
      <c r="U601" s="267"/>
      <c r="V601" s="262" t="s">
        <v>6259</v>
      </c>
      <c r="W601" s="264"/>
    </row>
    <row r="602" spans="1:23" ht="30" customHeight="1">
      <c r="A602" s="265" t="s">
        <v>6297</v>
      </c>
      <c r="B602" s="262" t="s">
        <v>6298</v>
      </c>
      <c r="C602" s="262" t="s">
        <v>6299</v>
      </c>
      <c r="D602" s="266" t="s">
        <v>74</v>
      </c>
      <c r="E602" s="266" t="s">
        <v>6259</v>
      </c>
      <c r="F602" s="266" t="s">
        <v>6259</v>
      </c>
      <c r="G602" s="266" t="s">
        <v>6259</v>
      </c>
      <c r="H602" s="266">
        <v>40</v>
      </c>
      <c r="I602" s="262" t="s">
        <v>6300</v>
      </c>
      <c r="J602" s="262" t="s">
        <v>6261</v>
      </c>
      <c r="K602" s="262" t="s">
        <v>6301</v>
      </c>
      <c r="L602" s="262" t="s">
        <v>6302</v>
      </c>
      <c r="M602" s="262" t="s">
        <v>6303</v>
      </c>
      <c r="N602" s="262" t="s">
        <v>1198</v>
      </c>
      <c r="O602" s="262" t="s">
        <v>1198</v>
      </c>
      <c r="P602" s="262" t="s">
        <v>6259</v>
      </c>
      <c r="Q602" s="262" t="s">
        <v>6259</v>
      </c>
      <c r="R602" s="262" t="s">
        <v>6259</v>
      </c>
      <c r="S602" s="262" t="s">
        <v>6259</v>
      </c>
      <c r="T602" s="262" t="s">
        <v>6259</v>
      </c>
      <c r="U602" s="267" t="s">
        <v>6304</v>
      </c>
      <c r="V602" s="262" t="s">
        <v>6259</v>
      </c>
      <c r="W602" s="264"/>
    </row>
    <row r="603" spans="1:23" ht="30" customHeight="1">
      <c r="A603" s="265" t="s">
        <v>6305</v>
      </c>
      <c r="B603" s="262" t="s">
        <v>6306</v>
      </c>
      <c r="C603" s="262" t="s">
        <v>6307</v>
      </c>
      <c r="D603" s="266" t="s">
        <v>74</v>
      </c>
      <c r="E603" s="266" t="s">
        <v>2795</v>
      </c>
      <c r="F603" s="266" t="s">
        <v>2924</v>
      </c>
      <c r="G603" s="266" t="s">
        <v>6259</v>
      </c>
      <c r="H603" s="266">
        <v>40</v>
      </c>
      <c r="I603" s="262" t="s">
        <v>6308</v>
      </c>
      <c r="J603" s="262" t="s">
        <v>6261</v>
      </c>
      <c r="K603" s="262" t="s">
        <v>6277</v>
      </c>
      <c r="L603" s="262" t="s">
        <v>6263</v>
      </c>
      <c r="M603" s="262" t="s">
        <v>6264</v>
      </c>
      <c r="N603" s="262" t="s">
        <v>6309</v>
      </c>
      <c r="O603" s="262" t="s">
        <v>6259</v>
      </c>
      <c r="P603" s="262" t="s">
        <v>6259</v>
      </c>
      <c r="Q603" s="262" t="s">
        <v>6310</v>
      </c>
      <c r="R603" s="262" t="s">
        <v>6259</v>
      </c>
      <c r="S603" s="262" t="s">
        <v>6311</v>
      </c>
      <c r="T603" s="262" t="s">
        <v>6259</v>
      </c>
      <c r="U603" s="267" t="s">
        <v>6266</v>
      </c>
      <c r="V603" s="262" t="s">
        <v>6259</v>
      </c>
      <c r="W603" s="264"/>
    </row>
    <row r="604" spans="1:23" ht="30" customHeight="1">
      <c r="A604" s="265" t="s">
        <v>6312</v>
      </c>
      <c r="B604" s="262" t="s">
        <v>6313</v>
      </c>
      <c r="C604" s="262" t="s">
        <v>6314</v>
      </c>
      <c r="D604" s="266" t="s">
        <v>74</v>
      </c>
      <c r="E604" s="266" t="s">
        <v>2795</v>
      </c>
      <c r="F604" s="266" t="s">
        <v>2924</v>
      </c>
      <c r="G604" s="266" t="s">
        <v>6259</v>
      </c>
      <c r="H604" s="266">
        <v>40</v>
      </c>
      <c r="I604" s="262" t="s">
        <v>6315</v>
      </c>
      <c r="J604" s="262" t="s">
        <v>6261</v>
      </c>
      <c r="K604" s="262" t="s">
        <v>6316</v>
      </c>
      <c r="L604" s="262" t="s">
        <v>6263</v>
      </c>
      <c r="M604" s="262" t="s">
        <v>6264</v>
      </c>
      <c r="N604" s="262" t="s">
        <v>1198</v>
      </c>
      <c r="O604" s="262" t="s">
        <v>1198</v>
      </c>
      <c r="P604" s="262" t="s">
        <v>6259</v>
      </c>
      <c r="Q604" s="262" t="s">
        <v>6259</v>
      </c>
      <c r="R604" s="262" t="s">
        <v>6259</v>
      </c>
      <c r="S604" s="262" t="s">
        <v>6317</v>
      </c>
      <c r="T604" s="262" t="s">
        <v>1198</v>
      </c>
      <c r="U604" s="267" t="s">
        <v>6266</v>
      </c>
      <c r="V604" s="262" t="s">
        <v>6259</v>
      </c>
      <c r="W604" s="264"/>
    </row>
    <row r="605" spans="1:23" ht="30" customHeight="1">
      <c r="A605" s="265" t="s">
        <v>4039</v>
      </c>
      <c r="B605" s="262" t="s">
        <v>4040</v>
      </c>
      <c r="C605" s="262" t="s">
        <v>6318</v>
      </c>
      <c r="D605" s="266" t="s">
        <v>74</v>
      </c>
      <c r="E605" s="266" t="s">
        <v>6259</v>
      </c>
      <c r="F605" s="266" t="s">
        <v>6259</v>
      </c>
      <c r="G605" s="266" t="s">
        <v>6259</v>
      </c>
      <c r="H605" s="266">
        <v>40</v>
      </c>
      <c r="I605" s="262" t="s">
        <v>6319</v>
      </c>
      <c r="J605" s="262" t="s">
        <v>6261</v>
      </c>
      <c r="K605" s="262" t="s">
        <v>6320</v>
      </c>
      <c r="L605" s="262" t="s">
        <v>2954</v>
      </c>
      <c r="M605" s="262" t="s">
        <v>6264</v>
      </c>
      <c r="N605" s="262" t="s">
        <v>1198</v>
      </c>
      <c r="O605" s="262" t="s">
        <v>1198</v>
      </c>
      <c r="P605" s="262" t="s">
        <v>6259</v>
      </c>
      <c r="Q605" s="262" t="s">
        <v>6259</v>
      </c>
      <c r="R605" s="262" t="s">
        <v>6259</v>
      </c>
      <c r="S605" s="262" t="s">
        <v>6321</v>
      </c>
      <c r="T605" s="262" t="s">
        <v>1198</v>
      </c>
      <c r="U605" s="267" t="s">
        <v>6322</v>
      </c>
      <c r="V605" s="262" t="s">
        <v>6259</v>
      </c>
      <c r="W605" s="264"/>
    </row>
  </sheetData>
  <autoFilter ref="A1:W605" xr:uid="{00000000-0001-0000-0000-000000000000}">
    <filterColumn colId="0" showButton="0"/>
    <filterColumn colId="4" showButton="0"/>
  </autoFilter>
  <mergeCells count="20">
    <mergeCell ref="N1:N2"/>
    <mergeCell ref="A1:B1"/>
    <mergeCell ref="C1:C2"/>
    <mergeCell ref="D1:D2"/>
    <mergeCell ref="E1:F1"/>
    <mergeCell ref="G1:G2"/>
    <mergeCell ref="H1:H2"/>
    <mergeCell ref="I1:I2"/>
    <mergeCell ref="J1:J2"/>
    <mergeCell ref="K1:K2"/>
    <mergeCell ref="L1:L2"/>
    <mergeCell ref="M1:M2"/>
    <mergeCell ref="U1:U2"/>
    <mergeCell ref="V1:V2"/>
    <mergeCell ref="O1:O2"/>
    <mergeCell ref="P1:P2"/>
    <mergeCell ref="Q1:Q2"/>
    <mergeCell ref="R1:R2"/>
    <mergeCell ref="S1:S2"/>
    <mergeCell ref="T1:T2"/>
  </mergeCells>
  <dataValidations count="1">
    <dataValidation type="list" allowBlank="1" showInputMessage="1" showErrorMessage="1" sqref="V3:V73" xr:uid="{880474E8-65F5-4E39-A636-0F8E1DBEE0F8}">
      <formula1>"noSeverity, maintenanceOnly, checkAtNextHalt, checkImmediately"</formula1>
    </dataValidation>
  </dataValidations>
  <hyperlinks>
    <hyperlink ref="C1:C2" location="Definitions!B6" tooltip="Link to Definition Worksheet with explanation" display="DTC Description" xr:uid="{C893BC17-7432-40F2-8B97-89293A97EAA0}"/>
    <hyperlink ref="D1:D2" location="Definitions!B7" tooltip="Link to Definition Worksheet with explanation" display="OCCURRENCE_FAULT" xr:uid="{D4484872-CBE7-4282-B1AD-935586A3C6E7}"/>
    <hyperlink ref="E1:E2" location="Definitions!B8" tooltip="Link to Definition Worksheet with explanation" display="WARNING_INDICATOR" xr:uid="{C0448871-1522-49BF-99D8-B4AC5E9E5D04}"/>
    <hyperlink ref="G1:G2" location="Definitions!B10" tooltip="Link to Definition Worksheet with explanation" display="PRIORITY / DTC Priority" xr:uid="{6BCF649C-8E39-4636-B181-7DA29FE4E733}"/>
    <hyperlink ref="K1:K2" location="Definitions!B14" tooltip="Link to Definition Worksheet with explanation" display="POSSIBLE_CAUSES" xr:uid="{34C92C50-9833-4C35-A29F-26F8664ADCC2}"/>
    <hyperlink ref="L1:L2" location="Definitions!B15" tooltip="Link to Definition Worksheet with explanation" display="REPAIR_ACTION " xr:uid="{90F2E4BD-2400-47AD-A2D4-4D59CF8D5950}"/>
    <hyperlink ref="M1:M2" location="Definitions!B18" tooltip="Link to Definition Worksheet with explanation" display="ENABLE_CONDITIONS  " xr:uid="{969A9EF5-9CBB-4587-813A-EE67F9BB1335}"/>
    <hyperlink ref="N1:N2" location="Definitions!B19" tooltip="Link to Definition Worksheet with explanation" display="MATURE_THRESHOLD" xr:uid="{7B922EDD-D1F9-477E-9CA1-C2C8FC1AFB7E}"/>
    <hyperlink ref="O1:O2" location="Definitions!B20" tooltip="Link to Definition Worksheet with explanation" display="MATURE_TIME_VALUE_UNIT" xr:uid="{B4FCCBFC-2398-4B43-8E51-9FAB92820AAE}"/>
    <hyperlink ref="P1:P2" location="Definitions!B21" tooltip="Link to Definition Worksheet with explanation" display="MONITOR_TYPE" xr:uid="{A892D8B1-EF1B-4473-898C-49FC5E4F9429}"/>
    <hyperlink ref="Q1:Q2" location="Definitions!B22" tooltip="Link to Definition Worksheet with explanation" display="MONITOR_RATE_VALUE_UNIT" xr:uid="{E312C7AE-7DFE-4E6B-88A1-5E0BE572952E}"/>
    <hyperlink ref="R1:R2" location="Definitions!B23" tooltip="Link to Definition Worksheet with explanation" display="NUMBER_OF_TRIPS_ACTIVE" xr:uid="{7487E67E-1903-4AD1-AB78-DEB7737A96B8}"/>
    <hyperlink ref="S1:S2" location="Definitions!B25" tooltip="Link to Definition Worksheet with explanation" display="DE_MATURE_CRITERIA" xr:uid="{57F79E5C-6ABA-4AD0-89B7-8B8695F94838}"/>
    <hyperlink ref="T1:T2" location="Definitions!B26" tooltip="Link to Definition Worksheet with explanation" display="DE_MATURE_TIME_VALUE_UNIT" xr:uid="{3C3A7748-1843-4022-B5F3-F151B877340F}"/>
    <hyperlink ref="H1:H2" location="Definitions!B29" tooltip="Link to Definition Worksheet with explanation" display="STORED_DTC_SELF_HEALING_CRITERIA" xr:uid="{47C5F349-45E7-4516-A898-A02C15876B71}"/>
    <hyperlink ref="V1:V2" location="Definitions!B32" tooltip="Link to Definition Worksheet with explanation" display="Severity1" xr:uid="{B2C284D9-6A45-4578-A35E-3721AF4F8B9F}"/>
    <hyperlink ref="I1:I2" location="Definitions!B11" tooltip="Link to Definition Worksheet with explanation" display="ENGINEERING_NOTES" xr:uid="{C519F4AD-997C-4D0F-9533-402B19CA97CC}"/>
    <hyperlink ref="J1:J2" location="Definitions!B13" tooltip="Link to Definition Worksheet with explanation" display="CUSTOMER_PERCEPTION_SYMPTOM" xr:uid="{4D45FCC6-3B1B-4E50-9CF6-C6F56197E88D}"/>
    <hyperlink ref="A2" location="Definitions!B4" display="HEX Value" xr:uid="{D4D8ABA5-5388-42EC-B337-D3A3D933E659}"/>
    <hyperlink ref="B2" location="Definitions!B5" display="J2012 Format" xr:uid="{0422449C-784F-49E5-A400-727B40EAD8B4}"/>
    <hyperlink ref="U1:U2" location="Definitions!B28" tooltip="Link to Definition Worksheet with explanation" display="LIMP_IN_ACTION" xr:uid="{9AF7F167-E511-4DC6-8200-B8288610306F}"/>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8DC97-B3EC-4435-B923-A093F232800A}">
  <dimension ref="A1:R779"/>
  <sheetViews>
    <sheetView topLeftCell="B1" zoomScale="85" zoomScaleNormal="85" workbookViewId="0">
      <pane ySplit="1" topLeftCell="A337" activePane="bottomLeft" state="frozen"/>
      <selection activeCell="D1" sqref="D1"/>
      <selection pane="bottomLeft" activeCell="S7" sqref="S7"/>
    </sheetView>
  </sheetViews>
  <sheetFormatPr defaultRowHeight="13.2"/>
  <cols>
    <col min="1" max="1" width="36.6640625" style="272" hidden="1" customWidth="1"/>
    <col min="2" max="2" width="49.6640625" style="272" customWidth="1"/>
    <col min="3" max="3" width="60.6640625" style="272" hidden="1" customWidth="1"/>
    <col min="4" max="4" width="63.88671875" style="272" customWidth="1"/>
    <col min="5" max="5" width="11.5546875" style="272" customWidth="1"/>
    <col min="6" max="6" width="13.6640625" style="272" customWidth="1"/>
    <col min="7" max="7" width="16.6640625" style="272" customWidth="1"/>
    <col min="8" max="8" width="10.33203125" style="272" customWidth="1"/>
    <col min="9" max="10" width="10.88671875" style="272" bestFit="1" customWidth="1"/>
    <col min="11" max="11" width="10.21875" style="272" customWidth="1"/>
    <col min="12" max="12" width="8.44140625" style="272" customWidth="1"/>
    <col min="13" max="13" width="11.33203125" style="272" customWidth="1"/>
    <col min="14" max="14" width="19.109375" style="272" customWidth="1"/>
    <col min="15" max="15" width="11.88671875" style="272" customWidth="1"/>
    <col min="16" max="16" width="11.33203125" style="272" customWidth="1"/>
    <col min="17" max="17" width="8.5546875" style="272" customWidth="1"/>
    <col min="18" max="18" width="9" style="272" customWidth="1"/>
    <col min="19" max="19" width="8.88671875" style="272"/>
    <col min="20" max="20" width="22.6640625" style="272" customWidth="1"/>
    <col min="21" max="21" width="89.88671875" style="272" customWidth="1"/>
    <col min="22" max="16384" width="8.88671875" style="272"/>
  </cols>
  <sheetData>
    <row r="1" spans="1:18">
      <c r="A1" s="417" t="s">
        <v>7021</v>
      </c>
      <c r="B1" s="418" t="s">
        <v>7022</v>
      </c>
      <c r="C1" s="418" t="s">
        <v>7023</v>
      </c>
      <c r="D1" s="418" t="s">
        <v>7024</v>
      </c>
      <c r="E1" s="418" t="s">
        <v>7025</v>
      </c>
      <c r="F1" s="418" t="s">
        <v>7026</v>
      </c>
      <c r="G1" s="418" t="s">
        <v>7027</v>
      </c>
      <c r="H1" s="418" t="s">
        <v>7028</v>
      </c>
      <c r="I1" s="418" t="s">
        <v>7029</v>
      </c>
      <c r="J1" s="418" t="s">
        <v>7030</v>
      </c>
      <c r="K1" s="418" t="s">
        <v>7031</v>
      </c>
      <c r="L1" s="418" t="s">
        <v>7032</v>
      </c>
      <c r="M1" s="418" t="s">
        <v>7033</v>
      </c>
      <c r="N1" s="418" t="s">
        <v>7034</v>
      </c>
      <c r="O1" s="418" t="s">
        <v>7035</v>
      </c>
      <c r="P1" s="418" t="s">
        <v>7036</v>
      </c>
      <c r="Q1" s="418" t="s">
        <v>7037</v>
      </c>
      <c r="R1" s="419" t="s">
        <v>7038</v>
      </c>
    </row>
    <row r="2" spans="1:18">
      <c r="A2" s="420" t="s">
        <v>7039</v>
      </c>
      <c r="B2" s="421" t="s">
        <v>6358</v>
      </c>
      <c r="C2" s="421"/>
      <c r="D2" s="421" t="s">
        <v>7040</v>
      </c>
      <c r="E2" s="421" t="s">
        <v>7041</v>
      </c>
      <c r="F2" s="421" t="s">
        <v>7042</v>
      </c>
      <c r="G2" s="421" t="s">
        <v>7042</v>
      </c>
      <c r="H2" s="421" t="s">
        <v>7042</v>
      </c>
      <c r="I2" s="421" t="s">
        <v>7043</v>
      </c>
      <c r="J2" s="421" t="s">
        <v>7043</v>
      </c>
      <c r="K2" s="421" t="s">
        <v>7043</v>
      </c>
      <c r="L2" s="421" t="s">
        <v>7044</v>
      </c>
      <c r="M2" s="421" t="s">
        <v>7043</v>
      </c>
      <c r="N2" s="421" t="s">
        <v>7044</v>
      </c>
      <c r="O2" s="421" t="s">
        <v>7043</v>
      </c>
      <c r="P2" s="421" t="s">
        <v>76</v>
      </c>
      <c r="Q2" s="421" t="s">
        <v>76</v>
      </c>
      <c r="R2" s="422" t="s">
        <v>76</v>
      </c>
    </row>
    <row r="3" spans="1:18">
      <c r="A3" s="420" t="s">
        <v>7039</v>
      </c>
      <c r="B3" s="421" t="s">
        <v>6358</v>
      </c>
      <c r="C3" s="421" t="s">
        <v>7045</v>
      </c>
      <c r="D3" s="421" t="s">
        <v>7046</v>
      </c>
      <c r="E3" s="421" t="s">
        <v>7041</v>
      </c>
      <c r="F3" s="421" t="s">
        <v>7042</v>
      </c>
      <c r="G3" s="421" t="s">
        <v>7042</v>
      </c>
      <c r="H3" s="421" t="s">
        <v>7042</v>
      </c>
      <c r="I3" s="421" t="s">
        <v>7043</v>
      </c>
      <c r="J3" s="421" t="s">
        <v>7043</v>
      </c>
      <c r="K3" s="421" t="s">
        <v>7043</v>
      </c>
      <c r="L3" s="421" t="s">
        <v>7044</v>
      </c>
      <c r="M3" s="421" t="s">
        <v>7043</v>
      </c>
      <c r="N3" s="421" t="s">
        <v>7044</v>
      </c>
      <c r="O3" s="421" t="s">
        <v>7043</v>
      </c>
      <c r="P3" s="421" t="s">
        <v>76</v>
      </c>
      <c r="Q3" s="421" t="s">
        <v>76</v>
      </c>
      <c r="R3" s="422" t="s">
        <v>76</v>
      </c>
    </row>
    <row r="4" spans="1:18">
      <c r="A4" s="420" t="s">
        <v>7039</v>
      </c>
      <c r="B4" s="421" t="s">
        <v>6358</v>
      </c>
      <c r="C4" s="421" t="s">
        <v>7047</v>
      </c>
      <c r="D4" s="421" t="s">
        <v>7048</v>
      </c>
      <c r="E4" s="421" t="s">
        <v>7044</v>
      </c>
      <c r="F4" s="421" t="s">
        <v>7042</v>
      </c>
      <c r="G4" s="421" t="s">
        <v>7042</v>
      </c>
      <c r="H4" s="421" t="s">
        <v>7042</v>
      </c>
      <c r="I4" s="421" t="s">
        <v>7043</v>
      </c>
      <c r="J4" s="421" t="s">
        <v>7043</v>
      </c>
      <c r="K4" s="421" t="s">
        <v>7043</v>
      </c>
      <c r="L4" s="421" t="s">
        <v>7044</v>
      </c>
      <c r="M4" s="421" t="s">
        <v>7043</v>
      </c>
      <c r="N4" s="421" t="s">
        <v>7044</v>
      </c>
      <c r="O4" s="421" t="s">
        <v>7043</v>
      </c>
      <c r="P4" s="421" t="s">
        <v>76</v>
      </c>
      <c r="Q4" s="421" t="s">
        <v>76</v>
      </c>
      <c r="R4" s="422" t="s">
        <v>76</v>
      </c>
    </row>
    <row r="5" spans="1:18">
      <c r="A5" s="420" t="s">
        <v>7039</v>
      </c>
      <c r="B5" s="421" t="s">
        <v>6358</v>
      </c>
      <c r="C5" s="421" t="s">
        <v>7049</v>
      </c>
      <c r="D5" s="421" t="s">
        <v>7050</v>
      </c>
      <c r="E5" s="421" t="s">
        <v>7044</v>
      </c>
      <c r="F5" s="421" t="s">
        <v>7042</v>
      </c>
      <c r="G5" s="421" t="s">
        <v>7042</v>
      </c>
      <c r="H5" s="421" t="s">
        <v>7042</v>
      </c>
      <c r="I5" s="421" t="s">
        <v>7043</v>
      </c>
      <c r="J5" s="421" t="s">
        <v>7043</v>
      </c>
      <c r="K5" s="421" t="s">
        <v>7043</v>
      </c>
      <c r="L5" s="421" t="s">
        <v>7044</v>
      </c>
      <c r="M5" s="421" t="s">
        <v>7043</v>
      </c>
      <c r="N5" s="421" t="s">
        <v>7044</v>
      </c>
      <c r="O5" s="421" t="s">
        <v>7043</v>
      </c>
      <c r="P5" s="421" t="s">
        <v>76</v>
      </c>
      <c r="Q5" s="421" t="s">
        <v>76</v>
      </c>
      <c r="R5" s="422" t="s">
        <v>76</v>
      </c>
    </row>
    <row r="6" spans="1:18">
      <c r="A6" s="420" t="s">
        <v>7039</v>
      </c>
      <c r="B6" s="421" t="s">
        <v>6358</v>
      </c>
      <c r="C6" s="421" t="s">
        <v>7051</v>
      </c>
      <c r="D6" s="421" t="s">
        <v>7052</v>
      </c>
      <c r="E6" s="421" t="s">
        <v>7044</v>
      </c>
      <c r="F6" s="421" t="s">
        <v>7042</v>
      </c>
      <c r="G6" s="421" t="s">
        <v>7042</v>
      </c>
      <c r="H6" s="421" t="s">
        <v>7042</v>
      </c>
      <c r="I6" s="421" t="s">
        <v>7043</v>
      </c>
      <c r="J6" s="421" t="s">
        <v>7043</v>
      </c>
      <c r="K6" s="421" t="s">
        <v>7043</v>
      </c>
      <c r="L6" s="421" t="s">
        <v>7044</v>
      </c>
      <c r="M6" s="421" t="s">
        <v>7043</v>
      </c>
      <c r="N6" s="421" t="s">
        <v>7044</v>
      </c>
      <c r="O6" s="421" t="s">
        <v>7043</v>
      </c>
      <c r="P6" s="421" t="s">
        <v>76</v>
      </c>
      <c r="Q6" s="421" t="s">
        <v>76</v>
      </c>
      <c r="R6" s="422" t="s">
        <v>76</v>
      </c>
    </row>
    <row r="7" spans="1:18">
      <c r="A7" s="420" t="s">
        <v>7039</v>
      </c>
      <c r="B7" s="421" t="s">
        <v>6358</v>
      </c>
      <c r="C7" s="421" t="s">
        <v>7053</v>
      </c>
      <c r="D7" s="421" t="s">
        <v>7054</v>
      </c>
      <c r="E7" s="421" t="s">
        <v>7044</v>
      </c>
      <c r="F7" s="421" t="s">
        <v>7042</v>
      </c>
      <c r="G7" s="421" t="s">
        <v>7042</v>
      </c>
      <c r="H7" s="421" t="s">
        <v>7042</v>
      </c>
      <c r="I7" s="421" t="s">
        <v>7043</v>
      </c>
      <c r="J7" s="421" t="s">
        <v>7043</v>
      </c>
      <c r="K7" s="421" t="s">
        <v>7043</v>
      </c>
      <c r="L7" s="421" t="s">
        <v>7044</v>
      </c>
      <c r="M7" s="421" t="s">
        <v>7043</v>
      </c>
      <c r="N7" s="421" t="s">
        <v>7044</v>
      </c>
      <c r="O7" s="421" t="s">
        <v>7043</v>
      </c>
      <c r="P7" s="421" t="s">
        <v>76</v>
      </c>
      <c r="Q7" s="421" t="s">
        <v>76</v>
      </c>
      <c r="R7" s="422" t="s">
        <v>76</v>
      </c>
    </row>
    <row r="8" spans="1:18">
      <c r="A8" s="420" t="s">
        <v>7039</v>
      </c>
      <c r="B8" s="421" t="s">
        <v>6358</v>
      </c>
      <c r="C8" s="421" t="s">
        <v>7055</v>
      </c>
      <c r="D8" s="421" t="s">
        <v>7056</v>
      </c>
      <c r="E8" s="421" t="s">
        <v>7044</v>
      </c>
      <c r="F8" s="421" t="s">
        <v>7042</v>
      </c>
      <c r="G8" s="421" t="s">
        <v>7042</v>
      </c>
      <c r="H8" s="421" t="s">
        <v>7042</v>
      </c>
      <c r="I8" s="421" t="s">
        <v>7043</v>
      </c>
      <c r="J8" s="421" t="s">
        <v>7043</v>
      </c>
      <c r="K8" s="421" t="s">
        <v>7043</v>
      </c>
      <c r="L8" s="421" t="s">
        <v>7044</v>
      </c>
      <c r="M8" s="421" t="s">
        <v>7043</v>
      </c>
      <c r="N8" s="421" t="s">
        <v>7044</v>
      </c>
      <c r="O8" s="421" t="s">
        <v>7043</v>
      </c>
      <c r="P8" s="421" t="s">
        <v>76</v>
      </c>
      <c r="Q8" s="421" t="s">
        <v>76</v>
      </c>
      <c r="R8" s="422" t="s">
        <v>76</v>
      </c>
    </row>
    <row r="9" spans="1:18">
      <c r="A9" s="420" t="s">
        <v>7039</v>
      </c>
      <c r="B9" s="421" t="s">
        <v>6358</v>
      </c>
      <c r="C9" s="421" t="s">
        <v>7057</v>
      </c>
      <c r="D9" s="421" t="s">
        <v>7058</v>
      </c>
      <c r="E9" s="421" t="s">
        <v>7044</v>
      </c>
      <c r="F9" s="421" t="s">
        <v>7042</v>
      </c>
      <c r="G9" s="421" t="s">
        <v>7042</v>
      </c>
      <c r="H9" s="421" t="s">
        <v>7042</v>
      </c>
      <c r="I9" s="421" t="s">
        <v>7043</v>
      </c>
      <c r="J9" s="421" t="s">
        <v>7043</v>
      </c>
      <c r="K9" s="421" t="s">
        <v>7043</v>
      </c>
      <c r="L9" s="421" t="s">
        <v>7044</v>
      </c>
      <c r="M9" s="421" t="s">
        <v>7043</v>
      </c>
      <c r="N9" s="421" t="s">
        <v>7044</v>
      </c>
      <c r="O9" s="421" t="s">
        <v>7043</v>
      </c>
      <c r="P9" s="421" t="s">
        <v>76</v>
      </c>
      <c r="Q9" s="421" t="s">
        <v>76</v>
      </c>
      <c r="R9" s="422" t="s">
        <v>76</v>
      </c>
    </row>
    <row r="10" spans="1:18">
      <c r="A10" s="420" t="s">
        <v>7039</v>
      </c>
      <c r="B10" s="421" t="s">
        <v>6358</v>
      </c>
      <c r="C10" s="421" t="s">
        <v>7059</v>
      </c>
      <c r="D10" s="421" t="s">
        <v>7060</v>
      </c>
      <c r="E10" s="421" t="s">
        <v>7044</v>
      </c>
      <c r="F10" s="421" t="s">
        <v>7042</v>
      </c>
      <c r="G10" s="421" t="s">
        <v>7042</v>
      </c>
      <c r="H10" s="421" t="s">
        <v>7042</v>
      </c>
      <c r="I10" s="421" t="s">
        <v>7043</v>
      </c>
      <c r="J10" s="421" t="s">
        <v>7043</v>
      </c>
      <c r="K10" s="421" t="s">
        <v>7043</v>
      </c>
      <c r="L10" s="421" t="s">
        <v>7044</v>
      </c>
      <c r="M10" s="421" t="s">
        <v>7043</v>
      </c>
      <c r="N10" s="421" t="s">
        <v>7044</v>
      </c>
      <c r="O10" s="421" t="s">
        <v>7043</v>
      </c>
      <c r="P10" s="421" t="s">
        <v>76</v>
      </c>
      <c r="Q10" s="421" t="s">
        <v>76</v>
      </c>
      <c r="R10" s="422" t="s">
        <v>76</v>
      </c>
    </row>
    <row r="11" spans="1:18">
      <c r="A11" s="420" t="s">
        <v>7039</v>
      </c>
      <c r="B11" s="421" t="s">
        <v>6358</v>
      </c>
      <c r="C11" s="421" t="s">
        <v>7061</v>
      </c>
      <c r="D11" s="421" t="s">
        <v>7062</v>
      </c>
      <c r="E11" s="421" t="s">
        <v>7044</v>
      </c>
      <c r="F11" s="421" t="s">
        <v>7042</v>
      </c>
      <c r="G11" s="421" t="s">
        <v>7042</v>
      </c>
      <c r="H11" s="421" t="s">
        <v>7042</v>
      </c>
      <c r="I11" s="421" t="s">
        <v>7043</v>
      </c>
      <c r="J11" s="421" t="s">
        <v>7043</v>
      </c>
      <c r="K11" s="421" t="s">
        <v>7043</v>
      </c>
      <c r="L11" s="421" t="s">
        <v>7044</v>
      </c>
      <c r="M11" s="421" t="s">
        <v>7043</v>
      </c>
      <c r="N11" s="421" t="s">
        <v>7044</v>
      </c>
      <c r="O11" s="421" t="s">
        <v>7043</v>
      </c>
      <c r="P11" s="421" t="s">
        <v>76</v>
      </c>
      <c r="Q11" s="421" t="s">
        <v>76</v>
      </c>
      <c r="R11" s="422" t="s">
        <v>76</v>
      </c>
    </row>
    <row r="12" spans="1:18">
      <c r="A12" s="420" t="s">
        <v>7039</v>
      </c>
      <c r="B12" s="421" t="s">
        <v>6358</v>
      </c>
      <c r="C12" s="421" t="s">
        <v>7063</v>
      </c>
      <c r="D12" s="421" t="s">
        <v>7064</v>
      </c>
      <c r="E12" s="421" t="s">
        <v>7044</v>
      </c>
      <c r="F12" s="421" t="s">
        <v>7042</v>
      </c>
      <c r="G12" s="421" t="s">
        <v>7042</v>
      </c>
      <c r="H12" s="421" t="s">
        <v>7042</v>
      </c>
      <c r="I12" s="421" t="s">
        <v>7043</v>
      </c>
      <c r="J12" s="421" t="s">
        <v>7043</v>
      </c>
      <c r="K12" s="421" t="s">
        <v>7043</v>
      </c>
      <c r="L12" s="421" t="s">
        <v>7044</v>
      </c>
      <c r="M12" s="421" t="s">
        <v>7043</v>
      </c>
      <c r="N12" s="421" t="s">
        <v>7044</v>
      </c>
      <c r="O12" s="421" t="s">
        <v>7043</v>
      </c>
      <c r="P12" s="421" t="s">
        <v>76</v>
      </c>
      <c r="Q12" s="421" t="s">
        <v>76</v>
      </c>
      <c r="R12" s="422" t="s">
        <v>76</v>
      </c>
    </row>
    <row r="13" spans="1:18">
      <c r="A13" s="420" t="s">
        <v>7039</v>
      </c>
      <c r="B13" s="421" t="s">
        <v>6358</v>
      </c>
      <c r="C13" s="421" t="s">
        <v>7065</v>
      </c>
      <c r="D13" s="421" t="s">
        <v>7066</v>
      </c>
      <c r="E13" s="421" t="s">
        <v>7044</v>
      </c>
      <c r="F13" s="421" t="s">
        <v>7042</v>
      </c>
      <c r="G13" s="421" t="s">
        <v>7042</v>
      </c>
      <c r="H13" s="421" t="s">
        <v>7042</v>
      </c>
      <c r="I13" s="421" t="s">
        <v>7043</v>
      </c>
      <c r="J13" s="421" t="s">
        <v>7043</v>
      </c>
      <c r="K13" s="421" t="s">
        <v>7043</v>
      </c>
      <c r="L13" s="421" t="s">
        <v>7044</v>
      </c>
      <c r="M13" s="421" t="s">
        <v>7043</v>
      </c>
      <c r="N13" s="421" t="s">
        <v>7044</v>
      </c>
      <c r="O13" s="421" t="s">
        <v>7043</v>
      </c>
      <c r="P13" s="421" t="s">
        <v>76</v>
      </c>
      <c r="Q13" s="421" t="s">
        <v>76</v>
      </c>
      <c r="R13" s="422" t="s">
        <v>76</v>
      </c>
    </row>
    <row r="14" spans="1:18">
      <c r="A14" s="420" t="s">
        <v>7039</v>
      </c>
      <c r="B14" s="421" t="s">
        <v>6358</v>
      </c>
      <c r="C14" s="421" t="s">
        <v>7067</v>
      </c>
      <c r="D14" s="421" t="s">
        <v>7068</v>
      </c>
      <c r="E14" s="421" t="s">
        <v>7044</v>
      </c>
      <c r="F14" s="421" t="s">
        <v>7042</v>
      </c>
      <c r="G14" s="421" t="s">
        <v>7042</v>
      </c>
      <c r="H14" s="421" t="s">
        <v>7042</v>
      </c>
      <c r="I14" s="421" t="s">
        <v>7043</v>
      </c>
      <c r="J14" s="421" t="s">
        <v>7043</v>
      </c>
      <c r="K14" s="421" t="s">
        <v>7043</v>
      </c>
      <c r="L14" s="421" t="s">
        <v>7044</v>
      </c>
      <c r="M14" s="421" t="s">
        <v>7043</v>
      </c>
      <c r="N14" s="421" t="s">
        <v>7044</v>
      </c>
      <c r="O14" s="421" t="s">
        <v>7043</v>
      </c>
      <c r="P14" s="421" t="s">
        <v>76</v>
      </c>
      <c r="Q14" s="421" t="s">
        <v>76</v>
      </c>
      <c r="R14" s="422" t="s">
        <v>76</v>
      </c>
    </row>
    <row r="15" spans="1:18">
      <c r="A15" s="420" t="s">
        <v>7039</v>
      </c>
      <c r="B15" s="421" t="s">
        <v>6358</v>
      </c>
      <c r="C15" s="421" t="s">
        <v>7069</v>
      </c>
      <c r="D15" s="421" t="s">
        <v>7070</v>
      </c>
      <c r="E15" s="421" t="s">
        <v>7044</v>
      </c>
      <c r="F15" s="421" t="s">
        <v>7042</v>
      </c>
      <c r="G15" s="421" t="s">
        <v>7042</v>
      </c>
      <c r="H15" s="421" t="s">
        <v>7042</v>
      </c>
      <c r="I15" s="421" t="s">
        <v>7043</v>
      </c>
      <c r="J15" s="421" t="s">
        <v>7043</v>
      </c>
      <c r="K15" s="421" t="s">
        <v>7043</v>
      </c>
      <c r="L15" s="421" t="s">
        <v>7044</v>
      </c>
      <c r="M15" s="421" t="s">
        <v>7043</v>
      </c>
      <c r="N15" s="421" t="s">
        <v>7044</v>
      </c>
      <c r="O15" s="421" t="s">
        <v>7043</v>
      </c>
      <c r="P15" s="421" t="s">
        <v>76</v>
      </c>
      <c r="Q15" s="421" t="s">
        <v>76</v>
      </c>
      <c r="R15" s="422" t="s">
        <v>76</v>
      </c>
    </row>
    <row r="16" spans="1:18">
      <c r="A16" s="420" t="s">
        <v>7039</v>
      </c>
      <c r="B16" s="421" t="s">
        <v>6358</v>
      </c>
      <c r="C16" s="421" t="s">
        <v>7071</v>
      </c>
      <c r="D16" s="421" t="s">
        <v>7072</v>
      </c>
      <c r="E16" s="421" t="s">
        <v>7044</v>
      </c>
      <c r="F16" s="421" t="s">
        <v>7042</v>
      </c>
      <c r="G16" s="421" t="s">
        <v>7042</v>
      </c>
      <c r="H16" s="421" t="s">
        <v>7042</v>
      </c>
      <c r="I16" s="421" t="s">
        <v>7043</v>
      </c>
      <c r="J16" s="421" t="s">
        <v>7043</v>
      </c>
      <c r="K16" s="421" t="s">
        <v>7043</v>
      </c>
      <c r="L16" s="421" t="s">
        <v>7044</v>
      </c>
      <c r="M16" s="421" t="s">
        <v>7043</v>
      </c>
      <c r="N16" s="421" t="s">
        <v>7044</v>
      </c>
      <c r="O16" s="421" t="s">
        <v>7043</v>
      </c>
      <c r="P16" s="421" t="s">
        <v>76</v>
      </c>
      <c r="Q16" s="421" t="s">
        <v>76</v>
      </c>
      <c r="R16" s="422" t="s">
        <v>76</v>
      </c>
    </row>
    <row r="17" spans="1:18">
      <c r="A17" s="420" t="s">
        <v>7039</v>
      </c>
      <c r="B17" s="421" t="s">
        <v>6358</v>
      </c>
      <c r="C17" s="421" t="s">
        <v>7073</v>
      </c>
      <c r="D17" s="421" t="s">
        <v>7074</v>
      </c>
      <c r="E17" s="421" t="s">
        <v>7044</v>
      </c>
      <c r="F17" s="421" t="s">
        <v>7042</v>
      </c>
      <c r="G17" s="421" t="s">
        <v>7042</v>
      </c>
      <c r="H17" s="421" t="s">
        <v>7042</v>
      </c>
      <c r="I17" s="421" t="s">
        <v>7043</v>
      </c>
      <c r="J17" s="421" t="s">
        <v>7043</v>
      </c>
      <c r="K17" s="421" t="s">
        <v>7043</v>
      </c>
      <c r="L17" s="421" t="s">
        <v>7044</v>
      </c>
      <c r="M17" s="421" t="s">
        <v>7043</v>
      </c>
      <c r="N17" s="421" t="s">
        <v>7044</v>
      </c>
      <c r="O17" s="421" t="s">
        <v>7043</v>
      </c>
      <c r="P17" s="421" t="s">
        <v>76</v>
      </c>
      <c r="Q17" s="421" t="s">
        <v>76</v>
      </c>
      <c r="R17" s="422" t="s">
        <v>76</v>
      </c>
    </row>
    <row r="18" spans="1:18">
      <c r="A18" s="420" t="s">
        <v>7039</v>
      </c>
      <c r="B18" s="421" t="s">
        <v>6358</v>
      </c>
      <c r="C18" s="421" t="s">
        <v>7075</v>
      </c>
      <c r="D18" s="421" t="s">
        <v>7076</v>
      </c>
      <c r="E18" s="421" t="s">
        <v>7041</v>
      </c>
      <c r="F18" s="421" t="s">
        <v>7042</v>
      </c>
      <c r="G18" s="421" t="s">
        <v>7042</v>
      </c>
      <c r="H18" s="421" t="s">
        <v>7042</v>
      </c>
      <c r="I18" s="421" t="s">
        <v>7043</v>
      </c>
      <c r="J18" s="421" t="s">
        <v>7043</v>
      </c>
      <c r="K18" s="421" t="s">
        <v>7043</v>
      </c>
      <c r="L18" s="421" t="s">
        <v>7044</v>
      </c>
      <c r="M18" s="421" t="s">
        <v>7043</v>
      </c>
      <c r="N18" s="421" t="s">
        <v>7044</v>
      </c>
      <c r="O18" s="421" t="s">
        <v>7043</v>
      </c>
      <c r="P18" s="421" t="s">
        <v>76</v>
      </c>
      <c r="Q18" s="421" t="s">
        <v>76</v>
      </c>
      <c r="R18" s="422" t="s">
        <v>76</v>
      </c>
    </row>
    <row r="19" spans="1:18">
      <c r="A19" s="420" t="s">
        <v>7039</v>
      </c>
      <c r="B19" s="421" t="s">
        <v>6358</v>
      </c>
      <c r="C19" s="421" t="s">
        <v>7077</v>
      </c>
      <c r="D19" s="421" t="s">
        <v>7078</v>
      </c>
      <c r="E19" s="421" t="s">
        <v>7044</v>
      </c>
      <c r="F19" s="421" t="s">
        <v>7042</v>
      </c>
      <c r="G19" s="421" t="s">
        <v>7042</v>
      </c>
      <c r="H19" s="421" t="s">
        <v>7042</v>
      </c>
      <c r="I19" s="421" t="s">
        <v>7043</v>
      </c>
      <c r="J19" s="421" t="s">
        <v>7043</v>
      </c>
      <c r="K19" s="421" t="s">
        <v>7043</v>
      </c>
      <c r="L19" s="421" t="s">
        <v>7044</v>
      </c>
      <c r="M19" s="421" t="s">
        <v>7043</v>
      </c>
      <c r="N19" s="421" t="s">
        <v>7044</v>
      </c>
      <c r="O19" s="421" t="s">
        <v>7043</v>
      </c>
      <c r="P19" s="421" t="s">
        <v>76</v>
      </c>
      <c r="Q19" s="421" t="s">
        <v>76</v>
      </c>
      <c r="R19" s="422" t="s">
        <v>76</v>
      </c>
    </row>
    <row r="20" spans="1:18">
      <c r="A20" s="420" t="s">
        <v>7039</v>
      </c>
      <c r="B20" s="421" t="s">
        <v>6358</v>
      </c>
      <c r="C20" s="421" t="s">
        <v>7079</v>
      </c>
      <c r="D20" s="421" t="s">
        <v>7080</v>
      </c>
      <c r="E20" s="421" t="s">
        <v>7044</v>
      </c>
      <c r="F20" s="421" t="s">
        <v>7042</v>
      </c>
      <c r="G20" s="421" t="s">
        <v>7042</v>
      </c>
      <c r="H20" s="421" t="s">
        <v>7042</v>
      </c>
      <c r="I20" s="421" t="s">
        <v>7043</v>
      </c>
      <c r="J20" s="421" t="s">
        <v>7043</v>
      </c>
      <c r="K20" s="421" t="s">
        <v>7043</v>
      </c>
      <c r="L20" s="421" t="s">
        <v>7044</v>
      </c>
      <c r="M20" s="421" t="s">
        <v>7043</v>
      </c>
      <c r="N20" s="421" t="s">
        <v>7044</v>
      </c>
      <c r="O20" s="421" t="s">
        <v>7043</v>
      </c>
      <c r="P20" s="421" t="s">
        <v>76</v>
      </c>
      <c r="Q20" s="421" t="s">
        <v>76</v>
      </c>
      <c r="R20" s="422" t="s">
        <v>76</v>
      </c>
    </row>
    <row r="21" spans="1:18">
      <c r="A21" s="420" t="s">
        <v>7039</v>
      </c>
      <c r="B21" s="421" t="s">
        <v>6358</v>
      </c>
      <c r="C21" s="421" t="s">
        <v>7081</v>
      </c>
      <c r="D21" s="421" t="s">
        <v>7082</v>
      </c>
      <c r="E21" s="421" t="s">
        <v>7042</v>
      </c>
      <c r="F21" s="421" t="s">
        <v>7042</v>
      </c>
      <c r="G21" s="421" t="s">
        <v>7042</v>
      </c>
      <c r="H21" s="421" t="s">
        <v>7042</v>
      </c>
      <c r="I21" s="421" t="s">
        <v>7043</v>
      </c>
      <c r="J21" s="421" t="s">
        <v>7043</v>
      </c>
      <c r="K21" s="421" t="s">
        <v>7043</v>
      </c>
      <c r="L21" s="421" t="s">
        <v>7043</v>
      </c>
      <c r="M21" s="421" t="s">
        <v>7043</v>
      </c>
      <c r="N21" s="421" t="s">
        <v>7043</v>
      </c>
      <c r="O21" s="421" t="s">
        <v>7043</v>
      </c>
      <c r="P21" s="421" t="s">
        <v>76</v>
      </c>
      <c r="Q21" s="421" t="s">
        <v>7042</v>
      </c>
      <c r="R21" s="422" t="s">
        <v>7042</v>
      </c>
    </row>
    <row r="22" spans="1:18">
      <c r="A22" s="420" t="s">
        <v>7039</v>
      </c>
      <c r="B22" s="421" t="s">
        <v>6358</v>
      </c>
      <c r="C22" s="421" t="s">
        <v>7083</v>
      </c>
      <c r="D22" s="421" t="s">
        <v>7084</v>
      </c>
      <c r="E22" s="421" t="s">
        <v>7041</v>
      </c>
      <c r="F22" s="421" t="s">
        <v>7042</v>
      </c>
      <c r="G22" s="421" t="s">
        <v>7042</v>
      </c>
      <c r="H22" s="421" t="s">
        <v>7042</v>
      </c>
      <c r="I22" s="421" t="s">
        <v>7043</v>
      </c>
      <c r="J22" s="421" t="s">
        <v>7043</v>
      </c>
      <c r="K22" s="421" t="s">
        <v>7043</v>
      </c>
      <c r="L22" s="421" t="s">
        <v>7044</v>
      </c>
      <c r="M22" s="421" t="s">
        <v>7043</v>
      </c>
      <c r="N22" s="421" t="s">
        <v>7044</v>
      </c>
      <c r="O22" s="421" t="s">
        <v>7043</v>
      </c>
      <c r="P22" s="421" t="s">
        <v>76</v>
      </c>
      <c r="Q22" s="421" t="s">
        <v>76</v>
      </c>
      <c r="R22" s="422" t="s">
        <v>76</v>
      </c>
    </row>
    <row r="23" spans="1:18">
      <c r="A23" s="420" t="s">
        <v>7039</v>
      </c>
      <c r="B23" s="421" t="s">
        <v>6358</v>
      </c>
      <c r="C23" s="421" t="s">
        <v>7085</v>
      </c>
      <c r="D23" s="421" t="s">
        <v>7086</v>
      </c>
      <c r="E23" s="421" t="s">
        <v>7042</v>
      </c>
      <c r="F23" s="421" t="s">
        <v>7042</v>
      </c>
      <c r="G23" s="421" t="s">
        <v>7042</v>
      </c>
      <c r="H23" s="421" t="s">
        <v>7042</v>
      </c>
      <c r="I23" s="421" t="s">
        <v>7043</v>
      </c>
      <c r="J23" s="421" t="s">
        <v>7043</v>
      </c>
      <c r="K23" s="421" t="s">
        <v>7043</v>
      </c>
      <c r="L23" s="421" t="s">
        <v>7043</v>
      </c>
      <c r="M23" s="421" t="s">
        <v>7043</v>
      </c>
      <c r="N23" s="421" t="s">
        <v>7043</v>
      </c>
      <c r="O23" s="421" t="s">
        <v>7043</v>
      </c>
      <c r="P23" s="421" t="s">
        <v>76</v>
      </c>
      <c r="Q23" s="421" t="s">
        <v>7042</v>
      </c>
      <c r="R23" s="422" t="s">
        <v>7042</v>
      </c>
    </row>
    <row r="24" spans="1:18">
      <c r="A24" s="420" t="s">
        <v>7039</v>
      </c>
      <c r="B24" s="421" t="s">
        <v>6358</v>
      </c>
      <c r="C24" s="421" t="s">
        <v>7087</v>
      </c>
      <c r="D24" s="421" t="s">
        <v>7088</v>
      </c>
      <c r="E24" s="421" t="s">
        <v>7041</v>
      </c>
      <c r="F24" s="421" t="s">
        <v>7042</v>
      </c>
      <c r="G24" s="421" t="s">
        <v>7042</v>
      </c>
      <c r="H24" s="421" t="s">
        <v>7042</v>
      </c>
      <c r="I24" s="421" t="s">
        <v>7043</v>
      </c>
      <c r="J24" s="421" t="s">
        <v>7043</v>
      </c>
      <c r="K24" s="421" t="s">
        <v>7043</v>
      </c>
      <c r="L24" s="421" t="s">
        <v>7044</v>
      </c>
      <c r="M24" s="421" t="s">
        <v>7043</v>
      </c>
      <c r="N24" s="421" t="s">
        <v>7044</v>
      </c>
      <c r="O24" s="421" t="s">
        <v>7043</v>
      </c>
      <c r="P24" s="421" t="s">
        <v>76</v>
      </c>
      <c r="Q24" s="421" t="s">
        <v>76</v>
      </c>
      <c r="R24" s="422" t="s">
        <v>76</v>
      </c>
    </row>
    <row r="25" spans="1:18">
      <c r="A25" s="420" t="s">
        <v>7039</v>
      </c>
      <c r="B25" s="421" t="s">
        <v>6358</v>
      </c>
      <c r="C25" s="421" t="s">
        <v>7089</v>
      </c>
      <c r="D25" s="421" t="s">
        <v>7090</v>
      </c>
      <c r="E25" s="421" t="s">
        <v>7044</v>
      </c>
      <c r="F25" s="421" t="s">
        <v>7042</v>
      </c>
      <c r="G25" s="421" t="s">
        <v>7042</v>
      </c>
      <c r="H25" s="421" t="s">
        <v>7042</v>
      </c>
      <c r="I25" s="421" t="s">
        <v>7043</v>
      </c>
      <c r="J25" s="421" t="s">
        <v>7043</v>
      </c>
      <c r="K25" s="421" t="s">
        <v>7043</v>
      </c>
      <c r="L25" s="421" t="s">
        <v>7044</v>
      </c>
      <c r="M25" s="421" t="s">
        <v>7043</v>
      </c>
      <c r="N25" s="421" t="s">
        <v>7044</v>
      </c>
      <c r="O25" s="421" t="s">
        <v>7043</v>
      </c>
      <c r="P25" s="421" t="s">
        <v>76</v>
      </c>
      <c r="Q25" s="421" t="s">
        <v>76</v>
      </c>
      <c r="R25" s="422" t="s">
        <v>76</v>
      </c>
    </row>
    <row r="26" spans="1:18">
      <c r="A26" s="420" t="s">
        <v>7039</v>
      </c>
      <c r="B26" s="421" t="s">
        <v>6358</v>
      </c>
      <c r="C26" s="421" t="s">
        <v>7091</v>
      </c>
      <c r="D26" s="421" t="s">
        <v>7092</v>
      </c>
      <c r="E26" s="421" t="s">
        <v>7044</v>
      </c>
      <c r="F26" s="421" t="s">
        <v>7042</v>
      </c>
      <c r="G26" s="421" t="s">
        <v>7042</v>
      </c>
      <c r="H26" s="421" t="s">
        <v>7042</v>
      </c>
      <c r="I26" s="421" t="s">
        <v>7043</v>
      </c>
      <c r="J26" s="421" t="s">
        <v>7043</v>
      </c>
      <c r="K26" s="421" t="s">
        <v>7043</v>
      </c>
      <c r="L26" s="421" t="s">
        <v>7044</v>
      </c>
      <c r="M26" s="421" t="s">
        <v>7043</v>
      </c>
      <c r="N26" s="421" t="s">
        <v>7044</v>
      </c>
      <c r="O26" s="421" t="s">
        <v>7043</v>
      </c>
      <c r="P26" s="421" t="s">
        <v>76</v>
      </c>
      <c r="Q26" s="421" t="s">
        <v>76</v>
      </c>
      <c r="R26" s="422" t="s">
        <v>76</v>
      </c>
    </row>
    <row r="27" spans="1:18">
      <c r="A27" s="420" t="s">
        <v>7039</v>
      </c>
      <c r="B27" s="421" t="s">
        <v>6358</v>
      </c>
      <c r="C27" s="421" t="s">
        <v>7093</v>
      </c>
      <c r="D27" s="421" t="s">
        <v>7094</v>
      </c>
      <c r="E27" s="421" t="s">
        <v>7044</v>
      </c>
      <c r="F27" s="421" t="s">
        <v>7042</v>
      </c>
      <c r="G27" s="421" t="s">
        <v>7042</v>
      </c>
      <c r="H27" s="421" t="s">
        <v>7042</v>
      </c>
      <c r="I27" s="421" t="s">
        <v>7043</v>
      </c>
      <c r="J27" s="421" t="s">
        <v>7043</v>
      </c>
      <c r="K27" s="421" t="s">
        <v>7043</v>
      </c>
      <c r="L27" s="421" t="s">
        <v>7044</v>
      </c>
      <c r="M27" s="421" t="s">
        <v>7043</v>
      </c>
      <c r="N27" s="421" t="s">
        <v>7044</v>
      </c>
      <c r="O27" s="421" t="s">
        <v>7043</v>
      </c>
      <c r="P27" s="421" t="s">
        <v>76</v>
      </c>
      <c r="Q27" s="421" t="s">
        <v>76</v>
      </c>
      <c r="R27" s="422" t="s">
        <v>76</v>
      </c>
    </row>
    <row r="28" spans="1:18">
      <c r="A28" s="420" t="s">
        <v>7039</v>
      </c>
      <c r="B28" s="421" t="s">
        <v>6358</v>
      </c>
      <c r="C28" s="421" t="s">
        <v>7095</v>
      </c>
      <c r="D28" s="421" t="s">
        <v>7096</v>
      </c>
      <c r="E28" s="421" t="s">
        <v>7041</v>
      </c>
      <c r="F28" s="421" t="s">
        <v>7042</v>
      </c>
      <c r="G28" s="421" t="s">
        <v>7042</v>
      </c>
      <c r="H28" s="421" t="s">
        <v>7042</v>
      </c>
      <c r="I28" s="421" t="s">
        <v>7043</v>
      </c>
      <c r="J28" s="421" t="s">
        <v>7043</v>
      </c>
      <c r="K28" s="421" t="s">
        <v>7043</v>
      </c>
      <c r="L28" s="421" t="s">
        <v>7044</v>
      </c>
      <c r="M28" s="421" t="s">
        <v>7043</v>
      </c>
      <c r="N28" s="421" t="s">
        <v>7044</v>
      </c>
      <c r="O28" s="421" t="s">
        <v>7043</v>
      </c>
      <c r="P28" s="421" t="s">
        <v>76</v>
      </c>
      <c r="Q28" s="421" t="s">
        <v>76</v>
      </c>
      <c r="R28" s="422" t="s">
        <v>76</v>
      </c>
    </row>
    <row r="29" spans="1:18">
      <c r="A29" s="420" t="s">
        <v>7039</v>
      </c>
      <c r="B29" s="421" t="s">
        <v>6358</v>
      </c>
      <c r="C29" s="421" t="s">
        <v>7097</v>
      </c>
      <c r="D29" s="421" t="s">
        <v>7098</v>
      </c>
      <c r="E29" s="421" t="s">
        <v>7041</v>
      </c>
      <c r="F29" s="421" t="s">
        <v>7042</v>
      </c>
      <c r="G29" s="421" t="s">
        <v>7042</v>
      </c>
      <c r="H29" s="421" t="s">
        <v>7042</v>
      </c>
      <c r="I29" s="421" t="s">
        <v>7043</v>
      </c>
      <c r="J29" s="421" t="s">
        <v>7043</v>
      </c>
      <c r="K29" s="421" t="s">
        <v>7043</v>
      </c>
      <c r="L29" s="421" t="s">
        <v>7044</v>
      </c>
      <c r="M29" s="421" t="s">
        <v>7043</v>
      </c>
      <c r="N29" s="421" t="s">
        <v>7044</v>
      </c>
      <c r="O29" s="421" t="s">
        <v>7043</v>
      </c>
      <c r="P29" s="421" t="s">
        <v>76</v>
      </c>
      <c r="Q29" s="421" t="s">
        <v>76</v>
      </c>
      <c r="R29" s="422" t="s">
        <v>76</v>
      </c>
    </row>
    <row r="30" spans="1:18">
      <c r="A30" s="420" t="s">
        <v>7039</v>
      </c>
      <c r="B30" s="421" t="s">
        <v>6358</v>
      </c>
      <c r="C30" s="421" t="s">
        <v>7099</v>
      </c>
      <c r="D30" s="421" t="s">
        <v>7100</v>
      </c>
      <c r="E30" s="421" t="s">
        <v>7041</v>
      </c>
      <c r="F30" s="421" t="s">
        <v>7042</v>
      </c>
      <c r="G30" s="421" t="s">
        <v>7042</v>
      </c>
      <c r="H30" s="421" t="s">
        <v>7042</v>
      </c>
      <c r="I30" s="421" t="s">
        <v>7043</v>
      </c>
      <c r="J30" s="421" t="s">
        <v>7043</v>
      </c>
      <c r="K30" s="421" t="s">
        <v>7043</v>
      </c>
      <c r="L30" s="421" t="s">
        <v>7044</v>
      </c>
      <c r="M30" s="421" t="s">
        <v>7043</v>
      </c>
      <c r="N30" s="421" t="s">
        <v>7044</v>
      </c>
      <c r="O30" s="421" t="s">
        <v>7043</v>
      </c>
      <c r="P30" s="421" t="s">
        <v>76</v>
      </c>
      <c r="Q30" s="421" t="s">
        <v>76</v>
      </c>
      <c r="R30" s="422" t="s">
        <v>76</v>
      </c>
    </row>
    <row r="31" spans="1:18">
      <c r="A31" s="420" t="s">
        <v>7039</v>
      </c>
      <c r="B31" s="421" t="s">
        <v>6358</v>
      </c>
      <c r="C31" s="421" t="s">
        <v>7101</v>
      </c>
      <c r="D31" s="421" t="s">
        <v>7102</v>
      </c>
      <c r="E31" s="421" t="s">
        <v>7041</v>
      </c>
      <c r="F31" s="421" t="s">
        <v>7042</v>
      </c>
      <c r="G31" s="421" t="s">
        <v>7042</v>
      </c>
      <c r="H31" s="421" t="s">
        <v>7042</v>
      </c>
      <c r="I31" s="421" t="s">
        <v>7043</v>
      </c>
      <c r="J31" s="421" t="s">
        <v>7043</v>
      </c>
      <c r="K31" s="421" t="s">
        <v>7043</v>
      </c>
      <c r="L31" s="421" t="s">
        <v>7044</v>
      </c>
      <c r="M31" s="421" t="s">
        <v>7043</v>
      </c>
      <c r="N31" s="421" t="s">
        <v>7044</v>
      </c>
      <c r="O31" s="421" t="s">
        <v>7043</v>
      </c>
      <c r="P31" s="421" t="s">
        <v>76</v>
      </c>
      <c r="Q31" s="421" t="s">
        <v>76</v>
      </c>
      <c r="R31" s="422" t="s">
        <v>76</v>
      </c>
    </row>
    <row r="32" spans="1:18">
      <c r="A32" s="420" t="s">
        <v>7039</v>
      </c>
      <c r="B32" s="421" t="s">
        <v>6358</v>
      </c>
      <c r="C32" s="421" t="s">
        <v>7103</v>
      </c>
      <c r="D32" s="421" t="s">
        <v>7104</v>
      </c>
      <c r="E32" s="421" t="s">
        <v>7041</v>
      </c>
      <c r="F32" s="421" t="s">
        <v>7042</v>
      </c>
      <c r="G32" s="421" t="s">
        <v>7042</v>
      </c>
      <c r="H32" s="421" t="s">
        <v>7042</v>
      </c>
      <c r="I32" s="421" t="s">
        <v>7043</v>
      </c>
      <c r="J32" s="421" t="s">
        <v>7043</v>
      </c>
      <c r="K32" s="421" t="s">
        <v>7043</v>
      </c>
      <c r="L32" s="421" t="s">
        <v>7044</v>
      </c>
      <c r="M32" s="421" t="s">
        <v>7043</v>
      </c>
      <c r="N32" s="421" t="s">
        <v>7044</v>
      </c>
      <c r="O32" s="421" t="s">
        <v>7043</v>
      </c>
      <c r="P32" s="421" t="s">
        <v>76</v>
      </c>
      <c r="Q32" s="421" t="s">
        <v>76</v>
      </c>
      <c r="R32" s="422" t="s">
        <v>76</v>
      </c>
    </row>
    <row r="33" spans="1:18">
      <c r="A33" s="420" t="s">
        <v>7039</v>
      </c>
      <c r="B33" s="421" t="s">
        <v>6358</v>
      </c>
      <c r="C33" s="421" t="s">
        <v>7105</v>
      </c>
      <c r="D33" s="421" t="s">
        <v>7106</v>
      </c>
      <c r="E33" s="421" t="s">
        <v>7041</v>
      </c>
      <c r="F33" s="421" t="s">
        <v>7042</v>
      </c>
      <c r="G33" s="421" t="s">
        <v>7042</v>
      </c>
      <c r="H33" s="421" t="s">
        <v>7042</v>
      </c>
      <c r="I33" s="421" t="s">
        <v>7043</v>
      </c>
      <c r="J33" s="421" t="s">
        <v>7043</v>
      </c>
      <c r="K33" s="421" t="s">
        <v>7043</v>
      </c>
      <c r="L33" s="421" t="s">
        <v>7044</v>
      </c>
      <c r="M33" s="421" t="s">
        <v>7043</v>
      </c>
      <c r="N33" s="421" t="s">
        <v>7044</v>
      </c>
      <c r="O33" s="421" t="s">
        <v>7043</v>
      </c>
      <c r="P33" s="421" t="s">
        <v>76</v>
      </c>
      <c r="Q33" s="421" t="s">
        <v>76</v>
      </c>
      <c r="R33" s="422" t="s">
        <v>76</v>
      </c>
    </row>
    <row r="34" spans="1:18">
      <c r="A34" s="420" t="s">
        <v>7039</v>
      </c>
      <c r="B34" s="421" t="s">
        <v>6358</v>
      </c>
      <c r="C34" s="421" t="s">
        <v>7107</v>
      </c>
      <c r="D34" s="421" t="s">
        <v>7108</v>
      </c>
      <c r="E34" s="421" t="s">
        <v>7041</v>
      </c>
      <c r="F34" s="421" t="s">
        <v>7042</v>
      </c>
      <c r="G34" s="421" t="s">
        <v>7042</v>
      </c>
      <c r="H34" s="421" t="s">
        <v>7042</v>
      </c>
      <c r="I34" s="421" t="s">
        <v>7043</v>
      </c>
      <c r="J34" s="421" t="s">
        <v>7043</v>
      </c>
      <c r="K34" s="421" t="s">
        <v>7043</v>
      </c>
      <c r="L34" s="421" t="s">
        <v>7044</v>
      </c>
      <c r="M34" s="421" t="s">
        <v>7043</v>
      </c>
      <c r="N34" s="421" t="s">
        <v>7044</v>
      </c>
      <c r="O34" s="421" t="s">
        <v>7043</v>
      </c>
      <c r="P34" s="421" t="s">
        <v>76</v>
      </c>
      <c r="Q34" s="421" t="s">
        <v>76</v>
      </c>
      <c r="R34" s="422" t="s">
        <v>76</v>
      </c>
    </row>
    <row r="35" spans="1:18">
      <c r="A35" s="420" t="s">
        <v>7039</v>
      </c>
      <c r="B35" s="421" t="s">
        <v>6358</v>
      </c>
      <c r="C35" s="421" t="s">
        <v>7109</v>
      </c>
      <c r="D35" s="421" t="s">
        <v>7110</v>
      </c>
      <c r="E35" s="421" t="s">
        <v>7041</v>
      </c>
      <c r="F35" s="421" t="s">
        <v>7042</v>
      </c>
      <c r="G35" s="421" t="s">
        <v>7042</v>
      </c>
      <c r="H35" s="421" t="s">
        <v>7042</v>
      </c>
      <c r="I35" s="421" t="s">
        <v>7043</v>
      </c>
      <c r="J35" s="421" t="s">
        <v>7043</v>
      </c>
      <c r="K35" s="421" t="s">
        <v>7043</v>
      </c>
      <c r="L35" s="421" t="s">
        <v>7044</v>
      </c>
      <c r="M35" s="421" t="s">
        <v>7043</v>
      </c>
      <c r="N35" s="421" t="s">
        <v>7044</v>
      </c>
      <c r="O35" s="421" t="s">
        <v>7043</v>
      </c>
      <c r="P35" s="421" t="s">
        <v>76</v>
      </c>
      <c r="Q35" s="421" t="s">
        <v>76</v>
      </c>
      <c r="R35" s="422" t="s">
        <v>76</v>
      </c>
    </row>
    <row r="36" spans="1:18">
      <c r="A36" s="420" t="s">
        <v>7039</v>
      </c>
      <c r="B36" s="421" t="s">
        <v>6358</v>
      </c>
      <c r="C36" s="421" t="s">
        <v>7111</v>
      </c>
      <c r="D36" s="421" t="s">
        <v>7112</v>
      </c>
      <c r="E36" s="421" t="s">
        <v>7041</v>
      </c>
      <c r="F36" s="421" t="s">
        <v>7042</v>
      </c>
      <c r="G36" s="421" t="s">
        <v>7042</v>
      </c>
      <c r="H36" s="421" t="s">
        <v>7042</v>
      </c>
      <c r="I36" s="421" t="s">
        <v>7043</v>
      </c>
      <c r="J36" s="421" t="s">
        <v>7043</v>
      </c>
      <c r="K36" s="421" t="s">
        <v>7043</v>
      </c>
      <c r="L36" s="421" t="s">
        <v>7044</v>
      </c>
      <c r="M36" s="421" t="s">
        <v>7043</v>
      </c>
      <c r="N36" s="421" t="s">
        <v>7044</v>
      </c>
      <c r="O36" s="421" t="s">
        <v>7043</v>
      </c>
      <c r="P36" s="421" t="s">
        <v>76</v>
      </c>
      <c r="Q36" s="421" t="s">
        <v>76</v>
      </c>
      <c r="R36" s="422" t="s">
        <v>76</v>
      </c>
    </row>
    <row r="37" spans="1:18">
      <c r="A37" s="420" t="s">
        <v>7039</v>
      </c>
      <c r="B37" s="421" t="s">
        <v>6358</v>
      </c>
      <c r="C37" s="421" t="s">
        <v>7113</v>
      </c>
      <c r="D37" s="421" t="s">
        <v>7114</v>
      </c>
      <c r="E37" s="421" t="s">
        <v>7041</v>
      </c>
      <c r="F37" s="421" t="s">
        <v>7042</v>
      </c>
      <c r="G37" s="421" t="s">
        <v>7042</v>
      </c>
      <c r="H37" s="421" t="s">
        <v>7042</v>
      </c>
      <c r="I37" s="421" t="s">
        <v>7043</v>
      </c>
      <c r="J37" s="421" t="s">
        <v>7043</v>
      </c>
      <c r="K37" s="421" t="s">
        <v>7043</v>
      </c>
      <c r="L37" s="421" t="s">
        <v>7044</v>
      </c>
      <c r="M37" s="421" t="s">
        <v>7043</v>
      </c>
      <c r="N37" s="421" t="s">
        <v>7044</v>
      </c>
      <c r="O37" s="421" t="s">
        <v>7043</v>
      </c>
      <c r="P37" s="421" t="s">
        <v>76</v>
      </c>
      <c r="Q37" s="421" t="s">
        <v>76</v>
      </c>
      <c r="R37" s="422" t="s">
        <v>76</v>
      </c>
    </row>
    <row r="38" spans="1:18">
      <c r="A38" s="420" t="s">
        <v>7039</v>
      </c>
      <c r="B38" s="421" t="s">
        <v>6358</v>
      </c>
      <c r="C38" s="421" t="s">
        <v>7115</v>
      </c>
      <c r="D38" s="421" t="s">
        <v>7116</v>
      </c>
      <c r="E38" s="421" t="s">
        <v>7041</v>
      </c>
      <c r="F38" s="421" t="s">
        <v>7042</v>
      </c>
      <c r="G38" s="421" t="s">
        <v>7042</v>
      </c>
      <c r="H38" s="421" t="s">
        <v>7042</v>
      </c>
      <c r="I38" s="421" t="s">
        <v>7043</v>
      </c>
      <c r="J38" s="421" t="s">
        <v>7043</v>
      </c>
      <c r="K38" s="421" t="s">
        <v>7043</v>
      </c>
      <c r="L38" s="421" t="s">
        <v>7044</v>
      </c>
      <c r="M38" s="421" t="s">
        <v>7043</v>
      </c>
      <c r="N38" s="421" t="s">
        <v>7044</v>
      </c>
      <c r="O38" s="421" t="s">
        <v>7043</v>
      </c>
      <c r="P38" s="421" t="s">
        <v>76</v>
      </c>
      <c r="Q38" s="421" t="s">
        <v>76</v>
      </c>
      <c r="R38" s="422" t="s">
        <v>76</v>
      </c>
    </row>
    <row r="39" spans="1:18">
      <c r="A39" s="420" t="s">
        <v>7039</v>
      </c>
      <c r="B39" s="421" t="s">
        <v>6358</v>
      </c>
      <c r="C39" s="421" t="s">
        <v>7117</v>
      </c>
      <c r="D39" s="421" t="s">
        <v>7118</v>
      </c>
      <c r="E39" s="421" t="s">
        <v>7041</v>
      </c>
      <c r="F39" s="421" t="s">
        <v>7042</v>
      </c>
      <c r="G39" s="421" t="s">
        <v>7042</v>
      </c>
      <c r="H39" s="421" t="s">
        <v>7042</v>
      </c>
      <c r="I39" s="421" t="s">
        <v>7043</v>
      </c>
      <c r="J39" s="421" t="s">
        <v>7043</v>
      </c>
      <c r="K39" s="421" t="s">
        <v>7043</v>
      </c>
      <c r="L39" s="421" t="s">
        <v>7044</v>
      </c>
      <c r="M39" s="421" t="s">
        <v>7043</v>
      </c>
      <c r="N39" s="421" t="s">
        <v>7044</v>
      </c>
      <c r="O39" s="421" t="s">
        <v>7043</v>
      </c>
      <c r="P39" s="421" t="s">
        <v>76</v>
      </c>
      <c r="Q39" s="421" t="s">
        <v>76</v>
      </c>
      <c r="R39" s="422" t="s">
        <v>76</v>
      </c>
    </row>
    <row r="40" spans="1:18">
      <c r="A40" s="420" t="s">
        <v>7039</v>
      </c>
      <c r="B40" s="421" t="s">
        <v>6358</v>
      </c>
      <c r="C40" s="421" t="s">
        <v>7119</v>
      </c>
      <c r="D40" s="421" t="s">
        <v>7120</v>
      </c>
      <c r="E40" s="421" t="s">
        <v>7041</v>
      </c>
      <c r="F40" s="421" t="s">
        <v>7042</v>
      </c>
      <c r="G40" s="421" t="s">
        <v>7042</v>
      </c>
      <c r="H40" s="421" t="s">
        <v>7042</v>
      </c>
      <c r="I40" s="421" t="s">
        <v>7043</v>
      </c>
      <c r="J40" s="421" t="s">
        <v>7043</v>
      </c>
      <c r="K40" s="421" t="s">
        <v>7043</v>
      </c>
      <c r="L40" s="421" t="s">
        <v>7044</v>
      </c>
      <c r="M40" s="421" t="s">
        <v>7043</v>
      </c>
      <c r="N40" s="421" t="s">
        <v>7044</v>
      </c>
      <c r="O40" s="421" t="s">
        <v>7043</v>
      </c>
      <c r="P40" s="421" t="s">
        <v>76</v>
      </c>
      <c r="Q40" s="421" t="s">
        <v>76</v>
      </c>
      <c r="R40" s="422" t="s">
        <v>76</v>
      </c>
    </row>
    <row r="41" spans="1:18">
      <c r="A41" s="420" t="s">
        <v>7039</v>
      </c>
      <c r="B41" s="421" t="s">
        <v>6358</v>
      </c>
      <c r="C41" s="421" t="s">
        <v>7121</v>
      </c>
      <c r="D41" s="421" t="s">
        <v>7122</v>
      </c>
      <c r="E41" s="421" t="s">
        <v>7041</v>
      </c>
      <c r="F41" s="421" t="s">
        <v>7042</v>
      </c>
      <c r="G41" s="421" t="s">
        <v>7042</v>
      </c>
      <c r="H41" s="421" t="s">
        <v>7042</v>
      </c>
      <c r="I41" s="421" t="s">
        <v>7043</v>
      </c>
      <c r="J41" s="421" t="s">
        <v>7043</v>
      </c>
      <c r="K41" s="421" t="s">
        <v>7043</v>
      </c>
      <c r="L41" s="421" t="s">
        <v>7044</v>
      </c>
      <c r="M41" s="421" t="s">
        <v>7043</v>
      </c>
      <c r="N41" s="421" t="s">
        <v>7044</v>
      </c>
      <c r="O41" s="421" t="s">
        <v>7043</v>
      </c>
      <c r="P41" s="421" t="s">
        <v>76</v>
      </c>
      <c r="Q41" s="421" t="s">
        <v>76</v>
      </c>
      <c r="R41" s="422" t="s">
        <v>76</v>
      </c>
    </row>
    <row r="42" spans="1:18">
      <c r="A42" s="420" t="s">
        <v>7039</v>
      </c>
      <c r="B42" s="421" t="s">
        <v>6358</v>
      </c>
      <c r="C42" s="421" t="s">
        <v>7123</v>
      </c>
      <c r="D42" s="421" t="s">
        <v>7124</v>
      </c>
      <c r="E42" s="421" t="s">
        <v>7041</v>
      </c>
      <c r="F42" s="421" t="s">
        <v>7042</v>
      </c>
      <c r="G42" s="421" t="s">
        <v>7042</v>
      </c>
      <c r="H42" s="421" t="s">
        <v>7042</v>
      </c>
      <c r="I42" s="421" t="s">
        <v>7043</v>
      </c>
      <c r="J42" s="421" t="s">
        <v>7043</v>
      </c>
      <c r="K42" s="421" t="s">
        <v>7043</v>
      </c>
      <c r="L42" s="421" t="s">
        <v>7044</v>
      </c>
      <c r="M42" s="421" t="s">
        <v>7043</v>
      </c>
      <c r="N42" s="421" t="s">
        <v>7044</v>
      </c>
      <c r="O42" s="421" t="s">
        <v>7043</v>
      </c>
      <c r="P42" s="421" t="s">
        <v>76</v>
      </c>
      <c r="Q42" s="421" t="s">
        <v>76</v>
      </c>
      <c r="R42" s="422" t="s">
        <v>76</v>
      </c>
    </row>
    <row r="43" spans="1:18">
      <c r="A43" s="420" t="s">
        <v>7039</v>
      </c>
      <c r="B43" s="421" t="s">
        <v>6358</v>
      </c>
      <c r="C43" s="421" t="s">
        <v>7125</v>
      </c>
      <c r="D43" s="421" t="s">
        <v>7126</v>
      </c>
      <c r="E43" s="421" t="s">
        <v>7041</v>
      </c>
      <c r="F43" s="421" t="s">
        <v>7042</v>
      </c>
      <c r="G43" s="421" t="s">
        <v>7042</v>
      </c>
      <c r="H43" s="421" t="s">
        <v>7042</v>
      </c>
      <c r="I43" s="421" t="s">
        <v>7043</v>
      </c>
      <c r="J43" s="421" t="s">
        <v>7043</v>
      </c>
      <c r="K43" s="421" t="s">
        <v>7043</v>
      </c>
      <c r="L43" s="421" t="s">
        <v>7044</v>
      </c>
      <c r="M43" s="421" t="s">
        <v>7043</v>
      </c>
      <c r="N43" s="421" t="s">
        <v>7044</v>
      </c>
      <c r="O43" s="421" t="s">
        <v>7043</v>
      </c>
      <c r="P43" s="421" t="s">
        <v>76</v>
      </c>
      <c r="Q43" s="421" t="s">
        <v>76</v>
      </c>
      <c r="R43" s="422" t="s">
        <v>76</v>
      </c>
    </row>
    <row r="44" spans="1:18">
      <c r="A44" s="420" t="s">
        <v>7039</v>
      </c>
      <c r="B44" s="421" t="s">
        <v>6358</v>
      </c>
      <c r="C44" s="421" t="s">
        <v>7127</v>
      </c>
      <c r="D44" s="421" t="s">
        <v>7128</v>
      </c>
      <c r="E44" s="421" t="s">
        <v>7042</v>
      </c>
      <c r="F44" s="421" t="s">
        <v>7042</v>
      </c>
      <c r="G44" s="421" t="s">
        <v>7042</v>
      </c>
      <c r="H44" s="421" t="s">
        <v>7042</v>
      </c>
      <c r="I44" s="421" t="s">
        <v>7043</v>
      </c>
      <c r="J44" s="421" t="s">
        <v>7043</v>
      </c>
      <c r="K44" s="421" t="s">
        <v>7043</v>
      </c>
      <c r="L44" s="421" t="s">
        <v>7043</v>
      </c>
      <c r="M44" s="421" t="s">
        <v>7043</v>
      </c>
      <c r="N44" s="421" t="s">
        <v>7043</v>
      </c>
      <c r="O44" s="421" t="s">
        <v>7043</v>
      </c>
      <c r="P44" s="421" t="s">
        <v>76</v>
      </c>
      <c r="Q44" s="421" t="s">
        <v>7042</v>
      </c>
      <c r="R44" s="422" t="s">
        <v>7042</v>
      </c>
    </row>
    <row r="45" spans="1:18">
      <c r="A45" s="420" t="s">
        <v>7039</v>
      </c>
      <c r="B45" s="421" t="s">
        <v>6358</v>
      </c>
      <c r="C45" s="421" t="s">
        <v>7129</v>
      </c>
      <c r="D45" s="421" t="s">
        <v>7130</v>
      </c>
      <c r="E45" s="421" t="s">
        <v>7042</v>
      </c>
      <c r="F45" s="421" t="s">
        <v>7042</v>
      </c>
      <c r="G45" s="421" t="s">
        <v>7042</v>
      </c>
      <c r="H45" s="421" t="s">
        <v>7042</v>
      </c>
      <c r="I45" s="421" t="s">
        <v>7043</v>
      </c>
      <c r="J45" s="421" t="s">
        <v>7043</v>
      </c>
      <c r="K45" s="421" t="s">
        <v>7043</v>
      </c>
      <c r="L45" s="421" t="s">
        <v>7043</v>
      </c>
      <c r="M45" s="421" t="s">
        <v>7043</v>
      </c>
      <c r="N45" s="421" t="s">
        <v>7043</v>
      </c>
      <c r="O45" s="421" t="s">
        <v>7043</v>
      </c>
      <c r="P45" s="421" t="s">
        <v>76</v>
      </c>
      <c r="Q45" s="421" t="s">
        <v>7042</v>
      </c>
      <c r="R45" s="422" t="s">
        <v>7042</v>
      </c>
    </row>
    <row r="46" spans="1:18">
      <c r="A46" s="420" t="s">
        <v>7039</v>
      </c>
      <c r="B46" s="421" t="s">
        <v>6358</v>
      </c>
      <c r="C46" s="421" t="s">
        <v>7131</v>
      </c>
      <c r="D46" s="421" t="s">
        <v>7132</v>
      </c>
      <c r="E46" s="421" t="s">
        <v>7042</v>
      </c>
      <c r="F46" s="421" t="s">
        <v>7042</v>
      </c>
      <c r="G46" s="421" t="s">
        <v>7042</v>
      </c>
      <c r="H46" s="421" t="s">
        <v>7042</v>
      </c>
      <c r="I46" s="421" t="s">
        <v>7043</v>
      </c>
      <c r="J46" s="421" t="s">
        <v>7043</v>
      </c>
      <c r="K46" s="421" t="s">
        <v>7043</v>
      </c>
      <c r="L46" s="421" t="s">
        <v>7043</v>
      </c>
      <c r="M46" s="421" t="s">
        <v>7043</v>
      </c>
      <c r="N46" s="421" t="s">
        <v>7043</v>
      </c>
      <c r="O46" s="421" t="s">
        <v>7043</v>
      </c>
      <c r="P46" s="421" t="s">
        <v>76</v>
      </c>
      <c r="Q46" s="421" t="s">
        <v>7042</v>
      </c>
      <c r="R46" s="422" t="s">
        <v>7042</v>
      </c>
    </row>
    <row r="47" spans="1:18">
      <c r="A47" s="420" t="s">
        <v>7039</v>
      </c>
      <c r="B47" s="421" t="s">
        <v>6358</v>
      </c>
      <c r="C47" s="421" t="s">
        <v>7133</v>
      </c>
      <c r="D47" s="421" t="s">
        <v>7134</v>
      </c>
      <c r="E47" s="421" t="s">
        <v>7042</v>
      </c>
      <c r="F47" s="421" t="s">
        <v>7042</v>
      </c>
      <c r="G47" s="421" t="s">
        <v>7042</v>
      </c>
      <c r="H47" s="421" t="s">
        <v>7042</v>
      </c>
      <c r="I47" s="421" t="s">
        <v>7043</v>
      </c>
      <c r="J47" s="421" t="s">
        <v>7043</v>
      </c>
      <c r="K47" s="421" t="s">
        <v>7043</v>
      </c>
      <c r="L47" s="421" t="s">
        <v>7043</v>
      </c>
      <c r="M47" s="421" t="s">
        <v>7043</v>
      </c>
      <c r="N47" s="421" t="s">
        <v>7043</v>
      </c>
      <c r="O47" s="421" t="s">
        <v>7043</v>
      </c>
      <c r="P47" s="421" t="s">
        <v>7043</v>
      </c>
      <c r="Q47" s="421" t="s">
        <v>7042</v>
      </c>
      <c r="R47" s="422" t="s">
        <v>7042</v>
      </c>
    </row>
    <row r="48" spans="1:18">
      <c r="A48" s="420" t="s">
        <v>7039</v>
      </c>
      <c r="B48" s="421" t="s">
        <v>6358</v>
      </c>
      <c r="C48" s="421" t="s">
        <v>7135</v>
      </c>
      <c r="D48" s="421" t="s">
        <v>7136</v>
      </c>
      <c r="E48" s="421" t="s">
        <v>7042</v>
      </c>
      <c r="F48" s="421" t="s">
        <v>7042</v>
      </c>
      <c r="G48" s="421" t="s">
        <v>7042</v>
      </c>
      <c r="H48" s="421" t="s">
        <v>7042</v>
      </c>
      <c r="I48" s="421" t="s">
        <v>7043</v>
      </c>
      <c r="J48" s="421" t="s">
        <v>7043</v>
      </c>
      <c r="K48" s="421" t="s">
        <v>7043</v>
      </c>
      <c r="L48" s="421" t="s">
        <v>7043</v>
      </c>
      <c r="M48" s="421" t="s">
        <v>7043</v>
      </c>
      <c r="N48" s="421" t="s">
        <v>7043</v>
      </c>
      <c r="O48" s="421" t="s">
        <v>7043</v>
      </c>
      <c r="P48" s="421" t="s">
        <v>7043</v>
      </c>
      <c r="Q48" s="421" t="s">
        <v>7042</v>
      </c>
      <c r="R48" s="422" t="s">
        <v>7042</v>
      </c>
    </row>
    <row r="49" spans="1:18">
      <c r="A49" s="420" t="s">
        <v>7039</v>
      </c>
      <c r="B49" s="421" t="s">
        <v>6358</v>
      </c>
      <c r="C49" s="421" t="s">
        <v>7137</v>
      </c>
      <c r="D49" s="421" t="s">
        <v>7138</v>
      </c>
      <c r="E49" s="421" t="s">
        <v>7041</v>
      </c>
      <c r="F49" s="421" t="s">
        <v>7042</v>
      </c>
      <c r="G49" s="421" t="s">
        <v>7042</v>
      </c>
      <c r="H49" s="421" t="s">
        <v>7042</v>
      </c>
      <c r="I49" s="421" t="s">
        <v>7043</v>
      </c>
      <c r="J49" s="421" t="s">
        <v>7043</v>
      </c>
      <c r="K49" s="421" t="s">
        <v>7043</v>
      </c>
      <c r="L49" s="421" t="s">
        <v>7044</v>
      </c>
      <c r="M49" s="421" t="s">
        <v>7043</v>
      </c>
      <c r="N49" s="421" t="s">
        <v>7044</v>
      </c>
      <c r="O49" s="421" t="s">
        <v>7043</v>
      </c>
      <c r="P49" s="421" t="s">
        <v>76</v>
      </c>
      <c r="Q49" s="421" t="s">
        <v>76</v>
      </c>
      <c r="R49" s="422" t="s">
        <v>76</v>
      </c>
    </row>
    <row r="50" spans="1:18">
      <c r="A50" s="420" t="s">
        <v>7039</v>
      </c>
      <c r="B50" s="421" t="s">
        <v>6358</v>
      </c>
      <c r="C50" s="421" t="s">
        <v>7139</v>
      </c>
      <c r="D50" s="421" t="s">
        <v>7140</v>
      </c>
      <c r="E50" s="421" t="s">
        <v>7041</v>
      </c>
      <c r="F50" s="421" t="s">
        <v>7042</v>
      </c>
      <c r="G50" s="421" t="s">
        <v>7042</v>
      </c>
      <c r="H50" s="421" t="s">
        <v>7042</v>
      </c>
      <c r="I50" s="421" t="s">
        <v>7043</v>
      </c>
      <c r="J50" s="421" t="s">
        <v>7043</v>
      </c>
      <c r="K50" s="421" t="s">
        <v>7043</v>
      </c>
      <c r="L50" s="421" t="s">
        <v>7044</v>
      </c>
      <c r="M50" s="421" t="s">
        <v>7043</v>
      </c>
      <c r="N50" s="421" t="s">
        <v>7044</v>
      </c>
      <c r="O50" s="421" t="s">
        <v>7043</v>
      </c>
      <c r="P50" s="421" t="s">
        <v>76</v>
      </c>
      <c r="Q50" s="421" t="s">
        <v>76</v>
      </c>
      <c r="R50" s="422" t="s">
        <v>76</v>
      </c>
    </row>
    <row r="51" spans="1:18">
      <c r="A51" s="420" t="s">
        <v>7039</v>
      </c>
      <c r="B51" s="421" t="s">
        <v>6358</v>
      </c>
      <c r="C51" s="421" t="s">
        <v>7141</v>
      </c>
      <c r="D51" s="421" t="s">
        <v>7142</v>
      </c>
      <c r="E51" s="421" t="s">
        <v>7041</v>
      </c>
      <c r="F51" s="421" t="s">
        <v>7042</v>
      </c>
      <c r="G51" s="421" t="s">
        <v>7042</v>
      </c>
      <c r="H51" s="421" t="s">
        <v>7042</v>
      </c>
      <c r="I51" s="421" t="s">
        <v>7043</v>
      </c>
      <c r="J51" s="421" t="s">
        <v>7043</v>
      </c>
      <c r="K51" s="421" t="s">
        <v>7043</v>
      </c>
      <c r="L51" s="421" t="s">
        <v>7044</v>
      </c>
      <c r="M51" s="421" t="s">
        <v>7043</v>
      </c>
      <c r="N51" s="421" t="s">
        <v>7044</v>
      </c>
      <c r="O51" s="421" t="s">
        <v>7043</v>
      </c>
      <c r="P51" s="421" t="s">
        <v>76</v>
      </c>
      <c r="Q51" s="421" t="s">
        <v>76</v>
      </c>
      <c r="R51" s="422" t="s">
        <v>76</v>
      </c>
    </row>
    <row r="52" spans="1:18">
      <c r="A52" s="420" t="s">
        <v>7039</v>
      </c>
      <c r="B52" s="421" t="s">
        <v>6358</v>
      </c>
      <c r="C52" s="421"/>
      <c r="D52" s="421" t="s">
        <v>7143</v>
      </c>
      <c r="E52" s="421" t="s">
        <v>7041</v>
      </c>
      <c r="F52" s="421" t="s">
        <v>7042</v>
      </c>
      <c r="G52" s="421" t="s">
        <v>7042</v>
      </c>
      <c r="H52" s="421" t="s">
        <v>7042</v>
      </c>
      <c r="I52" s="421" t="s">
        <v>7043</v>
      </c>
      <c r="J52" s="421" t="s">
        <v>7043</v>
      </c>
      <c r="K52" s="421" t="s">
        <v>7043</v>
      </c>
      <c r="L52" s="421" t="s">
        <v>7044</v>
      </c>
      <c r="M52" s="421" t="s">
        <v>7043</v>
      </c>
      <c r="N52" s="421" t="s">
        <v>7044</v>
      </c>
      <c r="O52" s="421" t="s">
        <v>7043</v>
      </c>
      <c r="P52" s="421" t="s">
        <v>76</v>
      </c>
      <c r="Q52" s="421" t="s">
        <v>76</v>
      </c>
      <c r="R52" s="422" t="s">
        <v>76</v>
      </c>
    </row>
    <row r="53" spans="1:18">
      <c r="A53" s="420" t="s">
        <v>7039</v>
      </c>
      <c r="B53" s="421" t="s">
        <v>6358</v>
      </c>
      <c r="C53" s="421" t="s">
        <v>7144</v>
      </c>
      <c r="D53" s="421" t="s">
        <v>7145</v>
      </c>
      <c r="E53" s="421" t="s">
        <v>7041</v>
      </c>
      <c r="F53" s="421" t="s">
        <v>7042</v>
      </c>
      <c r="G53" s="421" t="s">
        <v>7042</v>
      </c>
      <c r="H53" s="421" t="s">
        <v>7042</v>
      </c>
      <c r="I53" s="421" t="s">
        <v>7043</v>
      </c>
      <c r="J53" s="421" t="s">
        <v>7043</v>
      </c>
      <c r="K53" s="421" t="s">
        <v>7043</v>
      </c>
      <c r="L53" s="421" t="s">
        <v>7044</v>
      </c>
      <c r="M53" s="421" t="s">
        <v>7043</v>
      </c>
      <c r="N53" s="421" t="s">
        <v>7044</v>
      </c>
      <c r="O53" s="421" t="s">
        <v>7043</v>
      </c>
      <c r="P53" s="421" t="s">
        <v>76</v>
      </c>
      <c r="Q53" s="421" t="s">
        <v>76</v>
      </c>
      <c r="R53" s="422" t="s">
        <v>76</v>
      </c>
    </row>
    <row r="54" spans="1:18">
      <c r="A54" s="420" t="s">
        <v>7039</v>
      </c>
      <c r="B54" s="421" t="s">
        <v>6358</v>
      </c>
      <c r="C54" s="421" t="s">
        <v>7146</v>
      </c>
      <c r="D54" s="421" t="s">
        <v>7147</v>
      </c>
      <c r="E54" s="421" t="s">
        <v>7041</v>
      </c>
      <c r="F54" s="421" t="s">
        <v>7042</v>
      </c>
      <c r="G54" s="421" t="s">
        <v>7042</v>
      </c>
      <c r="H54" s="421" t="s">
        <v>7042</v>
      </c>
      <c r="I54" s="421" t="s">
        <v>7043</v>
      </c>
      <c r="J54" s="421" t="s">
        <v>7043</v>
      </c>
      <c r="K54" s="421" t="s">
        <v>7043</v>
      </c>
      <c r="L54" s="421" t="s">
        <v>7044</v>
      </c>
      <c r="M54" s="421" t="s">
        <v>7043</v>
      </c>
      <c r="N54" s="421" t="s">
        <v>7044</v>
      </c>
      <c r="O54" s="421" t="s">
        <v>7043</v>
      </c>
      <c r="P54" s="421" t="s">
        <v>76</v>
      </c>
      <c r="Q54" s="421" t="s">
        <v>76</v>
      </c>
      <c r="R54" s="422" t="s">
        <v>76</v>
      </c>
    </row>
    <row r="55" spans="1:18">
      <c r="A55" s="420" t="s">
        <v>7039</v>
      </c>
      <c r="B55" s="421" t="s">
        <v>6358</v>
      </c>
      <c r="C55" s="421" t="s">
        <v>7148</v>
      </c>
      <c r="D55" s="421" t="s">
        <v>7149</v>
      </c>
      <c r="E55" s="421" t="s">
        <v>7041</v>
      </c>
      <c r="F55" s="421" t="s">
        <v>7042</v>
      </c>
      <c r="G55" s="421" t="s">
        <v>7042</v>
      </c>
      <c r="H55" s="421" t="s">
        <v>7042</v>
      </c>
      <c r="I55" s="421" t="s">
        <v>7043</v>
      </c>
      <c r="J55" s="421" t="s">
        <v>7043</v>
      </c>
      <c r="K55" s="421" t="s">
        <v>7043</v>
      </c>
      <c r="L55" s="421" t="s">
        <v>7044</v>
      </c>
      <c r="M55" s="421" t="s">
        <v>7043</v>
      </c>
      <c r="N55" s="421" t="s">
        <v>7044</v>
      </c>
      <c r="O55" s="421" t="s">
        <v>7043</v>
      </c>
      <c r="P55" s="421" t="s">
        <v>76</v>
      </c>
      <c r="Q55" s="421" t="s">
        <v>76</v>
      </c>
      <c r="R55" s="422" t="s">
        <v>76</v>
      </c>
    </row>
    <row r="56" spans="1:18">
      <c r="A56" s="420" t="s">
        <v>7039</v>
      </c>
      <c r="B56" s="421" t="s">
        <v>6358</v>
      </c>
      <c r="C56" s="421" t="s">
        <v>7150</v>
      </c>
      <c r="D56" s="421" t="s">
        <v>7151</v>
      </c>
      <c r="E56" s="421" t="s">
        <v>7041</v>
      </c>
      <c r="F56" s="421" t="s">
        <v>7042</v>
      </c>
      <c r="G56" s="421" t="s">
        <v>7042</v>
      </c>
      <c r="H56" s="421" t="s">
        <v>7042</v>
      </c>
      <c r="I56" s="421" t="s">
        <v>7043</v>
      </c>
      <c r="J56" s="421" t="s">
        <v>7043</v>
      </c>
      <c r="K56" s="421" t="s">
        <v>7043</v>
      </c>
      <c r="L56" s="421" t="s">
        <v>7044</v>
      </c>
      <c r="M56" s="421" t="s">
        <v>7043</v>
      </c>
      <c r="N56" s="421" t="s">
        <v>7044</v>
      </c>
      <c r="O56" s="421" t="s">
        <v>7043</v>
      </c>
      <c r="P56" s="421" t="s">
        <v>76</v>
      </c>
      <c r="Q56" s="421" t="s">
        <v>76</v>
      </c>
      <c r="R56" s="422" t="s">
        <v>76</v>
      </c>
    </row>
    <row r="57" spans="1:18">
      <c r="A57" s="420" t="s">
        <v>7039</v>
      </c>
      <c r="B57" s="421" t="s">
        <v>6358</v>
      </c>
      <c r="C57" s="421" t="s">
        <v>7152</v>
      </c>
      <c r="D57" s="421" t="s">
        <v>7153</v>
      </c>
      <c r="E57" s="421" t="s">
        <v>7041</v>
      </c>
      <c r="F57" s="421" t="s">
        <v>7042</v>
      </c>
      <c r="G57" s="421" t="s">
        <v>7042</v>
      </c>
      <c r="H57" s="421" t="s">
        <v>7042</v>
      </c>
      <c r="I57" s="421" t="s">
        <v>7043</v>
      </c>
      <c r="J57" s="421" t="s">
        <v>7043</v>
      </c>
      <c r="K57" s="421" t="s">
        <v>7043</v>
      </c>
      <c r="L57" s="421" t="s">
        <v>7044</v>
      </c>
      <c r="M57" s="421" t="s">
        <v>7043</v>
      </c>
      <c r="N57" s="421" t="s">
        <v>7044</v>
      </c>
      <c r="O57" s="421" t="s">
        <v>7043</v>
      </c>
      <c r="P57" s="421" t="s">
        <v>76</v>
      </c>
      <c r="Q57" s="421" t="s">
        <v>76</v>
      </c>
      <c r="R57" s="422" t="s">
        <v>76</v>
      </c>
    </row>
    <row r="58" spans="1:18">
      <c r="A58" s="420" t="s">
        <v>7039</v>
      </c>
      <c r="B58" s="421" t="s">
        <v>6358</v>
      </c>
      <c r="C58" s="421" t="s">
        <v>7154</v>
      </c>
      <c r="D58" s="421" t="s">
        <v>7155</v>
      </c>
      <c r="E58" s="421" t="s">
        <v>7041</v>
      </c>
      <c r="F58" s="421" t="s">
        <v>7042</v>
      </c>
      <c r="G58" s="421" t="s">
        <v>7042</v>
      </c>
      <c r="H58" s="421" t="s">
        <v>7042</v>
      </c>
      <c r="I58" s="421" t="s">
        <v>7043</v>
      </c>
      <c r="J58" s="421" t="s">
        <v>7043</v>
      </c>
      <c r="K58" s="421" t="s">
        <v>7043</v>
      </c>
      <c r="L58" s="421" t="s">
        <v>7044</v>
      </c>
      <c r="M58" s="421" t="s">
        <v>7043</v>
      </c>
      <c r="N58" s="421" t="s">
        <v>7044</v>
      </c>
      <c r="O58" s="421" t="s">
        <v>7043</v>
      </c>
      <c r="P58" s="421" t="s">
        <v>76</v>
      </c>
      <c r="Q58" s="421" t="s">
        <v>76</v>
      </c>
      <c r="R58" s="422" t="s">
        <v>76</v>
      </c>
    </row>
    <row r="59" spans="1:18">
      <c r="A59" s="420" t="s">
        <v>7039</v>
      </c>
      <c r="B59" s="421" t="s">
        <v>6358</v>
      </c>
      <c r="C59" s="421" t="s">
        <v>7156</v>
      </c>
      <c r="D59" s="421" t="s">
        <v>7157</v>
      </c>
      <c r="E59" s="421" t="s">
        <v>7041</v>
      </c>
      <c r="F59" s="421" t="s">
        <v>7042</v>
      </c>
      <c r="G59" s="421" t="s">
        <v>7042</v>
      </c>
      <c r="H59" s="421" t="s">
        <v>7042</v>
      </c>
      <c r="I59" s="421" t="s">
        <v>7043</v>
      </c>
      <c r="J59" s="421" t="s">
        <v>7043</v>
      </c>
      <c r="K59" s="421" t="s">
        <v>7043</v>
      </c>
      <c r="L59" s="421" t="s">
        <v>7044</v>
      </c>
      <c r="M59" s="421" t="s">
        <v>7043</v>
      </c>
      <c r="N59" s="421" t="s">
        <v>7044</v>
      </c>
      <c r="O59" s="421" t="s">
        <v>7043</v>
      </c>
      <c r="P59" s="421" t="s">
        <v>76</v>
      </c>
      <c r="Q59" s="421" t="s">
        <v>76</v>
      </c>
      <c r="R59" s="422" t="s">
        <v>76</v>
      </c>
    </row>
    <row r="60" spans="1:18">
      <c r="A60" s="420" t="s">
        <v>7039</v>
      </c>
      <c r="B60" s="421" t="s">
        <v>6358</v>
      </c>
      <c r="C60" s="421" t="s">
        <v>7158</v>
      </c>
      <c r="D60" s="421" t="s">
        <v>7159</v>
      </c>
      <c r="E60" s="421" t="s">
        <v>7041</v>
      </c>
      <c r="F60" s="421" t="s">
        <v>7042</v>
      </c>
      <c r="G60" s="421" t="s">
        <v>7042</v>
      </c>
      <c r="H60" s="421" t="s">
        <v>7042</v>
      </c>
      <c r="I60" s="421" t="s">
        <v>7043</v>
      </c>
      <c r="J60" s="421" t="s">
        <v>7043</v>
      </c>
      <c r="K60" s="421" t="s">
        <v>7043</v>
      </c>
      <c r="L60" s="421" t="s">
        <v>7044</v>
      </c>
      <c r="M60" s="421" t="s">
        <v>7043</v>
      </c>
      <c r="N60" s="421" t="s">
        <v>7044</v>
      </c>
      <c r="O60" s="421" t="s">
        <v>7043</v>
      </c>
      <c r="P60" s="421" t="s">
        <v>76</v>
      </c>
      <c r="Q60" s="421" t="s">
        <v>76</v>
      </c>
      <c r="R60" s="422" t="s">
        <v>76</v>
      </c>
    </row>
    <row r="61" spans="1:18">
      <c r="A61" s="420" t="s">
        <v>7039</v>
      </c>
      <c r="B61" s="421" t="s">
        <v>6358</v>
      </c>
      <c r="C61" s="421" t="s">
        <v>7160</v>
      </c>
      <c r="D61" s="421" t="s">
        <v>7161</v>
      </c>
      <c r="E61" s="421" t="s">
        <v>7041</v>
      </c>
      <c r="F61" s="421" t="s">
        <v>7042</v>
      </c>
      <c r="G61" s="421" t="s">
        <v>7042</v>
      </c>
      <c r="H61" s="421" t="s">
        <v>7042</v>
      </c>
      <c r="I61" s="421" t="s">
        <v>7043</v>
      </c>
      <c r="J61" s="421" t="s">
        <v>7043</v>
      </c>
      <c r="K61" s="421" t="s">
        <v>7043</v>
      </c>
      <c r="L61" s="421" t="s">
        <v>7044</v>
      </c>
      <c r="M61" s="421" t="s">
        <v>7043</v>
      </c>
      <c r="N61" s="421" t="s">
        <v>7044</v>
      </c>
      <c r="O61" s="421" t="s">
        <v>7043</v>
      </c>
      <c r="P61" s="421" t="s">
        <v>76</v>
      </c>
      <c r="Q61" s="421" t="s">
        <v>76</v>
      </c>
      <c r="R61" s="422" t="s">
        <v>76</v>
      </c>
    </row>
    <row r="62" spans="1:18">
      <c r="A62" s="420" t="s">
        <v>7039</v>
      </c>
      <c r="B62" s="421" t="s">
        <v>6358</v>
      </c>
      <c r="C62" s="421" t="s">
        <v>7162</v>
      </c>
      <c r="D62" s="421" t="s">
        <v>7163</v>
      </c>
      <c r="E62" s="421" t="s">
        <v>7041</v>
      </c>
      <c r="F62" s="421" t="s">
        <v>7042</v>
      </c>
      <c r="G62" s="421" t="s">
        <v>7042</v>
      </c>
      <c r="H62" s="421" t="s">
        <v>7042</v>
      </c>
      <c r="I62" s="421" t="s">
        <v>7043</v>
      </c>
      <c r="J62" s="421" t="s">
        <v>7043</v>
      </c>
      <c r="K62" s="421" t="s">
        <v>7043</v>
      </c>
      <c r="L62" s="421" t="s">
        <v>7044</v>
      </c>
      <c r="M62" s="421" t="s">
        <v>7043</v>
      </c>
      <c r="N62" s="421" t="s">
        <v>7044</v>
      </c>
      <c r="O62" s="421" t="s">
        <v>7043</v>
      </c>
      <c r="P62" s="421" t="s">
        <v>76</v>
      </c>
      <c r="Q62" s="421" t="s">
        <v>76</v>
      </c>
      <c r="R62" s="422" t="s">
        <v>76</v>
      </c>
    </row>
    <row r="63" spans="1:18">
      <c r="A63" s="420" t="s">
        <v>7039</v>
      </c>
      <c r="B63" s="421" t="s">
        <v>6358</v>
      </c>
      <c r="C63" s="421" t="s">
        <v>7164</v>
      </c>
      <c r="D63" s="421" t="s">
        <v>7165</v>
      </c>
      <c r="E63" s="421" t="s">
        <v>7041</v>
      </c>
      <c r="F63" s="421" t="s">
        <v>7042</v>
      </c>
      <c r="G63" s="421" t="s">
        <v>7042</v>
      </c>
      <c r="H63" s="421" t="s">
        <v>7042</v>
      </c>
      <c r="I63" s="421" t="s">
        <v>7043</v>
      </c>
      <c r="J63" s="421" t="s">
        <v>7043</v>
      </c>
      <c r="K63" s="421" t="s">
        <v>7043</v>
      </c>
      <c r="L63" s="421" t="s">
        <v>7044</v>
      </c>
      <c r="M63" s="421" t="s">
        <v>7043</v>
      </c>
      <c r="N63" s="421" t="s">
        <v>7044</v>
      </c>
      <c r="O63" s="421" t="s">
        <v>7043</v>
      </c>
      <c r="P63" s="421" t="s">
        <v>76</v>
      </c>
      <c r="Q63" s="421" t="s">
        <v>76</v>
      </c>
      <c r="R63" s="422" t="s">
        <v>76</v>
      </c>
    </row>
    <row r="64" spans="1:18">
      <c r="A64" s="420" t="s">
        <v>7039</v>
      </c>
      <c r="B64" s="421" t="s">
        <v>6358</v>
      </c>
      <c r="C64" s="421" t="s">
        <v>7164</v>
      </c>
      <c r="D64" s="421" t="s">
        <v>7166</v>
      </c>
      <c r="E64" s="421" t="s">
        <v>7041</v>
      </c>
      <c r="F64" s="421" t="s">
        <v>7042</v>
      </c>
      <c r="G64" s="421" t="s">
        <v>7042</v>
      </c>
      <c r="H64" s="421" t="s">
        <v>7042</v>
      </c>
      <c r="I64" s="421" t="s">
        <v>7043</v>
      </c>
      <c r="J64" s="421" t="s">
        <v>7043</v>
      </c>
      <c r="K64" s="421" t="s">
        <v>7043</v>
      </c>
      <c r="L64" s="421" t="s">
        <v>7044</v>
      </c>
      <c r="M64" s="421" t="s">
        <v>7043</v>
      </c>
      <c r="N64" s="421" t="s">
        <v>7044</v>
      </c>
      <c r="O64" s="421" t="s">
        <v>7043</v>
      </c>
      <c r="P64" s="421" t="s">
        <v>76</v>
      </c>
      <c r="Q64" s="421" t="s">
        <v>76</v>
      </c>
      <c r="R64" s="422" t="s">
        <v>76</v>
      </c>
    </row>
    <row r="65" spans="1:18">
      <c r="A65" s="420" t="s">
        <v>7039</v>
      </c>
      <c r="B65" s="421" t="s">
        <v>6358</v>
      </c>
      <c r="C65" s="421" t="s">
        <v>7164</v>
      </c>
      <c r="D65" s="421" t="s">
        <v>7167</v>
      </c>
      <c r="E65" s="421" t="s">
        <v>7041</v>
      </c>
      <c r="F65" s="421" t="s">
        <v>7042</v>
      </c>
      <c r="G65" s="421" t="s">
        <v>7042</v>
      </c>
      <c r="H65" s="421" t="s">
        <v>7042</v>
      </c>
      <c r="I65" s="421" t="s">
        <v>7043</v>
      </c>
      <c r="J65" s="421" t="s">
        <v>7043</v>
      </c>
      <c r="K65" s="421" t="s">
        <v>7043</v>
      </c>
      <c r="L65" s="421" t="s">
        <v>7044</v>
      </c>
      <c r="M65" s="421" t="s">
        <v>7043</v>
      </c>
      <c r="N65" s="421" t="s">
        <v>7044</v>
      </c>
      <c r="O65" s="421" t="s">
        <v>7043</v>
      </c>
      <c r="P65" s="421" t="s">
        <v>76</v>
      </c>
      <c r="Q65" s="421" t="s">
        <v>76</v>
      </c>
      <c r="R65" s="422" t="s">
        <v>76</v>
      </c>
    </row>
    <row r="66" spans="1:18">
      <c r="A66" s="420" t="s">
        <v>7039</v>
      </c>
      <c r="B66" s="421" t="s">
        <v>6358</v>
      </c>
      <c r="C66" s="421" t="s">
        <v>7164</v>
      </c>
      <c r="D66" s="421" t="s">
        <v>7168</v>
      </c>
      <c r="E66" s="421" t="s">
        <v>7041</v>
      </c>
      <c r="F66" s="421" t="s">
        <v>7042</v>
      </c>
      <c r="G66" s="421" t="s">
        <v>7042</v>
      </c>
      <c r="H66" s="421" t="s">
        <v>7042</v>
      </c>
      <c r="I66" s="421" t="s">
        <v>7043</v>
      </c>
      <c r="J66" s="421" t="s">
        <v>7043</v>
      </c>
      <c r="K66" s="421" t="s">
        <v>7043</v>
      </c>
      <c r="L66" s="421" t="s">
        <v>7044</v>
      </c>
      <c r="M66" s="421" t="s">
        <v>7043</v>
      </c>
      <c r="N66" s="421" t="s">
        <v>7044</v>
      </c>
      <c r="O66" s="421" t="s">
        <v>7043</v>
      </c>
      <c r="P66" s="421" t="s">
        <v>76</v>
      </c>
      <c r="Q66" s="421" t="s">
        <v>76</v>
      </c>
      <c r="R66" s="422" t="s">
        <v>76</v>
      </c>
    </row>
    <row r="67" spans="1:18">
      <c r="A67" s="420" t="s">
        <v>7039</v>
      </c>
      <c r="B67" s="421" t="s">
        <v>6358</v>
      </c>
      <c r="C67" s="421" t="s">
        <v>7164</v>
      </c>
      <c r="D67" s="421" t="s">
        <v>7169</v>
      </c>
      <c r="E67" s="421" t="s">
        <v>7041</v>
      </c>
      <c r="F67" s="421" t="s">
        <v>7042</v>
      </c>
      <c r="G67" s="421" t="s">
        <v>7042</v>
      </c>
      <c r="H67" s="421" t="s">
        <v>7042</v>
      </c>
      <c r="I67" s="421" t="s">
        <v>7043</v>
      </c>
      <c r="J67" s="421" t="s">
        <v>7043</v>
      </c>
      <c r="K67" s="421" t="s">
        <v>7043</v>
      </c>
      <c r="L67" s="421" t="s">
        <v>7044</v>
      </c>
      <c r="M67" s="421" t="s">
        <v>7043</v>
      </c>
      <c r="N67" s="421" t="s">
        <v>7044</v>
      </c>
      <c r="O67" s="421" t="s">
        <v>7043</v>
      </c>
      <c r="P67" s="421" t="s">
        <v>76</v>
      </c>
      <c r="Q67" s="421" t="s">
        <v>76</v>
      </c>
      <c r="R67" s="422" t="s">
        <v>76</v>
      </c>
    </row>
    <row r="68" spans="1:18">
      <c r="A68" s="420" t="s">
        <v>7039</v>
      </c>
      <c r="B68" s="421" t="s">
        <v>6358</v>
      </c>
      <c r="C68" s="421" t="s">
        <v>7170</v>
      </c>
      <c r="D68" s="421" t="s">
        <v>7171</v>
      </c>
      <c r="E68" s="421" t="s">
        <v>7041</v>
      </c>
      <c r="F68" s="421" t="s">
        <v>7042</v>
      </c>
      <c r="G68" s="421" t="s">
        <v>7042</v>
      </c>
      <c r="H68" s="421" t="s">
        <v>7042</v>
      </c>
      <c r="I68" s="421" t="s">
        <v>7043</v>
      </c>
      <c r="J68" s="421" t="s">
        <v>7043</v>
      </c>
      <c r="K68" s="421" t="s">
        <v>7043</v>
      </c>
      <c r="L68" s="421" t="s">
        <v>7044</v>
      </c>
      <c r="M68" s="421" t="s">
        <v>7043</v>
      </c>
      <c r="N68" s="421" t="s">
        <v>7044</v>
      </c>
      <c r="O68" s="421" t="s">
        <v>7043</v>
      </c>
      <c r="P68" s="421" t="s">
        <v>76</v>
      </c>
      <c r="Q68" s="421" t="s">
        <v>76</v>
      </c>
      <c r="R68" s="422" t="s">
        <v>76</v>
      </c>
    </row>
    <row r="69" spans="1:18">
      <c r="A69" s="420" t="s">
        <v>7039</v>
      </c>
      <c r="B69" s="421" t="s">
        <v>6358</v>
      </c>
      <c r="C69" s="421" t="s">
        <v>7172</v>
      </c>
      <c r="D69" s="421" t="s">
        <v>7173</v>
      </c>
      <c r="E69" s="421" t="s">
        <v>7041</v>
      </c>
      <c r="F69" s="421" t="s">
        <v>7042</v>
      </c>
      <c r="G69" s="421" t="s">
        <v>7042</v>
      </c>
      <c r="H69" s="421" t="s">
        <v>7042</v>
      </c>
      <c r="I69" s="421" t="s">
        <v>7043</v>
      </c>
      <c r="J69" s="421" t="s">
        <v>7043</v>
      </c>
      <c r="K69" s="421" t="s">
        <v>7043</v>
      </c>
      <c r="L69" s="421" t="s">
        <v>7044</v>
      </c>
      <c r="M69" s="421" t="s">
        <v>7043</v>
      </c>
      <c r="N69" s="421" t="s">
        <v>7044</v>
      </c>
      <c r="O69" s="421" t="s">
        <v>7043</v>
      </c>
      <c r="P69" s="421" t="s">
        <v>76</v>
      </c>
      <c r="Q69" s="421" t="s">
        <v>76</v>
      </c>
      <c r="R69" s="422" t="s">
        <v>76</v>
      </c>
    </row>
    <row r="70" spans="1:18">
      <c r="A70" s="420" t="s">
        <v>7039</v>
      </c>
      <c r="B70" s="421" t="s">
        <v>6358</v>
      </c>
      <c r="C70" s="421" t="s">
        <v>7174</v>
      </c>
      <c r="D70" s="421" t="s">
        <v>7175</v>
      </c>
      <c r="E70" s="421" t="s">
        <v>7041</v>
      </c>
      <c r="F70" s="421" t="s">
        <v>7042</v>
      </c>
      <c r="G70" s="421" t="s">
        <v>7042</v>
      </c>
      <c r="H70" s="421" t="s">
        <v>7042</v>
      </c>
      <c r="I70" s="421" t="s">
        <v>7043</v>
      </c>
      <c r="J70" s="421" t="s">
        <v>7043</v>
      </c>
      <c r="K70" s="421" t="s">
        <v>7043</v>
      </c>
      <c r="L70" s="421" t="s">
        <v>7044</v>
      </c>
      <c r="M70" s="421" t="s">
        <v>7043</v>
      </c>
      <c r="N70" s="421" t="s">
        <v>7044</v>
      </c>
      <c r="O70" s="421" t="s">
        <v>7043</v>
      </c>
      <c r="P70" s="421" t="s">
        <v>76</v>
      </c>
      <c r="Q70" s="421" t="s">
        <v>76</v>
      </c>
      <c r="R70" s="422" t="s">
        <v>76</v>
      </c>
    </row>
    <row r="71" spans="1:18">
      <c r="A71" s="420" t="s">
        <v>7039</v>
      </c>
      <c r="B71" s="421" t="s">
        <v>6358</v>
      </c>
      <c r="C71" s="421" t="s">
        <v>7164</v>
      </c>
      <c r="D71" s="421" t="s">
        <v>7176</v>
      </c>
      <c r="E71" s="421" t="s">
        <v>7041</v>
      </c>
      <c r="F71" s="421" t="s">
        <v>7042</v>
      </c>
      <c r="G71" s="421" t="s">
        <v>7042</v>
      </c>
      <c r="H71" s="421" t="s">
        <v>7042</v>
      </c>
      <c r="I71" s="421" t="s">
        <v>7043</v>
      </c>
      <c r="J71" s="421" t="s">
        <v>7043</v>
      </c>
      <c r="K71" s="421" t="s">
        <v>7043</v>
      </c>
      <c r="L71" s="421" t="s">
        <v>7044</v>
      </c>
      <c r="M71" s="421" t="s">
        <v>7043</v>
      </c>
      <c r="N71" s="421" t="s">
        <v>7044</v>
      </c>
      <c r="O71" s="421" t="s">
        <v>7043</v>
      </c>
      <c r="P71" s="421" t="s">
        <v>76</v>
      </c>
      <c r="Q71" s="421" t="s">
        <v>76</v>
      </c>
      <c r="R71" s="422" t="s">
        <v>76</v>
      </c>
    </row>
    <row r="72" spans="1:18">
      <c r="A72" s="420" t="s">
        <v>7039</v>
      </c>
      <c r="B72" s="421" t="s">
        <v>6358</v>
      </c>
      <c r="C72" s="421" t="s">
        <v>7164</v>
      </c>
      <c r="D72" s="421" t="s">
        <v>7177</v>
      </c>
      <c r="E72" s="421" t="s">
        <v>7041</v>
      </c>
      <c r="F72" s="421" t="s">
        <v>7042</v>
      </c>
      <c r="G72" s="421" t="s">
        <v>7042</v>
      </c>
      <c r="H72" s="421" t="s">
        <v>7042</v>
      </c>
      <c r="I72" s="421" t="s">
        <v>7043</v>
      </c>
      <c r="J72" s="421" t="s">
        <v>7043</v>
      </c>
      <c r="K72" s="421" t="s">
        <v>7043</v>
      </c>
      <c r="L72" s="421" t="s">
        <v>7044</v>
      </c>
      <c r="M72" s="421" t="s">
        <v>7043</v>
      </c>
      <c r="N72" s="421" t="s">
        <v>7044</v>
      </c>
      <c r="O72" s="421" t="s">
        <v>7043</v>
      </c>
      <c r="P72" s="421" t="s">
        <v>76</v>
      </c>
      <c r="Q72" s="421" t="s">
        <v>76</v>
      </c>
      <c r="R72" s="422" t="s">
        <v>76</v>
      </c>
    </row>
    <row r="73" spans="1:18">
      <c r="A73" s="420" t="s">
        <v>7039</v>
      </c>
      <c r="B73" s="421" t="s">
        <v>6358</v>
      </c>
      <c r="C73" s="421" t="s">
        <v>7164</v>
      </c>
      <c r="D73" s="421" t="s">
        <v>7178</v>
      </c>
      <c r="E73" s="421" t="s">
        <v>7041</v>
      </c>
      <c r="F73" s="421" t="s">
        <v>7042</v>
      </c>
      <c r="G73" s="421" t="s">
        <v>7042</v>
      </c>
      <c r="H73" s="421" t="s">
        <v>7042</v>
      </c>
      <c r="I73" s="421" t="s">
        <v>7043</v>
      </c>
      <c r="J73" s="421" t="s">
        <v>7043</v>
      </c>
      <c r="K73" s="421" t="s">
        <v>7043</v>
      </c>
      <c r="L73" s="421" t="s">
        <v>7044</v>
      </c>
      <c r="M73" s="421" t="s">
        <v>7043</v>
      </c>
      <c r="N73" s="421" t="s">
        <v>7044</v>
      </c>
      <c r="O73" s="421" t="s">
        <v>7043</v>
      </c>
      <c r="P73" s="421" t="s">
        <v>76</v>
      </c>
      <c r="Q73" s="421" t="s">
        <v>76</v>
      </c>
      <c r="R73" s="422" t="s">
        <v>76</v>
      </c>
    </row>
    <row r="74" spans="1:18">
      <c r="A74" s="420" t="s">
        <v>7039</v>
      </c>
      <c r="B74" s="421" t="s">
        <v>6358</v>
      </c>
      <c r="C74" s="421" t="s">
        <v>7164</v>
      </c>
      <c r="D74" s="421" t="s">
        <v>7179</v>
      </c>
      <c r="E74" s="421" t="s">
        <v>7041</v>
      </c>
      <c r="F74" s="421" t="s">
        <v>7042</v>
      </c>
      <c r="G74" s="421" t="s">
        <v>7042</v>
      </c>
      <c r="H74" s="421" t="s">
        <v>7042</v>
      </c>
      <c r="I74" s="421" t="s">
        <v>7043</v>
      </c>
      <c r="J74" s="421" t="s">
        <v>7043</v>
      </c>
      <c r="K74" s="421" t="s">
        <v>7043</v>
      </c>
      <c r="L74" s="421" t="s">
        <v>7044</v>
      </c>
      <c r="M74" s="421" t="s">
        <v>7043</v>
      </c>
      <c r="N74" s="421" t="s">
        <v>7044</v>
      </c>
      <c r="O74" s="421" t="s">
        <v>7043</v>
      </c>
      <c r="P74" s="421" t="s">
        <v>76</v>
      </c>
      <c r="Q74" s="421" t="s">
        <v>76</v>
      </c>
      <c r="R74" s="422" t="s">
        <v>76</v>
      </c>
    </row>
    <row r="75" spans="1:18">
      <c r="A75" s="420" t="s">
        <v>7039</v>
      </c>
      <c r="B75" s="421" t="s">
        <v>6358</v>
      </c>
      <c r="C75" s="421" t="s">
        <v>7164</v>
      </c>
      <c r="D75" s="421" t="s">
        <v>7180</v>
      </c>
      <c r="E75" s="421" t="s">
        <v>7041</v>
      </c>
      <c r="F75" s="421" t="s">
        <v>7042</v>
      </c>
      <c r="G75" s="421" t="s">
        <v>7042</v>
      </c>
      <c r="H75" s="421" t="s">
        <v>7042</v>
      </c>
      <c r="I75" s="421" t="s">
        <v>7043</v>
      </c>
      <c r="J75" s="421" t="s">
        <v>7043</v>
      </c>
      <c r="K75" s="421" t="s">
        <v>7043</v>
      </c>
      <c r="L75" s="421" t="s">
        <v>7044</v>
      </c>
      <c r="M75" s="421" t="s">
        <v>7043</v>
      </c>
      <c r="N75" s="421" t="s">
        <v>7044</v>
      </c>
      <c r="O75" s="421" t="s">
        <v>7043</v>
      </c>
      <c r="P75" s="421" t="s">
        <v>76</v>
      </c>
      <c r="Q75" s="421" t="s">
        <v>76</v>
      </c>
      <c r="R75" s="422" t="s">
        <v>76</v>
      </c>
    </row>
    <row r="76" spans="1:18">
      <c r="A76" s="420" t="s">
        <v>7039</v>
      </c>
      <c r="B76" s="421" t="s">
        <v>6358</v>
      </c>
      <c r="C76" s="421" t="s">
        <v>7164</v>
      </c>
      <c r="D76" s="421" t="s">
        <v>7181</v>
      </c>
      <c r="E76" s="421" t="s">
        <v>7041</v>
      </c>
      <c r="F76" s="421" t="s">
        <v>7042</v>
      </c>
      <c r="G76" s="421" t="s">
        <v>7042</v>
      </c>
      <c r="H76" s="421" t="s">
        <v>7042</v>
      </c>
      <c r="I76" s="421" t="s">
        <v>7043</v>
      </c>
      <c r="J76" s="421" t="s">
        <v>7043</v>
      </c>
      <c r="K76" s="421" t="s">
        <v>7043</v>
      </c>
      <c r="L76" s="421" t="s">
        <v>7044</v>
      </c>
      <c r="M76" s="421" t="s">
        <v>7043</v>
      </c>
      <c r="N76" s="421" t="s">
        <v>7044</v>
      </c>
      <c r="O76" s="421" t="s">
        <v>7043</v>
      </c>
      <c r="P76" s="421" t="s">
        <v>76</v>
      </c>
      <c r="Q76" s="421" t="s">
        <v>76</v>
      </c>
      <c r="R76" s="422" t="s">
        <v>76</v>
      </c>
    </row>
    <row r="77" spans="1:18">
      <c r="A77" s="420" t="s">
        <v>7039</v>
      </c>
      <c r="B77" s="421" t="s">
        <v>6358</v>
      </c>
      <c r="C77" s="421" t="s">
        <v>7164</v>
      </c>
      <c r="D77" s="421" t="s">
        <v>7182</v>
      </c>
      <c r="E77" s="421" t="s">
        <v>7041</v>
      </c>
      <c r="F77" s="421" t="s">
        <v>7042</v>
      </c>
      <c r="G77" s="421" t="s">
        <v>7042</v>
      </c>
      <c r="H77" s="421" t="s">
        <v>7042</v>
      </c>
      <c r="I77" s="421" t="s">
        <v>7043</v>
      </c>
      <c r="J77" s="421" t="s">
        <v>7043</v>
      </c>
      <c r="K77" s="421" t="s">
        <v>7043</v>
      </c>
      <c r="L77" s="421" t="s">
        <v>7044</v>
      </c>
      <c r="M77" s="421" t="s">
        <v>7043</v>
      </c>
      <c r="N77" s="421" t="s">
        <v>7044</v>
      </c>
      <c r="O77" s="421" t="s">
        <v>7043</v>
      </c>
      <c r="P77" s="421" t="s">
        <v>76</v>
      </c>
      <c r="Q77" s="421" t="s">
        <v>76</v>
      </c>
      <c r="R77" s="422" t="s">
        <v>76</v>
      </c>
    </row>
    <row r="78" spans="1:18">
      <c r="A78" s="420" t="s">
        <v>7183</v>
      </c>
      <c r="B78" s="421" t="s">
        <v>6372</v>
      </c>
      <c r="C78" s="421" t="s">
        <v>7184</v>
      </c>
      <c r="D78" s="421" t="s">
        <v>7185</v>
      </c>
      <c r="E78" s="421" t="s">
        <v>76</v>
      </c>
      <c r="F78" s="421" t="s">
        <v>76</v>
      </c>
      <c r="G78" s="421" t="s">
        <v>76</v>
      </c>
      <c r="H78" s="421" t="s">
        <v>7044</v>
      </c>
      <c r="I78" s="421" t="s">
        <v>76</v>
      </c>
      <c r="J78" s="421" t="s">
        <v>76</v>
      </c>
      <c r="K78" s="421" t="s">
        <v>76</v>
      </c>
      <c r="L78" s="421" t="s">
        <v>76</v>
      </c>
      <c r="M78" s="421" t="s">
        <v>76</v>
      </c>
      <c r="N78" s="421" t="s">
        <v>76</v>
      </c>
      <c r="O78" s="421" t="s">
        <v>76</v>
      </c>
      <c r="P78" s="421" t="s">
        <v>7043</v>
      </c>
      <c r="Q78" s="421" t="s">
        <v>76</v>
      </c>
      <c r="R78" s="422" t="s">
        <v>76</v>
      </c>
    </row>
    <row r="79" spans="1:18">
      <c r="A79" s="420" t="s">
        <v>7183</v>
      </c>
      <c r="B79" s="421" t="s">
        <v>6372</v>
      </c>
      <c r="C79" s="421" t="s">
        <v>7184</v>
      </c>
      <c r="D79" s="421" t="s">
        <v>7186</v>
      </c>
      <c r="E79" s="421" t="s">
        <v>76</v>
      </c>
      <c r="F79" s="421" t="s">
        <v>76</v>
      </c>
      <c r="G79" s="421" t="s">
        <v>76</v>
      </c>
      <c r="H79" s="421" t="s">
        <v>7044</v>
      </c>
      <c r="I79" s="421" t="s">
        <v>76</v>
      </c>
      <c r="J79" s="421" t="s">
        <v>76</v>
      </c>
      <c r="K79" s="421" t="s">
        <v>76</v>
      </c>
      <c r="L79" s="421" t="s">
        <v>76</v>
      </c>
      <c r="M79" s="421" t="s">
        <v>76</v>
      </c>
      <c r="N79" s="421" t="s">
        <v>76</v>
      </c>
      <c r="O79" s="421" t="s">
        <v>76</v>
      </c>
      <c r="P79" s="421" t="s">
        <v>7043</v>
      </c>
      <c r="Q79" s="421" t="s">
        <v>76</v>
      </c>
      <c r="R79" s="422" t="s">
        <v>76</v>
      </c>
    </row>
    <row r="80" spans="1:18">
      <c r="A80" s="420" t="s">
        <v>7183</v>
      </c>
      <c r="B80" s="421" t="s">
        <v>6372</v>
      </c>
      <c r="C80" s="421" t="s">
        <v>7184</v>
      </c>
      <c r="D80" s="421" t="s">
        <v>7187</v>
      </c>
      <c r="E80" s="421" t="s">
        <v>76</v>
      </c>
      <c r="F80" s="421" t="s">
        <v>76</v>
      </c>
      <c r="G80" s="421" t="s">
        <v>76</v>
      </c>
      <c r="H80" s="421" t="s">
        <v>7044</v>
      </c>
      <c r="I80" s="421" t="s">
        <v>76</v>
      </c>
      <c r="J80" s="421" t="s">
        <v>76</v>
      </c>
      <c r="K80" s="421" t="s">
        <v>76</v>
      </c>
      <c r="L80" s="421" t="s">
        <v>76</v>
      </c>
      <c r="M80" s="421" t="s">
        <v>76</v>
      </c>
      <c r="N80" s="421" t="s">
        <v>76</v>
      </c>
      <c r="O80" s="421" t="s">
        <v>76</v>
      </c>
      <c r="P80" s="421" t="s">
        <v>7043</v>
      </c>
      <c r="Q80" s="421" t="s">
        <v>76</v>
      </c>
      <c r="R80" s="422" t="s">
        <v>76</v>
      </c>
    </row>
    <row r="81" spans="1:18">
      <c r="A81" s="420" t="s">
        <v>7183</v>
      </c>
      <c r="B81" s="421" t="s">
        <v>6372</v>
      </c>
      <c r="C81" s="421" t="s">
        <v>7184</v>
      </c>
      <c r="D81" s="421" t="s">
        <v>7188</v>
      </c>
      <c r="E81" s="421" t="s">
        <v>76</v>
      </c>
      <c r="F81" s="421" t="s">
        <v>76</v>
      </c>
      <c r="G81" s="421" t="s">
        <v>76</v>
      </c>
      <c r="H81" s="421" t="s">
        <v>7044</v>
      </c>
      <c r="I81" s="421" t="s">
        <v>76</v>
      </c>
      <c r="J81" s="421" t="s">
        <v>76</v>
      </c>
      <c r="K81" s="421" t="s">
        <v>76</v>
      </c>
      <c r="L81" s="421" t="s">
        <v>76</v>
      </c>
      <c r="M81" s="421" t="s">
        <v>76</v>
      </c>
      <c r="N81" s="421" t="s">
        <v>76</v>
      </c>
      <c r="O81" s="421" t="s">
        <v>76</v>
      </c>
      <c r="P81" s="421" t="s">
        <v>7043</v>
      </c>
      <c r="Q81" s="421" t="s">
        <v>76</v>
      </c>
      <c r="R81" s="422" t="s">
        <v>76</v>
      </c>
    </row>
    <row r="82" spans="1:18">
      <c r="A82" s="420" t="s">
        <v>7183</v>
      </c>
      <c r="B82" s="421" t="s">
        <v>6372</v>
      </c>
      <c r="C82" s="421" t="s">
        <v>7184</v>
      </c>
      <c r="D82" s="421" t="s">
        <v>7189</v>
      </c>
      <c r="E82" s="421" t="s">
        <v>76</v>
      </c>
      <c r="F82" s="421" t="s">
        <v>76</v>
      </c>
      <c r="G82" s="421" t="s">
        <v>76</v>
      </c>
      <c r="H82" s="421" t="s">
        <v>7044</v>
      </c>
      <c r="I82" s="421" t="s">
        <v>76</v>
      </c>
      <c r="J82" s="421" t="s">
        <v>76</v>
      </c>
      <c r="K82" s="421" t="s">
        <v>76</v>
      </c>
      <c r="L82" s="421" t="s">
        <v>76</v>
      </c>
      <c r="M82" s="421" t="s">
        <v>76</v>
      </c>
      <c r="N82" s="421" t="s">
        <v>76</v>
      </c>
      <c r="O82" s="421" t="s">
        <v>76</v>
      </c>
      <c r="P82" s="421" t="s">
        <v>7043</v>
      </c>
      <c r="Q82" s="421" t="s">
        <v>76</v>
      </c>
      <c r="R82" s="422" t="s">
        <v>76</v>
      </c>
    </row>
    <row r="83" spans="1:18">
      <c r="A83" s="420" t="s">
        <v>7183</v>
      </c>
      <c r="B83" s="421" t="s">
        <v>6372</v>
      </c>
      <c r="C83" s="421" t="s">
        <v>7184</v>
      </c>
      <c r="D83" s="421" t="s">
        <v>7190</v>
      </c>
      <c r="E83" s="421" t="s">
        <v>76</v>
      </c>
      <c r="F83" s="421" t="s">
        <v>76</v>
      </c>
      <c r="G83" s="421" t="s">
        <v>76</v>
      </c>
      <c r="H83" s="421" t="s">
        <v>7044</v>
      </c>
      <c r="I83" s="421" t="s">
        <v>76</v>
      </c>
      <c r="J83" s="421" t="s">
        <v>76</v>
      </c>
      <c r="K83" s="421" t="s">
        <v>76</v>
      </c>
      <c r="L83" s="421" t="s">
        <v>76</v>
      </c>
      <c r="M83" s="421" t="s">
        <v>76</v>
      </c>
      <c r="N83" s="421" t="s">
        <v>76</v>
      </c>
      <c r="O83" s="421" t="s">
        <v>76</v>
      </c>
      <c r="P83" s="421" t="s">
        <v>7043</v>
      </c>
      <c r="Q83" s="421" t="s">
        <v>76</v>
      </c>
      <c r="R83" s="422" t="s">
        <v>76</v>
      </c>
    </row>
    <row r="84" spans="1:18">
      <c r="A84" s="420" t="s">
        <v>7183</v>
      </c>
      <c r="B84" s="421" t="s">
        <v>6372</v>
      </c>
      <c r="C84" s="421" t="s">
        <v>7184</v>
      </c>
      <c r="D84" s="421" t="s">
        <v>7191</v>
      </c>
      <c r="E84" s="421" t="s">
        <v>76</v>
      </c>
      <c r="F84" s="421" t="s">
        <v>76</v>
      </c>
      <c r="G84" s="421" t="s">
        <v>76</v>
      </c>
      <c r="H84" s="421" t="s">
        <v>7044</v>
      </c>
      <c r="I84" s="421" t="s">
        <v>76</v>
      </c>
      <c r="J84" s="421" t="s">
        <v>76</v>
      </c>
      <c r="K84" s="421" t="s">
        <v>76</v>
      </c>
      <c r="L84" s="421" t="s">
        <v>76</v>
      </c>
      <c r="M84" s="421" t="s">
        <v>76</v>
      </c>
      <c r="N84" s="421" t="s">
        <v>76</v>
      </c>
      <c r="O84" s="421" t="s">
        <v>76</v>
      </c>
      <c r="P84" s="421" t="s">
        <v>7043</v>
      </c>
      <c r="Q84" s="421" t="s">
        <v>76</v>
      </c>
      <c r="R84" s="422" t="s">
        <v>76</v>
      </c>
    </row>
    <row r="85" spans="1:18">
      <c r="A85" s="420" t="s">
        <v>7183</v>
      </c>
      <c r="B85" s="421" t="s">
        <v>6372</v>
      </c>
      <c r="C85" s="421" t="s">
        <v>7184</v>
      </c>
      <c r="D85" s="421" t="s">
        <v>7192</v>
      </c>
      <c r="E85" s="421" t="s">
        <v>76</v>
      </c>
      <c r="F85" s="421" t="s">
        <v>76</v>
      </c>
      <c r="G85" s="421" t="s">
        <v>76</v>
      </c>
      <c r="H85" s="421" t="s">
        <v>7044</v>
      </c>
      <c r="I85" s="421" t="s">
        <v>76</v>
      </c>
      <c r="J85" s="421" t="s">
        <v>76</v>
      </c>
      <c r="K85" s="421" t="s">
        <v>76</v>
      </c>
      <c r="L85" s="421" t="s">
        <v>76</v>
      </c>
      <c r="M85" s="421" t="s">
        <v>76</v>
      </c>
      <c r="N85" s="421" t="s">
        <v>76</v>
      </c>
      <c r="O85" s="421" t="s">
        <v>76</v>
      </c>
      <c r="P85" s="421" t="s">
        <v>7043</v>
      </c>
      <c r="Q85" s="421" t="s">
        <v>76</v>
      </c>
      <c r="R85" s="422" t="s">
        <v>76</v>
      </c>
    </row>
    <row r="86" spans="1:18">
      <c r="A86" s="420" t="s">
        <v>7183</v>
      </c>
      <c r="B86" s="421" t="s">
        <v>6372</v>
      </c>
      <c r="C86" s="421" t="s">
        <v>7184</v>
      </c>
      <c r="D86" s="421" t="s">
        <v>7193</v>
      </c>
      <c r="E86" s="421" t="s">
        <v>76</v>
      </c>
      <c r="F86" s="421" t="s">
        <v>76</v>
      </c>
      <c r="G86" s="421" t="s">
        <v>76</v>
      </c>
      <c r="H86" s="421" t="s">
        <v>7044</v>
      </c>
      <c r="I86" s="421" t="s">
        <v>76</v>
      </c>
      <c r="J86" s="421" t="s">
        <v>76</v>
      </c>
      <c r="K86" s="421" t="s">
        <v>76</v>
      </c>
      <c r="L86" s="421" t="s">
        <v>76</v>
      </c>
      <c r="M86" s="421" t="s">
        <v>76</v>
      </c>
      <c r="N86" s="421" t="s">
        <v>76</v>
      </c>
      <c r="O86" s="421" t="s">
        <v>76</v>
      </c>
      <c r="P86" s="421" t="s">
        <v>7043</v>
      </c>
      <c r="Q86" s="421" t="s">
        <v>76</v>
      </c>
      <c r="R86" s="422" t="s">
        <v>76</v>
      </c>
    </row>
    <row r="87" spans="1:18">
      <c r="A87" s="420" t="s">
        <v>7183</v>
      </c>
      <c r="B87" s="421" t="s">
        <v>6372</v>
      </c>
      <c r="C87" s="421" t="s">
        <v>7184</v>
      </c>
      <c r="D87" s="421" t="s">
        <v>7194</v>
      </c>
      <c r="E87" s="421" t="s">
        <v>76</v>
      </c>
      <c r="F87" s="421" t="s">
        <v>76</v>
      </c>
      <c r="G87" s="421" t="s">
        <v>76</v>
      </c>
      <c r="H87" s="421" t="s">
        <v>7044</v>
      </c>
      <c r="I87" s="421" t="s">
        <v>76</v>
      </c>
      <c r="J87" s="421" t="s">
        <v>76</v>
      </c>
      <c r="K87" s="421" t="s">
        <v>76</v>
      </c>
      <c r="L87" s="421" t="s">
        <v>76</v>
      </c>
      <c r="M87" s="421" t="s">
        <v>76</v>
      </c>
      <c r="N87" s="421" t="s">
        <v>76</v>
      </c>
      <c r="O87" s="421" t="s">
        <v>76</v>
      </c>
      <c r="P87" s="421" t="s">
        <v>7043</v>
      </c>
      <c r="Q87" s="421" t="s">
        <v>76</v>
      </c>
      <c r="R87" s="422" t="s">
        <v>76</v>
      </c>
    </row>
    <row r="88" spans="1:18">
      <c r="A88" s="420" t="s">
        <v>7183</v>
      </c>
      <c r="B88" s="421" t="s">
        <v>6372</v>
      </c>
      <c r="C88" s="421" t="s">
        <v>7184</v>
      </c>
      <c r="D88" s="421" t="s">
        <v>7195</v>
      </c>
      <c r="E88" s="421" t="s">
        <v>76</v>
      </c>
      <c r="F88" s="421" t="s">
        <v>76</v>
      </c>
      <c r="G88" s="421" t="s">
        <v>76</v>
      </c>
      <c r="H88" s="421" t="s">
        <v>7044</v>
      </c>
      <c r="I88" s="421" t="s">
        <v>76</v>
      </c>
      <c r="J88" s="421" t="s">
        <v>76</v>
      </c>
      <c r="K88" s="421" t="s">
        <v>76</v>
      </c>
      <c r="L88" s="421" t="s">
        <v>76</v>
      </c>
      <c r="M88" s="421" t="s">
        <v>76</v>
      </c>
      <c r="N88" s="421" t="s">
        <v>76</v>
      </c>
      <c r="O88" s="421" t="s">
        <v>76</v>
      </c>
      <c r="P88" s="421" t="s">
        <v>7043</v>
      </c>
      <c r="Q88" s="421" t="s">
        <v>76</v>
      </c>
      <c r="R88" s="422" t="s">
        <v>76</v>
      </c>
    </row>
    <row r="89" spans="1:18">
      <c r="A89" s="420" t="s">
        <v>7183</v>
      </c>
      <c r="B89" s="421" t="s">
        <v>6372</v>
      </c>
      <c r="C89" s="421" t="s">
        <v>7184</v>
      </c>
      <c r="D89" s="421" t="s">
        <v>7196</v>
      </c>
      <c r="E89" s="421" t="s">
        <v>76</v>
      </c>
      <c r="F89" s="421" t="s">
        <v>76</v>
      </c>
      <c r="G89" s="421" t="s">
        <v>76</v>
      </c>
      <c r="H89" s="421" t="s">
        <v>7044</v>
      </c>
      <c r="I89" s="421" t="s">
        <v>76</v>
      </c>
      <c r="J89" s="421" t="s">
        <v>76</v>
      </c>
      <c r="K89" s="421" t="s">
        <v>76</v>
      </c>
      <c r="L89" s="421" t="s">
        <v>76</v>
      </c>
      <c r="M89" s="421" t="s">
        <v>76</v>
      </c>
      <c r="N89" s="421" t="s">
        <v>76</v>
      </c>
      <c r="O89" s="421" t="s">
        <v>76</v>
      </c>
      <c r="P89" s="421" t="s">
        <v>7043</v>
      </c>
      <c r="Q89" s="421" t="s">
        <v>76</v>
      </c>
      <c r="R89" s="422" t="s">
        <v>76</v>
      </c>
    </row>
    <row r="90" spans="1:18">
      <c r="A90" s="420" t="s">
        <v>7183</v>
      </c>
      <c r="B90" s="421" t="s">
        <v>6372</v>
      </c>
      <c r="C90" s="421" t="s">
        <v>7184</v>
      </c>
      <c r="D90" s="421" t="s">
        <v>7197</v>
      </c>
      <c r="E90" s="421" t="s">
        <v>76</v>
      </c>
      <c r="F90" s="421" t="s">
        <v>76</v>
      </c>
      <c r="G90" s="421" t="s">
        <v>76</v>
      </c>
      <c r="H90" s="421" t="s">
        <v>7044</v>
      </c>
      <c r="I90" s="421" t="s">
        <v>76</v>
      </c>
      <c r="J90" s="421" t="s">
        <v>76</v>
      </c>
      <c r="K90" s="421" t="s">
        <v>76</v>
      </c>
      <c r="L90" s="421" t="s">
        <v>76</v>
      </c>
      <c r="M90" s="421" t="s">
        <v>76</v>
      </c>
      <c r="N90" s="421" t="s">
        <v>76</v>
      </c>
      <c r="O90" s="421" t="s">
        <v>76</v>
      </c>
      <c r="P90" s="421" t="s">
        <v>7043</v>
      </c>
      <c r="Q90" s="421" t="s">
        <v>76</v>
      </c>
      <c r="R90" s="422" t="s">
        <v>76</v>
      </c>
    </row>
    <row r="91" spans="1:18">
      <c r="A91" s="420" t="s">
        <v>7183</v>
      </c>
      <c r="B91" s="421" t="s">
        <v>6372</v>
      </c>
      <c r="C91" s="421" t="s">
        <v>7184</v>
      </c>
      <c r="D91" s="421" t="s">
        <v>7198</v>
      </c>
      <c r="E91" s="421" t="s">
        <v>76</v>
      </c>
      <c r="F91" s="421" t="s">
        <v>76</v>
      </c>
      <c r="G91" s="421" t="s">
        <v>76</v>
      </c>
      <c r="H91" s="421" t="s">
        <v>7044</v>
      </c>
      <c r="I91" s="421" t="s">
        <v>76</v>
      </c>
      <c r="J91" s="421" t="s">
        <v>76</v>
      </c>
      <c r="K91" s="421" t="s">
        <v>76</v>
      </c>
      <c r="L91" s="421" t="s">
        <v>76</v>
      </c>
      <c r="M91" s="421" t="s">
        <v>76</v>
      </c>
      <c r="N91" s="421" t="s">
        <v>76</v>
      </c>
      <c r="O91" s="421" t="s">
        <v>76</v>
      </c>
      <c r="P91" s="421" t="s">
        <v>7043</v>
      </c>
      <c r="Q91" s="421" t="s">
        <v>76</v>
      </c>
      <c r="R91" s="422" t="s">
        <v>76</v>
      </c>
    </row>
    <row r="92" spans="1:18">
      <c r="A92" s="420" t="s">
        <v>7183</v>
      </c>
      <c r="B92" s="421" t="s">
        <v>6372</v>
      </c>
      <c r="C92" s="421" t="s">
        <v>7184</v>
      </c>
      <c r="D92" s="421" t="s">
        <v>7199</v>
      </c>
      <c r="E92" s="421" t="s">
        <v>76</v>
      </c>
      <c r="F92" s="421" t="s">
        <v>76</v>
      </c>
      <c r="G92" s="421" t="s">
        <v>76</v>
      </c>
      <c r="H92" s="421" t="s">
        <v>7044</v>
      </c>
      <c r="I92" s="421" t="s">
        <v>76</v>
      </c>
      <c r="J92" s="421" t="s">
        <v>76</v>
      </c>
      <c r="K92" s="421" t="s">
        <v>76</v>
      </c>
      <c r="L92" s="421" t="s">
        <v>76</v>
      </c>
      <c r="M92" s="421" t="s">
        <v>76</v>
      </c>
      <c r="N92" s="421" t="s">
        <v>76</v>
      </c>
      <c r="O92" s="421" t="s">
        <v>76</v>
      </c>
      <c r="P92" s="421" t="s">
        <v>7043</v>
      </c>
      <c r="Q92" s="421" t="s">
        <v>76</v>
      </c>
      <c r="R92" s="422" t="s">
        <v>76</v>
      </c>
    </row>
    <row r="93" spans="1:18">
      <c r="A93" s="420" t="s">
        <v>7200</v>
      </c>
      <c r="B93" s="421" t="s">
        <v>6383</v>
      </c>
      <c r="C93" s="421" t="s">
        <v>7201</v>
      </c>
      <c r="D93" s="421" t="s">
        <v>7202</v>
      </c>
      <c r="E93" s="421" t="s">
        <v>76</v>
      </c>
      <c r="F93" s="421" t="s">
        <v>76</v>
      </c>
      <c r="G93" s="421" t="s">
        <v>76</v>
      </c>
      <c r="H93" s="421" t="s">
        <v>7044</v>
      </c>
      <c r="I93" s="421" t="s">
        <v>76</v>
      </c>
      <c r="J93" s="421" t="s">
        <v>76</v>
      </c>
      <c r="K93" s="421" t="s">
        <v>76</v>
      </c>
      <c r="L93" s="421" t="s">
        <v>76</v>
      </c>
      <c r="M93" s="421" t="s">
        <v>76</v>
      </c>
      <c r="N93" s="421" t="s">
        <v>76</v>
      </c>
      <c r="O93" s="421" t="s">
        <v>76</v>
      </c>
      <c r="P93" s="421" t="s">
        <v>7043</v>
      </c>
      <c r="Q93" s="421" t="s">
        <v>76</v>
      </c>
      <c r="R93" s="422" t="s">
        <v>76</v>
      </c>
    </row>
    <row r="94" spans="1:18">
      <c r="A94" s="420" t="s">
        <v>7200</v>
      </c>
      <c r="B94" s="421" t="s">
        <v>6383</v>
      </c>
      <c r="C94" s="421" t="s">
        <v>7201</v>
      </c>
      <c r="D94" s="421" t="s">
        <v>7203</v>
      </c>
      <c r="E94" s="421" t="s">
        <v>76</v>
      </c>
      <c r="F94" s="421" t="s">
        <v>76</v>
      </c>
      <c r="G94" s="421" t="s">
        <v>76</v>
      </c>
      <c r="H94" s="421" t="s">
        <v>7044</v>
      </c>
      <c r="I94" s="421" t="s">
        <v>76</v>
      </c>
      <c r="J94" s="421" t="s">
        <v>76</v>
      </c>
      <c r="K94" s="421" t="s">
        <v>76</v>
      </c>
      <c r="L94" s="421" t="s">
        <v>76</v>
      </c>
      <c r="M94" s="421" t="s">
        <v>76</v>
      </c>
      <c r="N94" s="421" t="s">
        <v>76</v>
      </c>
      <c r="O94" s="421" t="s">
        <v>76</v>
      </c>
      <c r="P94" s="421" t="s">
        <v>7043</v>
      </c>
      <c r="Q94" s="421" t="s">
        <v>76</v>
      </c>
      <c r="R94" s="422" t="s">
        <v>76</v>
      </c>
    </row>
    <row r="95" spans="1:18">
      <c r="A95" s="420" t="s">
        <v>7200</v>
      </c>
      <c r="B95" s="421" t="s">
        <v>6383</v>
      </c>
      <c r="C95" s="421" t="s">
        <v>7201</v>
      </c>
      <c r="D95" s="421" t="s">
        <v>7204</v>
      </c>
      <c r="E95" s="421" t="s">
        <v>76</v>
      </c>
      <c r="F95" s="421" t="s">
        <v>76</v>
      </c>
      <c r="G95" s="421" t="s">
        <v>76</v>
      </c>
      <c r="H95" s="421" t="s">
        <v>7044</v>
      </c>
      <c r="I95" s="421" t="s">
        <v>76</v>
      </c>
      <c r="J95" s="421" t="s">
        <v>76</v>
      </c>
      <c r="K95" s="421" t="s">
        <v>76</v>
      </c>
      <c r="L95" s="421" t="s">
        <v>76</v>
      </c>
      <c r="M95" s="421" t="s">
        <v>76</v>
      </c>
      <c r="N95" s="421" t="s">
        <v>76</v>
      </c>
      <c r="O95" s="421" t="s">
        <v>76</v>
      </c>
      <c r="P95" s="421" t="s">
        <v>7043</v>
      </c>
      <c r="Q95" s="421" t="s">
        <v>76</v>
      </c>
      <c r="R95" s="422" t="s">
        <v>76</v>
      </c>
    </row>
    <row r="96" spans="1:18">
      <c r="A96" s="420" t="s">
        <v>7200</v>
      </c>
      <c r="B96" s="421" t="s">
        <v>6383</v>
      </c>
      <c r="C96" s="421" t="s">
        <v>7201</v>
      </c>
      <c r="D96" s="421" t="s">
        <v>7205</v>
      </c>
      <c r="E96" s="421" t="s">
        <v>76</v>
      </c>
      <c r="F96" s="421" t="s">
        <v>76</v>
      </c>
      <c r="G96" s="421" t="s">
        <v>76</v>
      </c>
      <c r="H96" s="421" t="s">
        <v>7044</v>
      </c>
      <c r="I96" s="421" t="s">
        <v>76</v>
      </c>
      <c r="J96" s="421" t="s">
        <v>76</v>
      </c>
      <c r="K96" s="421" t="s">
        <v>76</v>
      </c>
      <c r="L96" s="421" t="s">
        <v>76</v>
      </c>
      <c r="M96" s="421" t="s">
        <v>76</v>
      </c>
      <c r="N96" s="421" t="s">
        <v>76</v>
      </c>
      <c r="O96" s="421" t="s">
        <v>76</v>
      </c>
      <c r="P96" s="421" t="s">
        <v>7043</v>
      </c>
      <c r="Q96" s="421" t="s">
        <v>76</v>
      </c>
      <c r="R96" s="422" t="s">
        <v>76</v>
      </c>
    </row>
    <row r="97" spans="1:18">
      <c r="A97" s="420" t="s">
        <v>7200</v>
      </c>
      <c r="B97" s="421" t="s">
        <v>6383</v>
      </c>
      <c r="C97" s="421" t="s">
        <v>7201</v>
      </c>
      <c r="D97" s="421" t="s">
        <v>7206</v>
      </c>
      <c r="E97" s="421" t="s">
        <v>76</v>
      </c>
      <c r="F97" s="421" t="s">
        <v>76</v>
      </c>
      <c r="G97" s="421" t="s">
        <v>76</v>
      </c>
      <c r="H97" s="421" t="s">
        <v>7044</v>
      </c>
      <c r="I97" s="421" t="s">
        <v>76</v>
      </c>
      <c r="J97" s="421" t="s">
        <v>76</v>
      </c>
      <c r="K97" s="421" t="s">
        <v>76</v>
      </c>
      <c r="L97" s="421" t="s">
        <v>76</v>
      </c>
      <c r="M97" s="421" t="s">
        <v>76</v>
      </c>
      <c r="N97" s="421" t="s">
        <v>76</v>
      </c>
      <c r="O97" s="421" t="s">
        <v>76</v>
      </c>
      <c r="P97" s="421" t="s">
        <v>7043</v>
      </c>
      <c r="Q97" s="421" t="s">
        <v>76</v>
      </c>
      <c r="R97" s="422" t="s">
        <v>76</v>
      </c>
    </row>
    <row r="98" spans="1:18">
      <c r="A98" s="420" t="s">
        <v>7200</v>
      </c>
      <c r="B98" s="421" t="s">
        <v>6383</v>
      </c>
      <c r="C98" s="421" t="s">
        <v>7201</v>
      </c>
      <c r="D98" s="421" t="s">
        <v>7207</v>
      </c>
      <c r="E98" s="421" t="s">
        <v>76</v>
      </c>
      <c r="F98" s="421" t="s">
        <v>76</v>
      </c>
      <c r="G98" s="421" t="s">
        <v>76</v>
      </c>
      <c r="H98" s="421" t="s">
        <v>7044</v>
      </c>
      <c r="I98" s="421" t="s">
        <v>76</v>
      </c>
      <c r="J98" s="421" t="s">
        <v>76</v>
      </c>
      <c r="K98" s="421" t="s">
        <v>76</v>
      </c>
      <c r="L98" s="421" t="s">
        <v>76</v>
      </c>
      <c r="M98" s="421" t="s">
        <v>76</v>
      </c>
      <c r="N98" s="421" t="s">
        <v>76</v>
      </c>
      <c r="O98" s="421" t="s">
        <v>76</v>
      </c>
      <c r="P98" s="421" t="s">
        <v>7043</v>
      </c>
      <c r="Q98" s="421" t="s">
        <v>76</v>
      </c>
      <c r="R98" s="422" t="s">
        <v>76</v>
      </c>
    </row>
    <row r="99" spans="1:18">
      <c r="A99" s="420" t="s">
        <v>7200</v>
      </c>
      <c r="B99" s="421" t="s">
        <v>6383</v>
      </c>
      <c r="C99" s="421" t="s">
        <v>7201</v>
      </c>
      <c r="D99" s="421" t="s">
        <v>7208</v>
      </c>
      <c r="E99" s="421" t="s">
        <v>76</v>
      </c>
      <c r="F99" s="421" t="s">
        <v>76</v>
      </c>
      <c r="G99" s="421" t="s">
        <v>76</v>
      </c>
      <c r="H99" s="421" t="s">
        <v>7044</v>
      </c>
      <c r="I99" s="421" t="s">
        <v>76</v>
      </c>
      <c r="J99" s="421" t="s">
        <v>76</v>
      </c>
      <c r="K99" s="421" t="s">
        <v>76</v>
      </c>
      <c r="L99" s="421" t="s">
        <v>76</v>
      </c>
      <c r="M99" s="421" t="s">
        <v>76</v>
      </c>
      <c r="N99" s="421" t="s">
        <v>76</v>
      </c>
      <c r="O99" s="421" t="s">
        <v>76</v>
      </c>
      <c r="P99" s="421" t="s">
        <v>7043</v>
      </c>
      <c r="Q99" s="421" t="s">
        <v>76</v>
      </c>
      <c r="R99" s="422" t="s">
        <v>76</v>
      </c>
    </row>
    <row r="100" spans="1:18">
      <c r="A100" s="420" t="s">
        <v>7200</v>
      </c>
      <c r="B100" s="421" t="s">
        <v>6383</v>
      </c>
      <c r="C100" s="421" t="s">
        <v>7201</v>
      </c>
      <c r="D100" s="421" t="s">
        <v>7209</v>
      </c>
      <c r="E100" s="421" t="s">
        <v>76</v>
      </c>
      <c r="F100" s="421" t="s">
        <v>76</v>
      </c>
      <c r="G100" s="421" t="s">
        <v>76</v>
      </c>
      <c r="H100" s="421" t="s">
        <v>7044</v>
      </c>
      <c r="I100" s="421" t="s">
        <v>76</v>
      </c>
      <c r="J100" s="421" t="s">
        <v>76</v>
      </c>
      <c r="K100" s="421" t="s">
        <v>76</v>
      </c>
      <c r="L100" s="421" t="s">
        <v>76</v>
      </c>
      <c r="M100" s="421" t="s">
        <v>76</v>
      </c>
      <c r="N100" s="421" t="s">
        <v>76</v>
      </c>
      <c r="O100" s="421" t="s">
        <v>76</v>
      </c>
      <c r="P100" s="421" t="s">
        <v>7043</v>
      </c>
      <c r="Q100" s="421" t="s">
        <v>76</v>
      </c>
      <c r="R100" s="422" t="s">
        <v>76</v>
      </c>
    </row>
    <row r="101" spans="1:18">
      <c r="A101" s="420" t="s">
        <v>7200</v>
      </c>
      <c r="B101" s="421" t="s">
        <v>6383</v>
      </c>
      <c r="C101" s="421" t="s">
        <v>7201</v>
      </c>
      <c r="D101" s="421" t="s">
        <v>7210</v>
      </c>
      <c r="E101" s="421" t="s">
        <v>76</v>
      </c>
      <c r="F101" s="421" t="s">
        <v>76</v>
      </c>
      <c r="G101" s="421" t="s">
        <v>76</v>
      </c>
      <c r="H101" s="421" t="s">
        <v>7044</v>
      </c>
      <c r="I101" s="421" t="s">
        <v>76</v>
      </c>
      <c r="J101" s="421" t="s">
        <v>76</v>
      </c>
      <c r="K101" s="421" t="s">
        <v>76</v>
      </c>
      <c r="L101" s="421" t="s">
        <v>76</v>
      </c>
      <c r="M101" s="421" t="s">
        <v>76</v>
      </c>
      <c r="N101" s="421" t="s">
        <v>76</v>
      </c>
      <c r="O101" s="421" t="s">
        <v>76</v>
      </c>
      <c r="P101" s="421" t="s">
        <v>7043</v>
      </c>
      <c r="Q101" s="421" t="s">
        <v>76</v>
      </c>
      <c r="R101" s="422" t="s">
        <v>76</v>
      </c>
    </row>
    <row r="102" spans="1:18">
      <c r="A102" s="420" t="s">
        <v>7200</v>
      </c>
      <c r="B102" s="421" t="s">
        <v>6383</v>
      </c>
      <c r="C102" s="421" t="s">
        <v>7201</v>
      </c>
      <c r="D102" s="421" t="s">
        <v>7211</v>
      </c>
      <c r="E102" s="421" t="s">
        <v>76</v>
      </c>
      <c r="F102" s="421" t="s">
        <v>76</v>
      </c>
      <c r="G102" s="421" t="s">
        <v>76</v>
      </c>
      <c r="H102" s="421" t="s">
        <v>7044</v>
      </c>
      <c r="I102" s="421" t="s">
        <v>76</v>
      </c>
      <c r="J102" s="421" t="s">
        <v>76</v>
      </c>
      <c r="K102" s="421" t="s">
        <v>76</v>
      </c>
      <c r="L102" s="421" t="s">
        <v>76</v>
      </c>
      <c r="M102" s="421" t="s">
        <v>76</v>
      </c>
      <c r="N102" s="421" t="s">
        <v>76</v>
      </c>
      <c r="O102" s="421" t="s">
        <v>76</v>
      </c>
      <c r="P102" s="421" t="s">
        <v>7043</v>
      </c>
      <c r="Q102" s="421" t="s">
        <v>76</v>
      </c>
      <c r="R102" s="422" t="s">
        <v>76</v>
      </c>
    </row>
    <row r="103" spans="1:18">
      <c r="A103" s="420" t="s">
        <v>7200</v>
      </c>
      <c r="B103" s="421" t="s">
        <v>6383</v>
      </c>
      <c r="C103" s="421" t="s">
        <v>7201</v>
      </c>
      <c r="D103" s="421" t="s">
        <v>7212</v>
      </c>
      <c r="E103" s="421" t="s">
        <v>76</v>
      </c>
      <c r="F103" s="421" t="s">
        <v>76</v>
      </c>
      <c r="G103" s="421" t="s">
        <v>76</v>
      </c>
      <c r="H103" s="421" t="s">
        <v>7044</v>
      </c>
      <c r="I103" s="421" t="s">
        <v>76</v>
      </c>
      <c r="J103" s="421" t="s">
        <v>76</v>
      </c>
      <c r="K103" s="421" t="s">
        <v>76</v>
      </c>
      <c r="L103" s="421" t="s">
        <v>76</v>
      </c>
      <c r="M103" s="421" t="s">
        <v>76</v>
      </c>
      <c r="N103" s="421" t="s">
        <v>76</v>
      </c>
      <c r="O103" s="421" t="s">
        <v>76</v>
      </c>
      <c r="P103" s="421" t="s">
        <v>7043</v>
      </c>
      <c r="Q103" s="421" t="s">
        <v>76</v>
      </c>
      <c r="R103" s="422" t="s">
        <v>76</v>
      </c>
    </row>
    <row r="104" spans="1:18">
      <c r="A104" s="420" t="s">
        <v>7200</v>
      </c>
      <c r="B104" s="421" t="s">
        <v>6383</v>
      </c>
      <c r="C104" s="421" t="s">
        <v>7201</v>
      </c>
      <c r="D104" s="421" t="s">
        <v>7213</v>
      </c>
      <c r="E104" s="421" t="s">
        <v>76</v>
      </c>
      <c r="F104" s="421" t="s">
        <v>76</v>
      </c>
      <c r="G104" s="421" t="s">
        <v>76</v>
      </c>
      <c r="H104" s="421" t="s">
        <v>7044</v>
      </c>
      <c r="I104" s="421" t="s">
        <v>76</v>
      </c>
      <c r="J104" s="421" t="s">
        <v>76</v>
      </c>
      <c r="K104" s="421" t="s">
        <v>76</v>
      </c>
      <c r="L104" s="421" t="s">
        <v>76</v>
      </c>
      <c r="M104" s="421" t="s">
        <v>76</v>
      </c>
      <c r="N104" s="421" t="s">
        <v>76</v>
      </c>
      <c r="O104" s="421" t="s">
        <v>76</v>
      </c>
      <c r="P104" s="421" t="s">
        <v>7043</v>
      </c>
      <c r="Q104" s="421" t="s">
        <v>76</v>
      </c>
      <c r="R104" s="422" t="s">
        <v>76</v>
      </c>
    </row>
    <row r="105" spans="1:18">
      <c r="A105" s="420" t="s">
        <v>7200</v>
      </c>
      <c r="B105" s="421" t="s">
        <v>6383</v>
      </c>
      <c r="C105" s="421" t="s">
        <v>7201</v>
      </c>
      <c r="D105" s="421" t="s">
        <v>7214</v>
      </c>
      <c r="E105" s="421" t="s">
        <v>76</v>
      </c>
      <c r="F105" s="421" t="s">
        <v>76</v>
      </c>
      <c r="G105" s="421" t="s">
        <v>76</v>
      </c>
      <c r="H105" s="421" t="s">
        <v>7044</v>
      </c>
      <c r="I105" s="421" t="s">
        <v>76</v>
      </c>
      <c r="J105" s="421" t="s">
        <v>76</v>
      </c>
      <c r="K105" s="421" t="s">
        <v>76</v>
      </c>
      <c r="L105" s="421" t="s">
        <v>76</v>
      </c>
      <c r="M105" s="421" t="s">
        <v>76</v>
      </c>
      <c r="N105" s="421" t="s">
        <v>76</v>
      </c>
      <c r="O105" s="421" t="s">
        <v>76</v>
      </c>
      <c r="P105" s="421" t="s">
        <v>7043</v>
      </c>
      <c r="Q105" s="421" t="s">
        <v>76</v>
      </c>
      <c r="R105" s="422" t="s">
        <v>76</v>
      </c>
    </row>
    <row r="106" spans="1:18">
      <c r="A106" s="420" t="s">
        <v>7200</v>
      </c>
      <c r="B106" s="421" t="s">
        <v>6383</v>
      </c>
      <c r="C106" s="421" t="s">
        <v>7201</v>
      </c>
      <c r="D106" s="421" t="s">
        <v>7215</v>
      </c>
      <c r="E106" s="421" t="s">
        <v>76</v>
      </c>
      <c r="F106" s="421" t="s">
        <v>76</v>
      </c>
      <c r="G106" s="421" t="s">
        <v>76</v>
      </c>
      <c r="H106" s="421" t="s">
        <v>7044</v>
      </c>
      <c r="I106" s="421" t="s">
        <v>76</v>
      </c>
      <c r="J106" s="421" t="s">
        <v>76</v>
      </c>
      <c r="K106" s="421" t="s">
        <v>76</v>
      </c>
      <c r="L106" s="421" t="s">
        <v>76</v>
      </c>
      <c r="M106" s="421" t="s">
        <v>76</v>
      </c>
      <c r="N106" s="421" t="s">
        <v>76</v>
      </c>
      <c r="O106" s="421" t="s">
        <v>76</v>
      </c>
      <c r="P106" s="421" t="s">
        <v>7043</v>
      </c>
      <c r="Q106" s="421" t="s">
        <v>76</v>
      </c>
      <c r="R106" s="422" t="s">
        <v>76</v>
      </c>
    </row>
    <row r="107" spans="1:18">
      <c r="A107" s="420" t="s">
        <v>7200</v>
      </c>
      <c r="B107" s="421" t="s">
        <v>6383</v>
      </c>
      <c r="C107" s="421" t="s">
        <v>7201</v>
      </c>
      <c r="D107" s="421" t="s">
        <v>7216</v>
      </c>
      <c r="E107" s="421" t="s">
        <v>76</v>
      </c>
      <c r="F107" s="421" t="s">
        <v>76</v>
      </c>
      <c r="G107" s="421" t="s">
        <v>76</v>
      </c>
      <c r="H107" s="421" t="s">
        <v>7044</v>
      </c>
      <c r="I107" s="421" t="s">
        <v>76</v>
      </c>
      <c r="J107" s="421" t="s">
        <v>76</v>
      </c>
      <c r="K107" s="421" t="s">
        <v>76</v>
      </c>
      <c r="L107" s="421" t="s">
        <v>76</v>
      </c>
      <c r="M107" s="421" t="s">
        <v>76</v>
      </c>
      <c r="N107" s="421" t="s">
        <v>76</v>
      </c>
      <c r="O107" s="421" t="s">
        <v>76</v>
      </c>
      <c r="P107" s="421" t="s">
        <v>7043</v>
      </c>
      <c r="Q107" s="421" t="s">
        <v>76</v>
      </c>
      <c r="R107" s="422" t="s">
        <v>76</v>
      </c>
    </row>
    <row r="108" spans="1:18">
      <c r="A108" s="420" t="s">
        <v>7217</v>
      </c>
      <c r="B108" s="421" t="s">
        <v>6391</v>
      </c>
      <c r="C108" s="421" t="s">
        <v>7218</v>
      </c>
      <c r="D108" s="421" t="s">
        <v>7219</v>
      </c>
      <c r="E108" s="421" t="s">
        <v>76</v>
      </c>
      <c r="F108" s="421" t="s">
        <v>76</v>
      </c>
      <c r="G108" s="421" t="s">
        <v>76</v>
      </c>
      <c r="H108" s="421" t="s">
        <v>76</v>
      </c>
      <c r="I108" s="421" t="s">
        <v>76</v>
      </c>
      <c r="J108" s="421" t="s">
        <v>76</v>
      </c>
      <c r="K108" s="421" t="s">
        <v>76</v>
      </c>
      <c r="L108" s="421" t="s">
        <v>76</v>
      </c>
      <c r="M108" s="421" t="s">
        <v>76</v>
      </c>
      <c r="N108" s="421" t="s">
        <v>7043</v>
      </c>
      <c r="O108" s="421" t="s">
        <v>76</v>
      </c>
      <c r="P108" s="421" t="s">
        <v>76</v>
      </c>
      <c r="Q108" s="421" t="s">
        <v>76</v>
      </c>
      <c r="R108" s="422" t="s">
        <v>76</v>
      </c>
    </row>
    <row r="109" spans="1:18">
      <c r="A109" s="420" t="s">
        <v>7217</v>
      </c>
      <c r="B109" s="421" t="s">
        <v>6391</v>
      </c>
      <c r="C109" s="421" t="s">
        <v>7218</v>
      </c>
      <c r="D109" s="421" t="s">
        <v>7220</v>
      </c>
      <c r="E109" s="421" t="s">
        <v>76</v>
      </c>
      <c r="F109" s="421" t="s">
        <v>76</v>
      </c>
      <c r="G109" s="421" t="s">
        <v>76</v>
      </c>
      <c r="H109" s="421" t="s">
        <v>76</v>
      </c>
      <c r="I109" s="421" t="s">
        <v>76</v>
      </c>
      <c r="J109" s="421" t="s">
        <v>76</v>
      </c>
      <c r="K109" s="421" t="s">
        <v>76</v>
      </c>
      <c r="L109" s="421" t="s">
        <v>76</v>
      </c>
      <c r="M109" s="421" t="s">
        <v>76</v>
      </c>
      <c r="N109" s="421" t="s">
        <v>7043</v>
      </c>
      <c r="O109" s="421" t="s">
        <v>76</v>
      </c>
      <c r="P109" s="421" t="s">
        <v>76</v>
      </c>
      <c r="Q109" s="421" t="s">
        <v>76</v>
      </c>
      <c r="R109" s="422" t="s">
        <v>76</v>
      </c>
    </row>
    <row r="110" spans="1:18">
      <c r="A110" s="420" t="s">
        <v>7217</v>
      </c>
      <c r="B110" s="421" t="s">
        <v>6391</v>
      </c>
      <c r="C110" s="421" t="s">
        <v>7218</v>
      </c>
      <c r="D110" s="421" t="s">
        <v>7221</v>
      </c>
      <c r="E110" s="421" t="s">
        <v>76</v>
      </c>
      <c r="F110" s="421" t="s">
        <v>76</v>
      </c>
      <c r="G110" s="421" t="s">
        <v>76</v>
      </c>
      <c r="H110" s="421" t="s">
        <v>76</v>
      </c>
      <c r="I110" s="421" t="s">
        <v>76</v>
      </c>
      <c r="J110" s="421" t="s">
        <v>76</v>
      </c>
      <c r="K110" s="421" t="s">
        <v>76</v>
      </c>
      <c r="L110" s="421" t="s">
        <v>76</v>
      </c>
      <c r="M110" s="421" t="s">
        <v>76</v>
      </c>
      <c r="N110" s="421" t="s">
        <v>7043</v>
      </c>
      <c r="O110" s="421" t="s">
        <v>76</v>
      </c>
      <c r="P110" s="421" t="s">
        <v>76</v>
      </c>
      <c r="Q110" s="421" t="s">
        <v>76</v>
      </c>
      <c r="R110" s="422" t="s">
        <v>76</v>
      </c>
    </row>
    <row r="111" spans="1:18">
      <c r="A111" s="420" t="s">
        <v>7217</v>
      </c>
      <c r="B111" s="421" t="s">
        <v>6391</v>
      </c>
      <c r="C111" s="421" t="s">
        <v>7218</v>
      </c>
      <c r="D111" s="421" t="s">
        <v>7222</v>
      </c>
      <c r="E111" s="421" t="s">
        <v>76</v>
      </c>
      <c r="F111" s="421" t="s">
        <v>76</v>
      </c>
      <c r="G111" s="421" t="s">
        <v>76</v>
      </c>
      <c r="H111" s="421" t="s">
        <v>76</v>
      </c>
      <c r="I111" s="421" t="s">
        <v>76</v>
      </c>
      <c r="J111" s="421" t="s">
        <v>76</v>
      </c>
      <c r="K111" s="421" t="s">
        <v>76</v>
      </c>
      <c r="L111" s="421" t="s">
        <v>76</v>
      </c>
      <c r="M111" s="421" t="s">
        <v>76</v>
      </c>
      <c r="N111" s="421" t="s">
        <v>7043</v>
      </c>
      <c r="O111" s="421" t="s">
        <v>76</v>
      </c>
      <c r="P111" s="421" t="s">
        <v>76</v>
      </c>
      <c r="Q111" s="421" t="s">
        <v>76</v>
      </c>
      <c r="R111" s="422" t="s">
        <v>76</v>
      </c>
    </row>
    <row r="112" spans="1:18">
      <c r="A112" s="420" t="s">
        <v>7217</v>
      </c>
      <c r="B112" s="421" t="s">
        <v>6391</v>
      </c>
      <c r="C112" s="421" t="s">
        <v>7218</v>
      </c>
      <c r="D112" s="421" t="s">
        <v>7223</v>
      </c>
      <c r="E112" s="421" t="s">
        <v>76</v>
      </c>
      <c r="F112" s="421" t="s">
        <v>76</v>
      </c>
      <c r="G112" s="421" t="s">
        <v>76</v>
      </c>
      <c r="H112" s="421" t="s">
        <v>76</v>
      </c>
      <c r="I112" s="421" t="s">
        <v>76</v>
      </c>
      <c r="J112" s="421" t="s">
        <v>76</v>
      </c>
      <c r="K112" s="421" t="s">
        <v>76</v>
      </c>
      <c r="L112" s="421" t="s">
        <v>76</v>
      </c>
      <c r="M112" s="421" t="s">
        <v>76</v>
      </c>
      <c r="N112" s="421" t="s">
        <v>7043</v>
      </c>
      <c r="O112" s="421" t="s">
        <v>76</v>
      </c>
      <c r="P112" s="421" t="s">
        <v>76</v>
      </c>
      <c r="Q112" s="421" t="s">
        <v>76</v>
      </c>
      <c r="R112" s="422" t="s">
        <v>76</v>
      </c>
    </row>
    <row r="113" spans="1:18">
      <c r="A113" s="420" t="s">
        <v>7217</v>
      </c>
      <c r="B113" s="421" t="s">
        <v>6391</v>
      </c>
      <c r="C113" s="421" t="s">
        <v>7218</v>
      </c>
      <c r="D113" s="421" t="s">
        <v>7224</v>
      </c>
      <c r="E113" s="421" t="s">
        <v>76</v>
      </c>
      <c r="F113" s="421" t="s">
        <v>76</v>
      </c>
      <c r="G113" s="421" t="s">
        <v>76</v>
      </c>
      <c r="H113" s="421" t="s">
        <v>76</v>
      </c>
      <c r="I113" s="421" t="s">
        <v>76</v>
      </c>
      <c r="J113" s="421" t="s">
        <v>76</v>
      </c>
      <c r="K113" s="421" t="s">
        <v>76</v>
      </c>
      <c r="L113" s="421" t="s">
        <v>76</v>
      </c>
      <c r="M113" s="421" t="s">
        <v>76</v>
      </c>
      <c r="N113" s="421" t="s">
        <v>7043</v>
      </c>
      <c r="O113" s="421" t="s">
        <v>76</v>
      </c>
      <c r="P113" s="421" t="s">
        <v>76</v>
      </c>
      <c r="Q113" s="421" t="s">
        <v>76</v>
      </c>
      <c r="R113" s="422" t="s">
        <v>76</v>
      </c>
    </row>
    <row r="114" spans="1:18">
      <c r="A114" s="420" t="s">
        <v>7217</v>
      </c>
      <c r="B114" s="421" t="s">
        <v>6391</v>
      </c>
      <c r="C114" s="421" t="s">
        <v>7218</v>
      </c>
      <c r="D114" s="421" t="s">
        <v>7225</v>
      </c>
      <c r="E114" s="421" t="s">
        <v>76</v>
      </c>
      <c r="F114" s="421" t="s">
        <v>76</v>
      </c>
      <c r="G114" s="421" t="s">
        <v>76</v>
      </c>
      <c r="H114" s="421" t="s">
        <v>76</v>
      </c>
      <c r="I114" s="421" t="s">
        <v>76</v>
      </c>
      <c r="J114" s="421" t="s">
        <v>76</v>
      </c>
      <c r="K114" s="421" t="s">
        <v>76</v>
      </c>
      <c r="L114" s="421" t="s">
        <v>76</v>
      </c>
      <c r="M114" s="421" t="s">
        <v>76</v>
      </c>
      <c r="N114" s="421" t="s">
        <v>7043</v>
      </c>
      <c r="O114" s="421" t="s">
        <v>76</v>
      </c>
      <c r="P114" s="421" t="s">
        <v>76</v>
      </c>
      <c r="Q114" s="421" t="s">
        <v>76</v>
      </c>
      <c r="R114" s="422" t="s">
        <v>76</v>
      </c>
    </row>
    <row r="115" spans="1:18">
      <c r="A115" s="420" t="s">
        <v>7217</v>
      </c>
      <c r="B115" s="421" t="s">
        <v>6391</v>
      </c>
      <c r="C115" s="421" t="s">
        <v>7218</v>
      </c>
      <c r="D115" s="421" t="s">
        <v>7226</v>
      </c>
      <c r="E115" s="421" t="s">
        <v>76</v>
      </c>
      <c r="F115" s="421" t="s">
        <v>76</v>
      </c>
      <c r="G115" s="421" t="s">
        <v>76</v>
      </c>
      <c r="H115" s="421" t="s">
        <v>76</v>
      </c>
      <c r="I115" s="421" t="s">
        <v>76</v>
      </c>
      <c r="J115" s="421" t="s">
        <v>76</v>
      </c>
      <c r="K115" s="421" t="s">
        <v>76</v>
      </c>
      <c r="L115" s="421" t="s">
        <v>76</v>
      </c>
      <c r="M115" s="421" t="s">
        <v>76</v>
      </c>
      <c r="N115" s="421" t="s">
        <v>7043</v>
      </c>
      <c r="O115" s="421" t="s">
        <v>76</v>
      </c>
      <c r="P115" s="421" t="s">
        <v>76</v>
      </c>
      <c r="Q115" s="421" t="s">
        <v>76</v>
      </c>
      <c r="R115" s="422" t="s">
        <v>76</v>
      </c>
    </row>
    <row r="116" spans="1:18">
      <c r="A116" s="420" t="s">
        <v>7217</v>
      </c>
      <c r="B116" s="421" t="s">
        <v>6391</v>
      </c>
      <c r="C116" s="421" t="s">
        <v>7218</v>
      </c>
      <c r="D116" s="421" t="s">
        <v>7227</v>
      </c>
      <c r="E116" s="421" t="s">
        <v>76</v>
      </c>
      <c r="F116" s="421" t="s">
        <v>76</v>
      </c>
      <c r="G116" s="421" t="s">
        <v>76</v>
      </c>
      <c r="H116" s="421" t="s">
        <v>76</v>
      </c>
      <c r="I116" s="421" t="s">
        <v>76</v>
      </c>
      <c r="J116" s="421" t="s">
        <v>76</v>
      </c>
      <c r="K116" s="421" t="s">
        <v>76</v>
      </c>
      <c r="L116" s="421" t="s">
        <v>76</v>
      </c>
      <c r="M116" s="421" t="s">
        <v>76</v>
      </c>
      <c r="N116" s="421" t="s">
        <v>7043</v>
      </c>
      <c r="O116" s="421" t="s">
        <v>76</v>
      </c>
      <c r="P116" s="421" t="s">
        <v>76</v>
      </c>
      <c r="Q116" s="421" t="s">
        <v>76</v>
      </c>
      <c r="R116" s="422" t="s">
        <v>76</v>
      </c>
    </row>
    <row r="117" spans="1:18">
      <c r="A117" s="420" t="s">
        <v>7217</v>
      </c>
      <c r="B117" s="421" t="s">
        <v>6391</v>
      </c>
      <c r="C117" s="421" t="s">
        <v>7218</v>
      </c>
      <c r="D117" s="421" t="s">
        <v>7228</v>
      </c>
      <c r="E117" s="421" t="s">
        <v>76</v>
      </c>
      <c r="F117" s="421" t="s">
        <v>76</v>
      </c>
      <c r="G117" s="421" t="s">
        <v>76</v>
      </c>
      <c r="H117" s="421" t="s">
        <v>76</v>
      </c>
      <c r="I117" s="421" t="s">
        <v>76</v>
      </c>
      <c r="J117" s="421" t="s">
        <v>76</v>
      </c>
      <c r="K117" s="421" t="s">
        <v>76</v>
      </c>
      <c r="L117" s="421" t="s">
        <v>76</v>
      </c>
      <c r="M117" s="421" t="s">
        <v>76</v>
      </c>
      <c r="N117" s="421" t="s">
        <v>7043</v>
      </c>
      <c r="O117" s="421" t="s">
        <v>76</v>
      </c>
      <c r="P117" s="421" t="s">
        <v>76</v>
      </c>
      <c r="Q117" s="421" t="s">
        <v>76</v>
      </c>
      <c r="R117" s="422" t="s">
        <v>76</v>
      </c>
    </row>
    <row r="118" spans="1:18">
      <c r="A118" s="420" t="s">
        <v>7217</v>
      </c>
      <c r="B118" s="421" t="s">
        <v>6391</v>
      </c>
      <c r="C118" s="421" t="s">
        <v>7218</v>
      </c>
      <c r="D118" s="421" t="s">
        <v>7229</v>
      </c>
      <c r="E118" s="421" t="s">
        <v>76</v>
      </c>
      <c r="F118" s="421" t="s">
        <v>76</v>
      </c>
      <c r="G118" s="421" t="s">
        <v>76</v>
      </c>
      <c r="H118" s="421" t="s">
        <v>76</v>
      </c>
      <c r="I118" s="421" t="s">
        <v>76</v>
      </c>
      <c r="J118" s="421" t="s">
        <v>76</v>
      </c>
      <c r="K118" s="421" t="s">
        <v>76</v>
      </c>
      <c r="L118" s="421" t="s">
        <v>76</v>
      </c>
      <c r="M118" s="421" t="s">
        <v>76</v>
      </c>
      <c r="N118" s="421" t="s">
        <v>7043</v>
      </c>
      <c r="O118" s="421" t="s">
        <v>76</v>
      </c>
      <c r="P118" s="421" t="s">
        <v>76</v>
      </c>
      <c r="Q118" s="421" t="s">
        <v>76</v>
      </c>
      <c r="R118" s="422" t="s">
        <v>76</v>
      </c>
    </row>
    <row r="119" spans="1:18">
      <c r="A119" s="420" t="s">
        <v>7217</v>
      </c>
      <c r="B119" s="421" t="s">
        <v>6391</v>
      </c>
      <c r="C119" s="421" t="s">
        <v>7218</v>
      </c>
      <c r="D119" s="421" t="s">
        <v>7230</v>
      </c>
      <c r="E119" s="421" t="s">
        <v>76</v>
      </c>
      <c r="F119" s="421" t="s">
        <v>76</v>
      </c>
      <c r="G119" s="421" t="s">
        <v>76</v>
      </c>
      <c r="H119" s="421" t="s">
        <v>76</v>
      </c>
      <c r="I119" s="421" t="s">
        <v>76</v>
      </c>
      <c r="J119" s="421" t="s">
        <v>76</v>
      </c>
      <c r="K119" s="421" t="s">
        <v>76</v>
      </c>
      <c r="L119" s="421" t="s">
        <v>76</v>
      </c>
      <c r="M119" s="421" t="s">
        <v>76</v>
      </c>
      <c r="N119" s="421" t="s">
        <v>7043</v>
      </c>
      <c r="O119" s="421" t="s">
        <v>76</v>
      </c>
      <c r="P119" s="421" t="s">
        <v>76</v>
      </c>
      <c r="Q119" s="421" t="s">
        <v>76</v>
      </c>
      <c r="R119" s="422" t="s">
        <v>76</v>
      </c>
    </row>
    <row r="120" spans="1:18">
      <c r="A120" s="420" t="s">
        <v>7217</v>
      </c>
      <c r="B120" s="421" t="s">
        <v>6391</v>
      </c>
      <c r="C120" s="421" t="s">
        <v>7218</v>
      </c>
      <c r="D120" s="421" t="s">
        <v>7231</v>
      </c>
      <c r="E120" s="421" t="s">
        <v>76</v>
      </c>
      <c r="F120" s="421" t="s">
        <v>76</v>
      </c>
      <c r="G120" s="421" t="s">
        <v>76</v>
      </c>
      <c r="H120" s="421" t="s">
        <v>76</v>
      </c>
      <c r="I120" s="421" t="s">
        <v>76</v>
      </c>
      <c r="J120" s="421" t="s">
        <v>76</v>
      </c>
      <c r="K120" s="421" t="s">
        <v>76</v>
      </c>
      <c r="L120" s="421" t="s">
        <v>76</v>
      </c>
      <c r="M120" s="421" t="s">
        <v>76</v>
      </c>
      <c r="N120" s="421" t="s">
        <v>7043</v>
      </c>
      <c r="O120" s="421" t="s">
        <v>76</v>
      </c>
      <c r="P120" s="421" t="s">
        <v>76</v>
      </c>
      <c r="Q120" s="421" t="s">
        <v>76</v>
      </c>
      <c r="R120" s="422" t="s">
        <v>76</v>
      </c>
    </row>
    <row r="121" spans="1:18">
      <c r="A121" s="420" t="s">
        <v>7217</v>
      </c>
      <c r="B121" s="421" t="s">
        <v>6391</v>
      </c>
      <c r="C121" s="421" t="s">
        <v>7218</v>
      </c>
      <c r="D121" s="421" t="s">
        <v>7232</v>
      </c>
      <c r="E121" s="421" t="s">
        <v>76</v>
      </c>
      <c r="F121" s="421" t="s">
        <v>76</v>
      </c>
      <c r="G121" s="421" t="s">
        <v>76</v>
      </c>
      <c r="H121" s="421" t="s">
        <v>76</v>
      </c>
      <c r="I121" s="421" t="s">
        <v>76</v>
      </c>
      <c r="J121" s="421" t="s">
        <v>76</v>
      </c>
      <c r="K121" s="421" t="s">
        <v>76</v>
      </c>
      <c r="L121" s="421" t="s">
        <v>76</v>
      </c>
      <c r="M121" s="421" t="s">
        <v>76</v>
      </c>
      <c r="N121" s="421" t="s">
        <v>7043</v>
      </c>
      <c r="O121" s="421" t="s">
        <v>76</v>
      </c>
      <c r="P121" s="421" t="s">
        <v>76</v>
      </c>
      <c r="Q121" s="421" t="s">
        <v>76</v>
      </c>
      <c r="R121" s="422" t="s">
        <v>76</v>
      </c>
    </row>
    <row r="122" spans="1:18">
      <c r="A122" s="420" t="s">
        <v>7217</v>
      </c>
      <c r="B122" s="421" t="s">
        <v>6391</v>
      </c>
      <c r="C122" s="421" t="s">
        <v>7218</v>
      </c>
      <c r="D122" s="421" t="s">
        <v>7233</v>
      </c>
      <c r="E122" s="421" t="s">
        <v>76</v>
      </c>
      <c r="F122" s="421" t="s">
        <v>76</v>
      </c>
      <c r="G122" s="421" t="s">
        <v>76</v>
      </c>
      <c r="H122" s="421" t="s">
        <v>76</v>
      </c>
      <c r="I122" s="421" t="s">
        <v>76</v>
      </c>
      <c r="J122" s="421" t="s">
        <v>76</v>
      </c>
      <c r="K122" s="421" t="s">
        <v>76</v>
      </c>
      <c r="L122" s="421" t="s">
        <v>76</v>
      </c>
      <c r="M122" s="421" t="s">
        <v>76</v>
      </c>
      <c r="N122" s="421" t="s">
        <v>7043</v>
      </c>
      <c r="O122" s="421" t="s">
        <v>76</v>
      </c>
      <c r="P122" s="421" t="s">
        <v>76</v>
      </c>
      <c r="Q122" s="421" t="s">
        <v>76</v>
      </c>
      <c r="R122" s="422" t="s">
        <v>76</v>
      </c>
    </row>
    <row r="123" spans="1:18">
      <c r="A123" s="420" t="s">
        <v>7234</v>
      </c>
      <c r="B123" s="421" t="s">
        <v>6399</v>
      </c>
      <c r="C123" s="421" t="s">
        <v>7235</v>
      </c>
      <c r="D123" s="421" t="s">
        <v>7236</v>
      </c>
      <c r="E123" s="421" t="s">
        <v>76</v>
      </c>
      <c r="F123" s="421" t="s">
        <v>76</v>
      </c>
      <c r="G123" s="421" t="s">
        <v>76</v>
      </c>
      <c r="H123" s="421" t="s">
        <v>76</v>
      </c>
      <c r="I123" s="421" t="s">
        <v>76</v>
      </c>
      <c r="J123" s="421" t="s">
        <v>76</v>
      </c>
      <c r="K123" s="421" t="s">
        <v>76</v>
      </c>
      <c r="L123" s="421" t="s">
        <v>76</v>
      </c>
      <c r="M123" s="421" t="s">
        <v>76</v>
      </c>
      <c r="N123" s="421" t="s">
        <v>7043</v>
      </c>
      <c r="O123" s="421" t="s">
        <v>76</v>
      </c>
      <c r="P123" s="421" t="s">
        <v>76</v>
      </c>
      <c r="Q123" s="421" t="s">
        <v>76</v>
      </c>
      <c r="R123" s="422" t="s">
        <v>76</v>
      </c>
    </row>
    <row r="124" spans="1:18">
      <c r="A124" s="420" t="s">
        <v>7234</v>
      </c>
      <c r="B124" s="421" t="s">
        <v>6399</v>
      </c>
      <c r="C124" s="421" t="s">
        <v>7235</v>
      </c>
      <c r="D124" s="421" t="s">
        <v>7237</v>
      </c>
      <c r="E124" s="421" t="s">
        <v>76</v>
      </c>
      <c r="F124" s="421" t="s">
        <v>76</v>
      </c>
      <c r="G124" s="421" t="s">
        <v>76</v>
      </c>
      <c r="H124" s="421" t="s">
        <v>76</v>
      </c>
      <c r="I124" s="421" t="s">
        <v>76</v>
      </c>
      <c r="J124" s="421" t="s">
        <v>76</v>
      </c>
      <c r="K124" s="421" t="s">
        <v>76</v>
      </c>
      <c r="L124" s="421" t="s">
        <v>76</v>
      </c>
      <c r="M124" s="421" t="s">
        <v>76</v>
      </c>
      <c r="N124" s="421" t="s">
        <v>7043</v>
      </c>
      <c r="O124" s="421" t="s">
        <v>76</v>
      </c>
      <c r="P124" s="421" t="s">
        <v>76</v>
      </c>
      <c r="Q124" s="421" t="s">
        <v>76</v>
      </c>
      <c r="R124" s="422" t="s">
        <v>76</v>
      </c>
    </row>
    <row r="125" spans="1:18">
      <c r="A125" s="420" t="s">
        <v>7234</v>
      </c>
      <c r="B125" s="421" t="s">
        <v>6399</v>
      </c>
      <c r="C125" s="421" t="s">
        <v>7235</v>
      </c>
      <c r="D125" s="421" t="s">
        <v>7238</v>
      </c>
      <c r="E125" s="421" t="s">
        <v>76</v>
      </c>
      <c r="F125" s="421" t="s">
        <v>76</v>
      </c>
      <c r="G125" s="421" t="s">
        <v>76</v>
      </c>
      <c r="H125" s="421" t="s">
        <v>76</v>
      </c>
      <c r="I125" s="421" t="s">
        <v>76</v>
      </c>
      <c r="J125" s="421" t="s">
        <v>76</v>
      </c>
      <c r="K125" s="421" t="s">
        <v>76</v>
      </c>
      <c r="L125" s="421" t="s">
        <v>76</v>
      </c>
      <c r="M125" s="421" t="s">
        <v>76</v>
      </c>
      <c r="N125" s="421" t="s">
        <v>7043</v>
      </c>
      <c r="O125" s="421" t="s">
        <v>76</v>
      </c>
      <c r="P125" s="421" t="s">
        <v>76</v>
      </c>
      <c r="Q125" s="421" t="s">
        <v>76</v>
      </c>
      <c r="R125" s="422" t="s">
        <v>76</v>
      </c>
    </row>
    <row r="126" spans="1:18">
      <c r="A126" s="420" t="s">
        <v>7234</v>
      </c>
      <c r="B126" s="421" t="s">
        <v>6399</v>
      </c>
      <c r="C126" s="421" t="s">
        <v>7235</v>
      </c>
      <c r="D126" s="421" t="s">
        <v>7239</v>
      </c>
      <c r="E126" s="421" t="s">
        <v>76</v>
      </c>
      <c r="F126" s="421" t="s">
        <v>76</v>
      </c>
      <c r="G126" s="421" t="s">
        <v>76</v>
      </c>
      <c r="H126" s="421" t="s">
        <v>76</v>
      </c>
      <c r="I126" s="421" t="s">
        <v>76</v>
      </c>
      <c r="J126" s="421" t="s">
        <v>76</v>
      </c>
      <c r="K126" s="421" t="s">
        <v>76</v>
      </c>
      <c r="L126" s="421" t="s">
        <v>76</v>
      </c>
      <c r="M126" s="421" t="s">
        <v>76</v>
      </c>
      <c r="N126" s="421" t="s">
        <v>7043</v>
      </c>
      <c r="O126" s="421" t="s">
        <v>76</v>
      </c>
      <c r="P126" s="421" t="s">
        <v>76</v>
      </c>
      <c r="Q126" s="421" t="s">
        <v>76</v>
      </c>
      <c r="R126" s="422" t="s">
        <v>76</v>
      </c>
    </row>
    <row r="127" spans="1:18">
      <c r="A127" s="420" t="s">
        <v>7234</v>
      </c>
      <c r="B127" s="421" t="s">
        <v>6399</v>
      </c>
      <c r="C127" s="421" t="s">
        <v>7235</v>
      </c>
      <c r="D127" s="421" t="s">
        <v>7240</v>
      </c>
      <c r="E127" s="421" t="s">
        <v>76</v>
      </c>
      <c r="F127" s="421" t="s">
        <v>76</v>
      </c>
      <c r="G127" s="421" t="s">
        <v>76</v>
      </c>
      <c r="H127" s="421" t="s">
        <v>76</v>
      </c>
      <c r="I127" s="421" t="s">
        <v>76</v>
      </c>
      <c r="J127" s="421" t="s">
        <v>76</v>
      </c>
      <c r="K127" s="421" t="s">
        <v>76</v>
      </c>
      <c r="L127" s="421" t="s">
        <v>76</v>
      </c>
      <c r="M127" s="421" t="s">
        <v>76</v>
      </c>
      <c r="N127" s="421" t="s">
        <v>7043</v>
      </c>
      <c r="O127" s="421" t="s">
        <v>76</v>
      </c>
      <c r="P127" s="421" t="s">
        <v>76</v>
      </c>
      <c r="Q127" s="421" t="s">
        <v>76</v>
      </c>
      <c r="R127" s="422" t="s">
        <v>76</v>
      </c>
    </row>
    <row r="128" spans="1:18">
      <c r="A128" s="420" t="s">
        <v>7234</v>
      </c>
      <c r="B128" s="421" t="s">
        <v>6399</v>
      </c>
      <c r="C128" s="421" t="s">
        <v>7235</v>
      </c>
      <c r="D128" s="421" t="s">
        <v>7241</v>
      </c>
      <c r="E128" s="421" t="s">
        <v>76</v>
      </c>
      <c r="F128" s="421" t="s">
        <v>76</v>
      </c>
      <c r="G128" s="421" t="s">
        <v>76</v>
      </c>
      <c r="H128" s="421" t="s">
        <v>76</v>
      </c>
      <c r="I128" s="421" t="s">
        <v>76</v>
      </c>
      <c r="J128" s="421" t="s">
        <v>76</v>
      </c>
      <c r="K128" s="421" t="s">
        <v>76</v>
      </c>
      <c r="L128" s="421" t="s">
        <v>76</v>
      </c>
      <c r="M128" s="421" t="s">
        <v>76</v>
      </c>
      <c r="N128" s="421" t="s">
        <v>7043</v>
      </c>
      <c r="O128" s="421" t="s">
        <v>76</v>
      </c>
      <c r="P128" s="421" t="s">
        <v>76</v>
      </c>
      <c r="Q128" s="421" t="s">
        <v>76</v>
      </c>
      <c r="R128" s="422" t="s">
        <v>76</v>
      </c>
    </row>
    <row r="129" spans="1:18">
      <c r="A129" s="420" t="s">
        <v>7234</v>
      </c>
      <c r="B129" s="421" t="s">
        <v>6399</v>
      </c>
      <c r="C129" s="421" t="s">
        <v>7235</v>
      </c>
      <c r="D129" s="421" t="s">
        <v>7242</v>
      </c>
      <c r="E129" s="421" t="s">
        <v>76</v>
      </c>
      <c r="F129" s="421" t="s">
        <v>76</v>
      </c>
      <c r="G129" s="421" t="s">
        <v>76</v>
      </c>
      <c r="H129" s="421" t="s">
        <v>76</v>
      </c>
      <c r="I129" s="421" t="s">
        <v>76</v>
      </c>
      <c r="J129" s="421" t="s">
        <v>76</v>
      </c>
      <c r="K129" s="421" t="s">
        <v>76</v>
      </c>
      <c r="L129" s="421" t="s">
        <v>76</v>
      </c>
      <c r="M129" s="421" t="s">
        <v>76</v>
      </c>
      <c r="N129" s="421" t="s">
        <v>7043</v>
      </c>
      <c r="O129" s="421" t="s">
        <v>76</v>
      </c>
      <c r="P129" s="421" t="s">
        <v>76</v>
      </c>
      <c r="Q129" s="421" t="s">
        <v>76</v>
      </c>
      <c r="R129" s="422" t="s">
        <v>76</v>
      </c>
    </row>
    <row r="130" spans="1:18">
      <c r="A130" s="420" t="s">
        <v>7234</v>
      </c>
      <c r="B130" s="421" t="s">
        <v>6399</v>
      </c>
      <c r="C130" s="421" t="s">
        <v>7235</v>
      </c>
      <c r="D130" s="421" t="s">
        <v>7243</v>
      </c>
      <c r="E130" s="421" t="s">
        <v>76</v>
      </c>
      <c r="F130" s="421" t="s">
        <v>76</v>
      </c>
      <c r="G130" s="421" t="s">
        <v>76</v>
      </c>
      <c r="H130" s="421" t="s">
        <v>76</v>
      </c>
      <c r="I130" s="421" t="s">
        <v>76</v>
      </c>
      <c r="J130" s="421" t="s">
        <v>76</v>
      </c>
      <c r="K130" s="421" t="s">
        <v>76</v>
      </c>
      <c r="L130" s="421" t="s">
        <v>76</v>
      </c>
      <c r="M130" s="421" t="s">
        <v>76</v>
      </c>
      <c r="N130" s="421" t="s">
        <v>7043</v>
      </c>
      <c r="O130" s="421" t="s">
        <v>76</v>
      </c>
      <c r="P130" s="421" t="s">
        <v>76</v>
      </c>
      <c r="Q130" s="421" t="s">
        <v>76</v>
      </c>
      <c r="R130" s="422" t="s">
        <v>76</v>
      </c>
    </row>
    <row r="131" spans="1:18">
      <c r="A131" s="420" t="s">
        <v>7234</v>
      </c>
      <c r="B131" s="421" t="s">
        <v>6399</v>
      </c>
      <c r="C131" s="421" t="s">
        <v>7235</v>
      </c>
      <c r="D131" s="421" t="s">
        <v>7244</v>
      </c>
      <c r="E131" s="421" t="s">
        <v>76</v>
      </c>
      <c r="F131" s="421" t="s">
        <v>76</v>
      </c>
      <c r="G131" s="421" t="s">
        <v>76</v>
      </c>
      <c r="H131" s="421" t="s">
        <v>76</v>
      </c>
      <c r="I131" s="421" t="s">
        <v>76</v>
      </c>
      <c r="J131" s="421" t="s">
        <v>76</v>
      </c>
      <c r="K131" s="421" t="s">
        <v>76</v>
      </c>
      <c r="L131" s="421" t="s">
        <v>76</v>
      </c>
      <c r="M131" s="421" t="s">
        <v>76</v>
      </c>
      <c r="N131" s="421" t="s">
        <v>7043</v>
      </c>
      <c r="O131" s="421" t="s">
        <v>76</v>
      </c>
      <c r="P131" s="421" t="s">
        <v>76</v>
      </c>
      <c r="Q131" s="421" t="s">
        <v>76</v>
      </c>
      <c r="R131" s="422" t="s">
        <v>76</v>
      </c>
    </row>
    <row r="132" spans="1:18">
      <c r="A132" s="420" t="s">
        <v>7234</v>
      </c>
      <c r="B132" s="421" t="s">
        <v>6399</v>
      </c>
      <c r="C132" s="421" t="s">
        <v>7235</v>
      </c>
      <c r="D132" s="421" t="s">
        <v>7245</v>
      </c>
      <c r="E132" s="421" t="s">
        <v>76</v>
      </c>
      <c r="F132" s="421" t="s">
        <v>76</v>
      </c>
      <c r="G132" s="421" t="s">
        <v>76</v>
      </c>
      <c r="H132" s="421" t="s">
        <v>76</v>
      </c>
      <c r="I132" s="421" t="s">
        <v>76</v>
      </c>
      <c r="J132" s="421" t="s">
        <v>76</v>
      </c>
      <c r="K132" s="421" t="s">
        <v>76</v>
      </c>
      <c r="L132" s="421" t="s">
        <v>76</v>
      </c>
      <c r="M132" s="421" t="s">
        <v>76</v>
      </c>
      <c r="N132" s="421" t="s">
        <v>7043</v>
      </c>
      <c r="O132" s="421" t="s">
        <v>76</v>
      </c>
      <c r="P132" s="421" t="s">
        <v>76</v>
      </c>
      <c r="Q132" s="421" t="s">
        <v>76</v>
      </c>
      <c r="R132" s="422" t="s">
        <v>76</v>
      </c>
    </row>
    <row r="133" spans="1:18">
      <c r="A133" s="420" t="s">
        <v>7234</v>
      </c>
      <c r="B133" s="421" t="s">
        <v>6399</v>
      </c>
      <c r="C133" s="421" t="s">
        <v>7235</v>
      </c>
      <c r="D133" s="421" t="s">
        <v>7246</v>
      </c>
      <c r="E133" s="421" t="s">
        <v>76</v>
      </c>
      <c r="F133" s="421" t="s">
        <v>76</v>
      </c>
      <c r="G133" s="421" t="s">
        <v>76</v>
      </c>
      <c r="H133" s="421" t="s">
        <v>76</v>
      </c>
      <c r="I133" s="421" t="s">
        <v>76</v>
      </c>
      <c r="J133" s="421" t="s">
        <v>76</v>
      </c>
      <c r="K133" s="421" t="s">
        <v>76</v>
      </c>
      <c r="L133" s="421" t="s">
        <v>76</v>
      </c>
      <c r="M133" s="421" t="s">
        <v>76</v>
      </c>
      <c r="N133" s="421" t="s">
        <v>7043</v>
      </c>
      <c r="O133" s="421" t="s">
        <v>76</v>
      </c>
      <c r="P133" s="421" t="s">
        <v>76</v>
      </c>
      <c r="Q133" s="421" t="s">
        <v>76</v>
      </c>
      <c r="R133" s="422" t="s">
        <v>76</v>
      </c>
    </row>
    <row r="134" spans="1:18">
      <c r="A134" s="420" t="s">
        <v>7234</v>
      </c>
      <c r="B134" s="421" t="s">
        <v>6399</v>
      </c>
      <c r="C134" s="421" t="s">
        <v>7235</v>
      </c>
      <c r="D134" s="421" t="s">
        <v>7247</v>
      </c>
      <c r="E134" s="421" t="s">
        <v>76</v>
      </c>
      <c r="F134" s="421" t="s">
        <v>76</v>
      </c>
      <c r="G134" s="421" t="s">
        <v>76</v>
      </c>
      <c r="H134" s="421" t="s">
        <v>76</v>
      </c>
      <c r="I134" s="421" t="s">
        <v>76</v>
      </c>
      <c r="J134" s="421" t="s">
        <v>76</v>
      </c>
      <c r="K134" s="421" t="s">
        <v>76</v>
      </c>
      <c r="L134" s="421" t="s">
        <v>76</v>
      </c>
      <c r="M134" s="421" t="s">
        <v>76</v>
      </c>
      <c r="N134" s="421" t="s">
        <v>7043</v>
      </c>
      <c r="O134" s="421" t="s">
        <v>76</v>
      </c>
      <c r="P134" s="421" t="s">
        <v>76</v>
      </c>
      <c r="Q134" s="421" t="s">
        <v>76</v>
      </c>
      <c r="R134" s="422" t="s">
        <v>76</v>
      </c>
    </row>
    <row r="135" spans="1:18">
      <c r="A135" s="420" t="s">
        <v>7234</v>
      </c>
      <c r="B135" s="421" t="s">
        <v>6399</v>
      </c>
      <c r="C135" s="421" t="s">
        <v>7235</v>
      </c>
      <c r="D135" s="421" t="s">
        <v>7248</v>
      </c>
      <c r="E135" s="421" t="s">
        <v>76</v>
      </c>
      <c r="F135" s="421" t="s">
        <v>76</v>
      </c>
      <c r="G135" s="421" t="s">
        <v>76</v>
      </c>
      <c r="H135" s="421" t="s">
        <v>76</v>
      </c>
      <c r="I135" s="421" t="s">
        <v>76</v>
      </c>
      <c r="J135" s="421" t="s">
        <v>76</v>
      </c>
      <c r="K135" s="421" t="s">
        <v>76</v>
      </c>
      <c r="L135" s="421" t="s">
        <v>76</v>
      </c>
      <c r="M135" s="421" t="s">
        <v>76</v>
      </c>
      <c r="N135" s="421" t="s">
        <v>7043</v>
      </c>
      <c r="O135" s="421" t="s">
        <v>76</v>
      </c>
      <c r="P135" s="421" t="s">
        <v>76</v>
      </c>
      <c r="Q135" s="421" t="s">
        <v>76</v>
      </c>
      <c r="R135" s="422" t="s">
        <v>76</v>
      </c>
    </row>
    <row r="136" spans="1:18">
      <c r="A136" s="420" t="s">
        <v>7234</v>
      </c>
      <c r="B136" s="421" t="s">
        <v>6399</v>
      </c>
      <c r="C136" s="421" t="s">
        <v>7235</v>
      </c>
      <c r="D136" s="421" t="s">
        <v>7249</v>
      </c>
      <c r="E136" s="421" t="s">
        <v>76</v>
      </c>
      <c r="F136" s="421" t="s">
        <v>76</v>
      </c>
      <c r="G136" s="421" t="s">
        <v>76</v>
      </c>
      <c r="H136" s="421" t="s">
        <v>76</v>
      </c>
      <c r="I136" s="421" t="s">
        <v>76</v>
      </c>
      <c r="J136" s="421" t="s">
        <v>76</v>
      </c>
      <c r="K136" s="421" t="s">
        <v>76</v>
      </c>
      <c r="L136" s="421" t="s">
        <v>76</v>
      </c>
      <c r="M136" s="421" t="s">
        <v>76</v>
      </c>
      <c r="N136" s="421" t="s">
        <v>7043</v>
      </c>
      <c r="O136" s="421" t="s">
        <v>76</v>
      </c>
      <c r="P136" s="421" t="s">
        <v>76</v>
      </c>
      <c r="Q136" s="421" t="s">
        <v>76</v>
      </c>
      <c r="R136" s="422" t="s">
        <v>76</v>
      </c>
    </row>
    <row r="137" spans="1:18">
      <c r="A137" s="420" t="s">
        <v>7234</v>
      </c>
      <c r="B137" s="421" t="s">
        <v>6399</v>
      </c>
      <c r="C137" s="421" t="s">
        <v>7235</v>
      </c>
      <c r="D137" s="421" t="s">
        <v>7250</v>
      </c>
      <c r="E137" s="421" t="s">
        <v>76</v>
      </c>
      <c r="F137" s="421" t="s">
        <v>76</v>
      </c>
      <c r="G137" s="421" t="s">
        <v>76</v>
      </c>
      <c r="H137" s="421" t="s">
        <v>76</v>
      </c>
      <c r="I137" s="421" t="s">
        <v>76</v>
      </c>
      <c r="J137" s="421" t="s">
        <v>76</v>
      </c>
      <c r="K137" s="421" t="s">
        <v>76</v>
      </c>
      <c r="L137" s="421" t="s">
        <v>76</v>
      </c>
      <c r="M137" s="421" t="s">
        <v>76</v>
      </c>
      <c r="N137" s="421" t="s">
        <v>7043</v>
      </c>
      <c r="O137" s="421" t="s">
        <v>76</v>
      </c>
      <c r="P137" s="421" t="s">
        <v>76</v>
      </c>
      <c r="Q137" s="421" t="s">
        <v>76</v>
      </c>
      <c r="R137" s="422" t="s">
        <v>76</v>
      </c>
    </row>
    <row r="138" spans="1:18">
      <c r="A138" s="420" t="s">
        <v>7183</v>
      </c>
      <c r="B138" s="421" t="s">
        <v>6372</v>
      </c>
      <c r="C138" s="421" t="s">
        <v>7251</v>
      </c>
      <c r="D138" s="421" t="s">
        <v>7252</v>
      </c>
      <c r="E138" s="421" t="s">
        <v>76</v>
      </c>
      <c r="F138" s="421" t="s">
        <v>76</v>
      </c>
      <c r="G138" s="421" t="s">
        <v>76</v>
      </c>
      <c r="H138" s="421" t="s">
        <v>7044</v>
      </c>
      <c r="I138" s="421" t="s">
        <v>76</v>
      </c>
      <c r="J138" s="421" t="s">
        <v>76</v>
      </c>
      <c r="K138" s="421" t="s">
        <v>76</v>
      </c>
      <c r="L138" s="421" t="s">
        <v>76</v>
      </c>
      <c r="M138" s="421" t="s">
        <v>76</v>
      </c>
      <c r="N138" s="421" t="s">
        <v>76</v>
      </c>
      <c r="O138" s="421" t="s">
        <v>76</v>
      </c>
      <c r="P138" s="421" t="s">
        <v>7043</v>
      </c>
      <c r="Q138" s="421" t="s">
        <v>76</v>
      </c>
      <c r="R138" s="422" t="s">
        <v>76</v>
      </c>
    </row>
    <row r="139" spans="1:18">
      <c r="A139" s="420" t="s">
        <v>7183</v>
      </c>
      <c r="B139" s="421" t="s">
        <v>6372</v>
      </c>
      <c r="C139" s="421" t="s">
        <v>7251</v>
      </c>
      <c r="D139" s="421" t="s">
        <v>7253</v>
      </c>
      <c r="E139" s="421" t="s">
        <v>76</v>
      </c>
      <c r="F139" s="421" t="s">
        <v>76</v>
      </c>
      <c r="G139" s="421" t="s">
        <v>76</v>
      </c>
      <c r="H139" s="421" t="s">
        <v>7044</v>
      </c>
      <c r="I139" s="421" t="s">
        <v>76</v>
      </c>
      <c r="J139" s="421" t="s">
        <v>76</v>
      </c>
      <c r="K139" s="421" t="s">
        <v>76</v>
      </c>
      <c r="L139" s="421" t="s">
        <v>76</v>
      </c>
      <c r="M139" s="421" t="s">
        <v>76</v>
      </c>
      <c r="N139" s="421" t="s">
        <v>76</v>
      </c>
      <c r="O139" s="421" t="s">
        <v>76</v>
      </c>
      <c r="P139" s="421" t="s">
        <v>7043</v>
      </c>
      <c r="Q139" s="421" t="s">
        <v>76</v>
      </c>
      <c r="R139" s="422" t="s">
        <v>76</v>
      </c>
    </row>
    <row r="140" spans="1:18">
      <c r="A140" s="420" t="s">
        <v>7183</v>
      </c>
      <c r="B140" s="421" t="s">
        <v>6372</v>
      </c>
      <c r="C140" s="421" t="s">
        <v>7251</v>
      </c>
      <c r="D140" s="421" t="s">
        <v>7254</v>
      </c>
      <c r="E140" s="421" t="s">
        <v>76</v>
      </c>
      <c r="F140" s="421" t="s">
        <v>76</v>
      </c>
      <c r="G140" s="421" t="s">
        <v>76</v>
      </c>
      <c r="H140" s="421" t="s">
        <v>7044</v>
      </c>
      <c r="I140" s="421" t="s">
        <v>76</v>
      </c>
      <c r="J140" s="421" t="s">
        <v>76</v>
      </c>
      <c r="K140" s="421" t="s">
        <v>76</v>
      </c>
      <c r="L140" s="421" t="s">
        <v>76</v>
      </c>
      <c r="M140" s="421" t="s">
        <v>76</v>
      </c>
      <c r="N140" s="421" t="s">
        <v>76</v>
      </c>
      <c r="O140" s="421" t="s">
        <v>76</v>
      </c>
      <c r="P140" s="421" t="s">
        <v>7043</v>
      </c>
      <c r="Q140" s="421" t="s">
        <v>76</v>
      </c>
      <c r="R140" s="422" t="s">
        <v>76</v>
      </c>
    </row>
    <row r="141" spans="1:18">
      <c r="A141" s="420" t="s">
        <v>7183</v>
      </c>
      <c r="B141" s="421" t="s">
        <v>6372</v>
      </c>
      <c r="C141" s="421" t="s">
        <v>7251</v>
      </c>
      <c r="D141" s="421" t="s">
        <v>7255</v>
      </c>
      <c r="E141" s="421" t="s">
        <v>76</v>
      </c>
      <c r="F141" s="421" t="s">
        <v>76</v>
      </c>
      <c r="G141" s="421" t="s">
        <v>76</v>
      </c>
      <c r="H141" s="421" t="s">
        <v>7044</v>
      </c>
      <c r="I141" s="421" t="s">
        <v>76</v>
      </c>
      <c r="J141" s="421" t="s">
        <v>76</v>
      </c>
      <c r="K141" s="421" t="s">
        <v>76</v>
      </c>
      <c r="L141" s="421" t="s">
        <v>76</v>
      </c>
      <c r="M141" s="421" t="s">
        <v>76</v>
      </c>
      <c r="N141" s="421" t="s">
        <v>76</v>
      </c>
      <c r="O141" s="421" t="s">
        <v>76</v>
      </c>
      <c r="P141" s="421" t="s">
        <v>7043</v>
      </c>
      <c r="Q141" s="421" t="s">
        <v>76</v>
      </c>
      <c r="R141" s="422" t="s">
        <v>76</v>
      </c>
    </row>
    <row r="142" spans="1:18">
      <c r="A142" s="420" t="s">
        <v>7183</v>
      </c>
      <c r="B142" s="421" t="s">
        <v>6372</v>
      </c>
      <c r="C142" s="421" t="s">
        <v>7251</v>
      </c>
      <c r="D142" s="421" t="s">
        <v>7256</v>
      </c>
      <c r="E142" s="421" t="s">
        <v>76</v>
      </c>
      <c r="F142" s="421" t="s">
        <v>76</v>
      </c>
      <c r="G142" s="421" t="s">
        <v>76</v>
      </c>
      <c r="H142" s="421" t="s">
        <v>7044</v>
      </c>
      <c r="I142" s="421" t="s">
        <v>76</v>
      </c>
      <c r="J142" s="421" t="s">
        <v>76</v>
      </c>
      <c r="K142" s="421" t="s">
        <v>76</v>
      </c>
      <c r="L142" s="421" t="s">
        <v>76</v>
      </c>
      <c r="M142" s="421" t="s">
        <v>76</v>
      </c>
      <c r="N142" s="421" t="s">
        <v>76</v>
      </c>
      <c r="O142" s="421" t="s">
        <v>76</v>
      </c>
      <c r="P142" s="421" t="s">
        <v>7043</v>
      </c>
      <c r="Q142" s="421" t="s">
        <v>76</v>
      </c>
      <c r="R142" s="422" t="s">
        <v>76</v>
      </c>
    </row>
    <row r="143" spans="1:18">
      <c r="A143" s="420" t="s">
        <v>7183</v>
      </c>
      <c r="B143" s="421" t="s">
        <v>6372</v>
      </c>
      <c r="C143" s="421" t="s">
        <v>7251</v>
      </c>
      <c r="D143" s="421" t="s">
        <v>7257</v>
      </c>
      <c r="E143" s="421" t="s">
        <v>76</v>
      </c>
      <c r="F143" s="421" t="s">
        <v>76</v>
      </c>
      <c r="G143" s="421" t="s">
        <v>76</v>
      </c>
      <c r="H143" s="421" t="s">
        <v>7044</v>
      </c>
      <c r="I143" s="421" t="s">
        <v>76</v>
      </c>
      <c r="J143" s="421" t="s">
        <v>76</v>
      </c>
      <c r="K143" s="421" t="s">
        <v>76</v>
      </c>
      <c r="L143" s="421" t="s">
        <v>76</v>
      </c>
      <c r="M143" s="421" t="s">
        <v>76</v>
      </c>
      <c r="N143" s="421" t="s">
        <v>76</v>
      </c>
      <c r="O143" s="421" t="s">
        <v>76</v>
      </c>
      <c r="P143" s="421" t="s">
        <v>7043</v>
      </c>
      <c r="Q143" s="421" t="s">
        <v>76</v>
      </c>
      <c r="R143" s="422" t="s">
        <v>76</v>
      </c>
    </row>
    <row r="144" spans="1:18">
      <c r="A144" s="420" t="s">
        <v>7183</v>
      </c>
      <c r="B144" s="421" t="s">
        <v>6372</v>
      </c>
      <c r="C144" s="421" t="s">
        <v>7251</v>
      </c>
      <c r="D144" s="421" t="s">
        <v>7258</v>
      </c>
      <c r="E144" s="421" t="s">
        <v>76</v>
      </c>
      <c r="F144" s="421" t="s">
        <v>76</v>
      </c>
      <c r="G144" s="421" t="s">
        <v>76</v>
      </c>
      <c r="H144" s="421" t="s">
        <v>7044</v>
      </c>
      <c r="I144" s="421" t="s">
        <v>76</v>
      </c>
      <c r="J144" s="421" t="s">
        <v>76</v>
      </c>
      <c r="K144" s="421" t="s">
        <v>76</v>
      </c>
      <c r="L144" s="421" t="s">
        <v>76</v>
      </c>
      <c r="M144" s="421" t="s">
        <v>76</v>
      </c>
      <c r="N144" s="421" t="s">
        <v>76</v>
      </c>
      <c r="O144" s="421" t="s">
        <v>76</v>
      </c>
      <c r="P144" s="421" t="s">
        <v>7043</v>
      </c>
      <c r="Q144" s="421" t="s">
        <v>76</v>
      </c>
      <c r="R144" s="422" t="s">
        <v>76</v>
      </c>
    </row>
    <row r="145" spans="1:18">
      <c r="A145" s="420" t="s">
        <v>7183</v>
      </c>
      <c r="B145" s="421" t="s">
        <v>6372</v>
      </c>
      <c r="C145" s="421" t="s">
        <v>7251</v>
      </c>
      <c r="D145" s="421" t="s">
        <v>7259</v>
      </c>
      <c r="E145" s="421" t="s">
        <v>76</v>
      </c>
      <c r="F145" s="421" t="s">
        <v>76</v>
      </c>
      <c r="G145" s="421" t="s">
        <v>76</v>
      </c>
      <c r="H145" s="421" t="s">
        <v>7044</v>
      </c>
      <c r="I145" s="421" t="s">
        <v>76</v>
      </c>
      <c r="J145" s="421" t="s">
        <v>76</v>
      </c>
      <c r="K145" s="421" t="s">
        <v>76</v>
      </c>
      <c r="L145" s="421" t="s">
        <v>76</v>
      </c>
      <c r="M145" s="421" t="s">
        <v>76</v>
      </c>
      <c r="N145" s="421" t="s">
        <v>76</v>
      </c>
      <c r="O145" s="421" t="s">
        <v>76</v>
      </c>
      <c r="P145" s="421" t="s">
        <v>7043</v>
      </c>
      <c r="Q145" s="421" t="s">
        <v>76</v>
      </c>
      <c r="R145" s="422" t="s">
        <v>76</v>
      </c>
    </row>
    <row r="146" spans="1:18">
      <c r="A146" s="420" t="s">
        <v>7183</v>
      </c>
      <c r="B146" s="421" t="s">
        <v>6372</v>
      </c>
      <c r="C146" s="421" t="s">
        <v>7251</v>
      </c>
      <c r="D146" s="421" t="s">
        <v>7260</v>
      </c>
      <c r="E146" s="421" t="s">
        <v>76</v>
      </c>
      <c r="F146" s="421" t="s">
        <v>76</v>
      </c>
      <c r="G146" s="421" t="s">
        <v>76</v>
      </c>
      <c r="H146" s="421" t="s">
        <v>7044</v>
      </c>
      <c r="I146" s="421" t="s">
        <v>76</v>
      </c>
      <c r="J146" s="421" t="s">
        <v>76</v>
      </c>
      <c r="K146" s="421" t="s">
        <v>76</v>
      </c>
      <c r="L146" s="421" t="s">
        <v>76</v>
      </c>
      <c r="M146" s="421" t="s">
        <v>76</v>
      </c>
      <c r="N146" s="421" t="s">
        <v>76</v>
      </c>
      <c r="O146" s="421" t="s">
        <v>76</v>
      </c>
      <c r="P146" s="421" t="s">
        <v>7043</v>
      </c>
      <c r="Q146" s="421" t="s">
        <v>76</v>
      </c>
      <c r="R146" s="422" t="s">
        <v>76</v>
      </c>
    </row>
    <row r="147" spans="1:18">
      <c r="A147" s="420" t="s">
        <v>7183</v>
      </c>
      <c r="B147" s="421" t="s">
        <v>6372</v>
      </c>
      <c r="C147" s="421" t="s">
        <v>7251</v>
      </c>
      <c r="D147" s="421" t="s">
        <v>7261</v>
      </c>
      <c r="E147" s="421" t="s">
        <v>76</v>
      </c>
      <c r="F147" s="421" t="s">
        <v>76</v>
      </c>
      <c r="G147" s="421" t="s">
        <v>76</v>
      </c>
      <c r="H147" s="421" t="s">
        <v>7044</v>
      </c>
      <c r="I147" s="421" t="s">
        <v>76</v>
      </c>
      <c r="J147" s="421" t="s">
        <v>76</v>
      </c>
      <c r="K147" s="421" t="s">
        <v>76</v>
      </c>
      <c r="L147" s="421" t="s">
        <v>76</v>
      </c>
      <c r="M147" s="421" t="s">
        <v>76</v>
      </c>
      <c r="N147" s="421" t="s">
        <v>76</v>
      </c>
      <c r="O147" s="421" t="s">
        <v>76</v>
      </c>
      <c r="P147" s="421" t="s">
        <v>7043</v>
      </c>
      <c r="Q147" s="421" t="s">
        <v>76</v>
      </c>
      <c r="R147" s="422" t="s">
        <v>76</v>
      </c>
    </row>
    <row r="148" spans="1:18">
      <c r="A148" s="420" t="s">
        <v>7183</v>
      </c>
      <c r="B148" s="421" t="s">
        <v>6372</v>
      </c>
      <c r="C148" s="421" t="s">
        <v>7251</v>
      </c>
      <c r="D148" s="421" t="s">
        <v>7262</v>
      </c>
      <c r="E148" s="421" t="s">
        <v>76</v>
      </c>
      <c r="F148" s="421" t="s">
        <v>76</v>
      </c>
      <c r="G148" s="421" t="s">
        <v>76</v>
      </c>
      <c r="H148" s="421" t="s">
        <v>7044</v>
      </c>
      <c r="I148" s="421" t="s">
        <v>76</v>
      </c>
      <c r="J148" s="421" t="s">
        <v>76</v>
      </c>
      <c r="K148" s="421" t="s">
        <v>76</v>
      </c>
      <c r="L148" s="421" t="s">
        <v>76</v>
      </c>
      <c r="M148" s="421" t="s">
        <v>76</v>
      </c>
      <c r="N148" s="421" t="s">
        <v>76</v>
      </c>
      <c r="O148" s="421" t="s">
        <v>76</v>
      </c>
      <c r="P148" s="421" t="s">
        <v>7043</v>
      </c>
      <c r="Q148" s="421" t="s">
        <v>76</v>
      </c>
      <c r="R148" s="422" t="s">
        <v>76</v>
      </c>
    </row>
    <row r="149" spans="1:18">
      <c r="A149" s="420" t="s">
        <v>7200</v>
      </c>
      <c r="B149" s="421" t="s">
        <v>6383</v>
      </c>
      <c r="C149" s="421" t="s">
        <v>7263</v>
      </c>
      <c r="D149" s="421" t="s">
        <v>7264</v>
      </c>
      <c r="E149" s="421" t="s">
        <v>76</v>
      </c>
      <c r="F149" s="421" t="s">
        <v>76</v>
      </c>
      <c r="G149" s="421" t="s">
        <v>76</v>
      </c>
      <c r="H149" s="421" t="s">
        <v>7044</v>
      </c>
      <c r="I149" s="421" t="s">
        <v>76</v>
      </c>
      <c r="J149" s="421" t="s">
        <v>76</v>
      </c>
      <c r="K149" s="421" t="s">
        <v>76</v>
      </c>
      <c r="L149" s="421" t="s">
        <v>76</v>
      </c>
      <c r="M149" s="421" t="s">
        <v>76</v>
      </c>
      <c r="N149" s="421" t="s">
        <v>76</v>
      </c>
      <c r="O149" s="421" t="s">
        <v>76</v>
      </c>
      <c r="P149" s="421" t="s">
        <v>7043</v>
      </c>
      <c r="Q149" s="421" t="s">
        <v>76</v>
      </c>
      <c r="R149" s="422" t="s">
        <v>76</v>
      </c>
    </row>
    <row r="150" spans="1:18">
      <c r="A150" s="420" t="s">
        <v>7200</v>
      </c>
      <c r="B150" s="421" t="s">
        <v>6383</v>
      </c>
      <c r="C150" s="421" t="s">
        <v>7263</v>
      </c>
      <c r="D150" s="421" t="s">
        <v>7265</v>
      </c>
      <c r="E150" s="421" t="s">
        <v>76</v>
      </c>
      <c r="F150" s="421" t="s">
        <v>76</v>
      </c>
      <c r="G150" s="421" t="s">
        <v>76</v>
      </c>
      <c r="H150" s="421" t="s">
        <v>7044</v>
      </c>
      <c r="I150" s="421" t="s">
        <v>76</v>
      </c>
      <c r="J150" s="421" t="s">
        <v>76</v>
      </c>
      <c r="K150" s="421" t="s">
        <v>76</v>
      </c>
      <c r="L150" s="421" t="s">
        <v>76</v>
      </c>
      <c r="M150" s="421" t="s">
        <v>76</v>
      </c>
      <c r="N150" s="421" t="s">
        <v>76</v>
      </c>
      <c r="O150" s="421" t="s">
        <v>76</v>
      </c>
      <c r="P150" s="421" t="s">
        <v>7043</v>
      </c>
      <c r="Q150" s="421" t="s">
        <v>76</v>
      </c>
      <c r="R150" s="422" t="s">
        <v>76</v>
      </c>
    </row>
    <row r="151" spans="1:18">
      <c r="A151" s="420" t="s">
        <v>7200</v>
      </c>
      <c r="B151" s="421" t="s">
        <v>6383</v>
      </c>
      <c r="C151" s="421" t="s">
        <v>7263</v>
      </c>
      <c r="D151" s="421" t="s">
        <v>7266</v>
      </c>
      <c r="E151" s="421" t="s">
        <v>76</v>
      </c>
      <c r="F151" s="421" t="s">
        <v>76</v>
      </c>
      <c r="G151" s="421" t="s">
        <v>76</v>
      </c>
      <c r="H151" s="421" t="s">
        <v>7044</v>
      </c>
      <c r="I151" s="421" t="s">
        <v>76</v>
      </c>
      <c r="J151" s="421" t="s">
        <v>76</v>
      </c>
      <c r="K151" s="421" t="s">
        <v>76</v>
      </c>
      <c r="L151" s="421" t="s">
        <v>76</v>
      </c>
      <c r="M151" s="421" t="s">
        <v>76</v>
      </c>
      <c r="N151" s="421" t="s">
        <v>76</v>
      </c>
      <c r="O151" s="421" t="s">
        <v>76</v>
      </c>
      <c r="P151" s="421" t="s">
        <v>7043</v>
      </c>
      <c r="Q151" s="421" t="s">
        <v>76</v>
      </c>
      <c r="R151" s="422" t="s">
        <v>76</v>
      </c>
    </row>
    <row r="152" spans="1:18">
      <c r="A152" s="420" t="s">
        <v>7200</v>
      </c>
      <c r="B152" s="421" t="s">
        <v>6383</v>
      </c>
      <c r="C152" s="421" t="s">
        <v>7263</v>
      </c>
      <c r="D152" s="421" t="s">
        <v>7267</v>
      </c>
      <c r="E152" s="421" t="s">
        <v>76</v>
      </c>
      <c r="F152" s="421" t="s">
        <v>76</v>
      </c>
      <c r="G152" s="421" t="s">
        <v>76</v>
      </c>
      <c r="H152" s="421" t="s">
        <v>7044</v>
      </c>
      <c r="I152" s="421" t="s">
        <v>76</v>
      </c>
      <c r="J152" s="421" t="s">
        <v>76</v>
      </c>
      <c r="K152" s="421" t="s">
        <v>76</v>
      </c>
      <c r="L152" s="421" t="s">
        <v>76</v>
      </c>
      <c r="M152" s="421" t="s">
        <v>76</v>
      </c>
      <c r="N152" s="421" t="s">
        <v>76</v>
      </c>
      <c r="O152" s="421" t="s">
        <v>76</v>
      </c>
      <c r="P152" s="421" t="s">
        <v>7043</v>
      </c>
      <c r="Q152" s="421" t="s">
        <v>76</v>
      </c>
      <c r="R152" s="422" t="s">
        <v>76</v>
      </c>
    </row>
    <row r="153" spans="1:18">
      <c r="A153" s="420" t="s">
        <v>7200</v>
      </c>
      <c r="B153" s="421" t="s">
        <v>6383</v>
      </c>
      <c r="C153" s="421" t="s">
        <v>7263</v>
      </c>
      <c r="D153" s="421" t="s">
        <v>7268</v>
      </c>
      <c r="E153" s="421" t="s">
        <v>76</v>
      </c>
      <c r="F153" s="421" t="s">
        <v>76</v>
      </c>
      <c r="G153" s="421" t="s">
        <v>76</v>
      </c>
      <c r="H153" s="421" t="s">
        <v>7044</v>
      </c>
      <c r="I153" s="421" t="s">
        <v>76</v>
      </c>
      <c r="J153" s="421" t="s">
        <v>76</v>
      </c>
      <c r="K153" s="421" t="s">
        <v>76</v>
      </c>
      <c r="L153" s="421" t="s">
        <v>76</v>
      </c>
      <c r="M153" s="421" t="s">
        <v>76</v>
      </c>
      <c r="N153" s="421" t="s">
        <v>76</v>
      </c>
      <c r="O153" s="421" t="s">
        <v>76</v>
      </c>
      <c r="P153" s="421" t="s">
        <v>7043</v>
      </c>
      <c r="Q153" s="421" t="s">
        <v>76</v>
      </c>
      <c r="R153" s="422" t="s">
        <v>76</v>
      </c>
    </row>
    <row r="154" spans="1:18">
      <c r="A154" s="420" t="s">
        <v>7200</v>
      </c>
      <c r="B154" s="421" t="s">
        <v>6383</v>
      </c>
      <c r="C154" s="421" t="s">
        <v>7263</v>
      </c>
      <c r="D154" s="421" t="s">
        <v>7269</v>
      </c>
      <c r="E154" s="421" t="s">
        <v>76</v>
      </c>
      <c r="F154" s="421" t="s">
        <v>76</v>
      </c>
      <c r="G154" s="421" t="s">
        <v>76</v>
      </c>
      <c r="H154" s="421" t="s">
        <v>7044</v>
      </c>
      <c r="I154" s="421" t="s">
        <v>76</v>
      </c>
      <c r="J154" s="421" t="s">
        <v>76</v>
      </c>
      <c r="K154" s="421" t="s">
        <v>76</v>
      </c>
      <c r="L154" s="421" t="s">
        <v>76</v>
      </c>
      <c r="M154" s="421" t="s">
        <v>76</v>
      </c>
      <c r="N154" s="421" t="s">
        <v>76</v>
      </c>
      <c r="O154" s="421" t="s">
        <v>76</v>
      </c>
      <c r="P154" s="421" t="s">
        <v>7043</v>
      </c>
      <c r="Q154" s="421" t="s">
        <v>76</v>
      </c>
      <c r="R154" s="422" t="s">
        <v>76</v>
      </c>
    </row>
    <row r="155" spans="1:18">
      <c r="A155" s="420" t="s">
        <v>7200</v>
      </c>
      <c r="B155" s="421" t="s">
        <v>6383</v>
      </c>
      <c r="C155" s="421" t="s">
        <v>7263</v>
      </c>
      <c r="D155" s="421" t="s">
        <v>7270</v>
      </c>
      <c r="E155" s="421" t="s">
        <v>76</v>
      </c>
      <c r="F155" s="421" t="s">
        <v>76</v>
      </c>
      <c r="G155" s="421" t="s">
        <v>76</v>
      </c>
      <c r="H155" s="421" t="s">
        <v>7044</v>
      </c>
      <c r="I155" s="421" t="s">
        <v>76</v>
      </c>
      <c r="J155" s="421" t="s">
        <v>76</v>
      </c>
      <c r="K155" s="421" t="s">
        <v>76</v>
      </c>
      <c r="L155" s="421" t="s">
        <v>76</v>
      </c>
      <c r="M155" s="421" t="s">
        <v>76</v>
      </c>
      <c r="N155" s="421" t="s">
        <v>76</v>
      </c>
      <c r="O155" s="421" t="s">
        <v>76</v>
      </c>
      <c r="P155" s="421" t="s">
        <v>7043</v>
      </c>
      <c r="Q155" s="421" t="s">
        <v>76</v>
      </c>
      <c r="R155" s="422" t="s">
        <v>76</v>
      </c>
    </row>
    <row r="156" spans="1:18">
      <c r="A156" s="420" t="s">
        <v>7200</v>
      </c>
      <c r="B156" s="421" t="s">
        <v>6383</v>
      </c>
      <c r="C156" s="421" t="s">
        <v>7263</v>
      </c>
      <c r="D156" s="421" t="s">
        <v>7271</v>
      </c>
      <c r="E156" s="421" t="s">
        <v>76</v>
      </c>
      <c r="F156" s="421" t="s">
        <v>76</v>
      </c>
      <c r="G156" s="421" t="s">
        <v>76</v>
      </c>
      <c r="H156" s="421" t="s">
        <v>7044</v>
      </c>
      <c r="I156" s="421" t="s">
        <v>76</v>
      </c>
      <c r="J156" s="421" t="s">
        <v>76</v>
      </c>
      <c r="K156" s="421" t="s">
        <v>76</v>
      </c>
      <c r="L156" s="421" t="s">
        <v>76</v>
      </c>
      <c r="M156" s="421" t="s">
        <v>76</v>
      </c>
      <c r="N156" s="421" t="s">
        <v>76</v>
      </c>
      <c r="O156" s="421" t="s">
        <v>76</v>
      </c>
      <c r="P156" s="421" t="s">
        <v>7043</v>
      </c>
      <c r="Q156" s="421" t="s">
        <v>76</v>
      </c>
      <c r="R156" s="422" t="s">
        <v>76</v>
      </c>
    </row>
    <row r="157" spans="1:18">
      <c r="A157" s="420" t="s">
        <v>7200</v>
      </c>
      <c r="B157" s="421" t="s">
        <v>6383</v>
      </c>
      <c r="C157" s="421" t="s">
        <v>7263</v>
      </c>
      <c r="D157" s="421" t="s">
        <v>7272</v>
      </c>
      <c r="E157" s="421" t="s">
        <v>76</v>
      </c>
      <c r="F157" s="421" t="s">
        <v>76</v>
      </c>
      <c r="G157" s="421" t="s">
        <v>76</v>
      </c>
      <c r="H157" s="421" t="s">
        <v>7044</v>
      </c>
      <c r="I157" s="421" t="s">
        <v>76</v>
      </c>
      <c r="J157" s="421" t="s">
        <v>76</v>
      </c>
      <c r="K157" s="421" t="s">
        <v>76</v>
      </c>
      <c r="L157" s="421" t="s">
        <v>76</v>
      </c>
      <c r="M157" s="421" t="s">
        <v>76</v>
      </c>
      <c r="N157" s="421" t="s">
        <v>76</v>
      </c>
      <c r="O157" s="421" t="s">
        <v>76</v>
      </c>
      <c r="P157" s="421" t="s">
        <v>7043</v>
      </c>
      <c r="Q157" s="421" t="s">
        <v>76</v>
      </c>
      <c r="R157" s="422" t="s">
        <v>76</v>
      </c>
    </row>
    <row r="158" spans="1:18">
      <c r="A158" s="420" t="s">
        <v>7200</v>
      </c>
      <c r="B158" s="421" t="s">
        <v>6383</v>
      </c>
      <c r="C158" s="421" t="s">
        <v>7263</v>
      </c>
      <c r="D158" s="421" t="s">
        <v>7273</v>
      </c>
      <c r="E158" s="421" t="s">
        <v>76</v>
      </c>
      <c r="F158" s="421" t="s">
        <v>76</v>
      </c>
      <c r="G158" s="421" t="s">
        <v>76</v>
      </c>
      <c r="H158" s="421" t="s">
        <v>7044</v>
      </c>
      <c r="I158" s="421" t="s">
        <v>76</v>
      </c>
      <c r="J158" s="421" t="s">
        <v>76</v>
      </c>
      <c r="K158" s="421" t="s">
        <v>76</v>
      </c>
      <c r="L158" s="421" t="s">
        <v>76</v>
      </c>
      <c r="M158" s="421" t="s">
        <v>76</v>
      </c>
      <c r="N158" s="421" t="s">
        <v>76</v>
      </c>
      <c r="O158" s="421" t="s">
        <v>76</v>
      </c>
      <c r="P158" s="421" t="s">
        <v>7043</v>
      </c>
      <c r="Q158" s="421" t="s">
        <v>76</v>
      </c>
      <c r="R158" s="422" t="s">
        <v>76</v>
      </c>
    </row>
    <row r="159" spans="1:18">
      <c r="A159" s="420" t="s">
        <v>7200</v>
      </c>
      <c r="B159" s="421" t="s">
        <v>6383</v>
      </c>
      <c r="C159" s="421" t="s">
        <v>7263</v>
      </c>
      <c r="D159" s="421" t="s">
        <v>7274</v>
      </c>
      <c r="E159" s="421" t="s">
        <v>76</v>
      </c>
      <c r="F159" s="421" t="s">
        <v>76</v>
      </c>
      <c r="G159" s="421" t="s">
        <v>76</v>
      </c>
      <c r="H159" s="421" t="s">
        <v>7044</v>
      </c>
      <c r="I159" s="421" t="s">
        <v>76</v>
      </c>
      <c r="J159" s="421" t="s">
        <v>76</v>
      </c>
      <c r="K159" s="421" t="s">
        <v>76</v>
      </c>
      <c r="L159" s="421" t="s">
        <v>76</v>
      </c>
      <c r="M159" s="421" t="s">
        <v>76</v>
      </c>
      <c r="N159" s="421" t="s">
        <v>76</v>
      </c>
      <c r="O159" s="421" t="s">
        <v>76</v>
      </c>
      <c r="P159" s="421" t="s">
        <v>7043</v>
      </c>
      <c r="Q159" s="421" t="s">
        <v>76</v>
      </c>
      <c r="R159" s="422" t="s">
        <v>76</v>
      </c>
    </row>
    <row r="160" spans="1:18">
      <c r="A160" s="420" t="s">
        <v>7217</v>
      </c>
      <c r="B160" s="421" t="s">
        <v>6391</v>
      </c>
      <c r="C160" s="421" t="s">
        <v>7275</v>
      </c>
      <c r="D160" s="421" t="s">
        <v>7276</v>
      </c>
      <c r="E160" s="421" t="s">
        <v>76</v>
      </c>
      <c r="F160" s="421" t="s">
        <v>76</v>
      </c>
      <c r="G160" s="421" t="s">
        <v>76</v>
      </c>
      <c r="H160" s="421" t="s">
        <v>76</v>
      </c>
      <c r="I160" s="421" t="s">
        <v>76</v>
      </c>
      <c r="J160" s="421" t="s">
        <v>76</v>
      </c>
      <c r="K160" s="421" t="s">
        <v>76</v>
      </c>
      <c r="L160" s="421" t="s">
        <v>76</v>
      </c>
      <c r="M160" s="421" t="s">
        <v>76</v>
      </c>
      <c r="N160" s="421" t="s">
        <v>7043</v>
      </c>
      <c r="O160" s="421" t="s">
        <v>76</v>
      </c>
      <c r="P160" s="421" t="s">
        <v>76</v>
      </c>
      <c r="Q160" s="421" t="s">
        <v>76</v>
      </c>
      <c r="R160" s="422" t="s">
        <v>76</v>
      </c>
    </row>
    <row r="161" spans="1:18">
      <c r="A161" s="420" t="s">
        <v>7217</v>
      </c>
      <c r="B161" s="421" t="s">
        <v>6391</v>
      </c>
      <c r="C161" s="421" t="s">
        <v>7275</v>
      </c>
      <c r="D161" s="421" t="s">
        <v>7277</v>
      </c>
      <c r="E161" s="421" t="s">
        <v>76</v>
      </c>
      <c r="F161" s="421" t="s">
        <v>76</v>
      </c>
      <c r="G161" s="421" t="s">
        <v>76</v>
      </c>
      <c r="H161" s="421" t="s">
        <v>76</v>
      </c>
      <c r="I161" s="421" t="s">
        <v>76</v>
      </c>
      <c r="J161" s="421" t="s">
        <v>76</v>
      </c>
      <c r="K161" s="421" t="s">
        <v>76</v>
      </c>
      <c r="L161" s="421" t="s">
        <v>76</v>
      </c>
      <c r="M161" s="421" t="s">
        <v>76</v>
      </c>
      <c r="N161" s="421" t="s">
        <v>7043</v>
      </c>
      <c r="O161" s="421" t="s">
        <v>76</v>
      </c>
      <c r="P161" s="421" t="s">
        <v>76</v>
      </c>
      <c r="Q161" s="421" t="s">
        <v>76</v>
      </c>
      <c r="R161" s="422" t="s">
        <v>76</v>
      </c>
    </row>
    <row r="162" spans="1:18">
      <c r="A162" s="420" t="s">
        <v>7217</v>
      </c>
      <c r="B162" s="421" t="s">
        <v>6391</v>
      </c>
      <c r="C162" s="421" t="s">
        <v>7275</v>
      </c>
      <c r="D162" s="421" t="s">
        <v>7278</v>
      </c>
      <c r="E162" s="421" t="s">
        <v>76</v>
      </c>
      <c r="F162" s="421" t="s">
        <v>76</v>
      </c>
      <c r="G162" s="421" t="s">
        <v>76</v>
      </c>
      <c r="H162" s="421" t="s">
        <v>76</v>
      </c>
      <c r="I162" s="421" t="s">
        <v>76</v>
      </c>
      <c r="J162" s="421" t="s">
        <v>76</v>
      </c>
      <c r="K162" s="421" t="s">
        <v>76</v>
      </c>
      <c r="L162" s="421" t="s">
        <v>76</v>
      </c>
      <c r="M162" s="421" t="s">
        <v>76</v>
      </c>
      <c r="N162" s="421" t="s">
        <v>7043</v>
      </c>
      <c r="O162" s="421" t="s">
        <v>76</v>
      </c>
      <c r="P162" s="421" t="s">
        <v>76</v>
      </c>
      <c r="Q162" s="421" t="s">
        <v>76</v>
      </c>
      <c r="R162" s="422" t="s">
        <v>76</v>
      </c>
    </row>
    <row r="163" spans="1:18">
      <c r="A163" s="420" t="s">
        <v>7217</v>
      </c>
      <c r="B163" s="421" t="s">
        <v>6391</v>
      </c>
      <c r="C163" s="421" t="s">
        <v>7275</v>
      </c>
      <c r="D163" s="421" t="s">
        <v>7279</v>
      </c>
      <c r="E163" s="421" t="s">
        <v>76</v>
      </c>
      <c r="F163" s="421" t="s">
        <v>76</v>
      </c>
      <c r="G163" s="421" t="s">
        <v>76</v>
      </c>
      <c r="H163" s="421" t="s">
        <v>76</v>
      </c>
      <c r="I163" s="421" t="s">
        <v>76</v>
      </c>
      <c r="J163" s="421" t="s">
        <v>76</v>
      </c>
      <c r="K163" s="421" t="s">
        <v>76</v>
      </c>
      <c r="L163" s="421" t="s">
        <v>76</v>
      </c>
      <c r="M163" s="421" t="s">
        <v>76</v>
      </c>
      <c r="N163" s="421" t="s">
        <v>7043</v>
      </c>
      <c r="O163" s="421" t="s">
        <v>76</v>
      </c>
      <c r="P163" s="421" t="s">
        <v>76</v>
      </c>
      <c r="Q163" s="421" t="s">
        <v>76</v>
      </c>
      <c r="R163" s="422" t="s">
        <v>76</v>
      </c>
    </row>
    <row r="164" spans="1:18">
      <c r="A164" s="420" t="s">
        <v>7217</v>
      </c>
      <c r="B164" s="421" t="s">
        <v>6391</v>
      </c>
      <c r="C164" s="421" t="s">
        <v>7275</v>
      </c>
      <c r="D164" s="421" t="s">
        <v>7280</v>
      </c>
      <c r="E164" s="421" t="s">
        <v>76</v>
      </c>
      <c r="F164" s="421" t="s">
        <v>76</v>
      </c>
      <c r="G164" s="421" t="s">
        <v>76</v>
      </c>
      <c r="H164" s="421" t="s">
        <v>76</v>
      </c>
      <c r="I164" s="421" t="s">
        <v>76</v>
      </c>
      <c r="J164" s="421" t="s">
        <v>76</v>
      </c>
      <c r="K164" s="421" t="s">
        <v>76</v>
      </c>
      <c r="L164" s="421" t="s">
        <v>76</v>
      </c>
      <c r="M164" s="421" t="s">
        <v>76</v>
      </c>
      <c r="N164" s="421" t="s">
        <v>7043</v>
      </c>
      <c r="O164" s="421" t="s">
        <v>76</v>
      </c>
      <c r="P164" s="421" t="s">
        <v>76</v>
      </c>
      <c r="Q164" s="421" t="s">
        <v>76</v>
      </c>
      <c r="R164" s="422" t="s">
        <v>76</v>
      </c>
    </row>
    <row r="165" spans="1:18">
      <c r="A165" s="420" t="s">
        <v>7217</v>
      </c>
      <c r="B165" s="421" t="s">
        <v>6391</v>
      </c>
      <c r="C165" s="421" t="s">
        <v>7275</v>
      </c>
      <c r="D165" s="421" t="s">
        <v>7281</v>
      </c>
      <c r="E165" s="421" t="s">
        <v>76</v>
      </c>
      <c r="F165" s="421" t="s">
        <v>76</v>
      </c>
      <c r="G165" s="421" t="s">
        <v>76</v>
      </c>
      <c r="H165" s="421" t="s">
        <v>76</v>
      </c>
      <c r="I165" s="421" t="s">
        <v>76</v>
      </c>
      <c r="J165" s="421" t="s">
        <v>76</v>
      </c>
      <c r="K165" s="421" t="s">
        <v>76</v>
      </c>
      <c r="L165" s="421" t="s">
        <v>76</v>
      </c>
      <c r="M165" s="421" t="s">
        <v>76</v>
      </c>
      <c r="N165" s="421" t="s">
        <v>7043</v>
      </c>
      <c r="O165" s="421" t="s">
        <v>76</v>
      </c>
      <c r="P165" s="421" t="s">
        <v>76</v>
      </c>
      <c r="Q165" s="421" t="s">
        <v>76</v>
      </c>
      <c r="R165" s="422" t="s">
        <v>76</v>
      </c>
    </row>
    <row r="166" spans="1:18">
      <c r="A166" s="420" t="s">
        <v>7217</v>
      </c>
      <c r="B166" s="421" t="s">
        <v>6391</v>
      </c>
      <c r="C166" s="421" t="s">
        <v>7275</v>
      </c>
      <c r="D166" s="421" t="s">
        <v>7282</v>
      </c>
      <c r="E166" s="421" t="s">
        <v>76</v>
      </c>
      <c r="F166" s="421" t="s">
        <v>76</v>
      </c>
      <c r="G166" s="421" t="s">
        <v>76</v>
      </c>
      <c r="H166" s="421" t="s">
        <v>76</v>
      </c>
      <c r="I166" s="421" t="s">
        <v>76</v>
      </c>
      <c r="J166" s="421" t="s">
        <v>76</v>
      </c>
      <c r="K166" s="421" t="s">
        <v>76</v>
      </c>
      <c r="L166" s="421" t="s">
        <v>76</v>
      </c>
      <c r="M166" s="421" t="s">
        <v>76</v>
      </c>
      <c r="N166" s="421" t="s">
        <v>7043</v>
      </c>
      <c r="O166" s="421" t="s">
        <v>76</v>
      </c>
      <c r="P166" s="421" t="s">
        <v>76</v>
      </c>
      <c r="Q166" s="421" t="s">
        <v>76</v>
      </c>
      <c r="R166" s="422" t="s">
        <v>76</v>
      </c>
    </row>
    <row r="167" spans="1:18">
      <c r="A167" s="420" t="s">
        <v>7217</v>
      </c>
      <c r="B167" s="421" t="s">
        <v>6391</v>
      </c>
      <c r="C167" s="421" t="s">
        <v>7275</v>
      </c>
      <c r="D167" s="421" t="s">
        <v>7283</v>
      </c>
      <c r="E167" s="421" t="s">
        <v>76</v>
      </c>
      <c r="F167" s="421" t="s">
        <v>76</v>
      </c>
      <c r="G167" s="421" t="s">
        <v>76</v>
      </c>
      <c r="H167" s="421" t="s">
        <v>76</v>
      </c>
      <c r="I167" s="421" t="s">
        <v>76</v>
      </c>
      <c r="J167" s="421" t="s">
        <v>76</v>
      </c>
      <c r="K167" s="421" t="s">
        <v>76</v>
      </c>
      <c r="L167" s="421" t="s">
        <v>76</v>
      </c>
      <c r="M167" s="421" t="s">
        <v>76</v>
      </c>
      <c r="N167" s="421" t="s">
        <v>7043</v>
      </c>
      <c r="O167" s="421" t="s">
        <v>76</v>
      </c>
      <c r="P167" s="421" t="s">
        <v>76</v>
      </c>
      <c r="Q167" s="421" t="s">
        <v>76</v>
      </c>
      <c r="R167" s="422" t="s">
        <v>76</v>
      </c>
    </row>
    <row r="168" spans="1:18">
      <c r="A168" s="420" t="s">
        <v>7217</v>
      </c>
      <c r="B168" s="421" t="s">
        <v>6391</v>
      </c>
      <c r="C168" s="421" t="s">
        <v>7275</v>
      </c>
      <c r="D168" s="421" t="s">
        <v>7284</v>
      </c>
      <c r="E168" s="421" t="s">
        <v>76</v>
      </c>
      <c r="F168" s="421" t="s">
        <v>76</v>
      </c>
      <c r="G168" s="421" t="s">
        <v>76</v>
      </c>
      <c r="H168" s="421" t="s">
        <v>76</v>
      </c>
      <c r="I168" s="421" t="s">
        <v>76</v>
      </c>
      <c r="J168" s="421" t="s">
        <v>76</v>
      </c>
      <c r="K168" s="421" t="s">
        <v>76</v>
      </c>
      <c r="L168" s="421" t="s">
        <v>76</v>
      </c>
      <c r="M168" s="421" t="s">
        <v>76</v>
      </c>
      <c r="N168" s="421" t="s">
        <v>7043</v>
      </c>
      <c r="O168" s="421" t="s">
        <v>76</v>
      </c>
      <c r="P168" s="421" t="s">
        <v>76</v>
      </c>
      <c r="Q168" s="421" t="s">
        <v>76</v>
      </c>
      <c r="R168" s="422" t="s">
        <v>76</v>
      </c>
    </row>
    <row r="169" spans="1:18">
      <c r="A169" s="420" t="s">
        <v>7217</v>
      </c>
      <c r="B169" s="421" t="s">
        <v>6391</v>
      </c>
      <c r="C169" s="421" t="s">
        <v>7275</v>
      </c>
      <c r="D169" s="421" t="s">
        <v>7285</v>
      </c>
      <c r="E169" s="421" t="s">
        <v>76</v>
      </c>
      <c r="F169" s="421" t="s">
        <v>76</v>
      </c>
      <c r="G169" s="421" t="s">
        <v>76</v>
      </c>
      <c r="H169" s="421" t="s">
        <v>76</v>
      </c>
      <c r="I169" s="421" t="s">
        <v>76</v>
      </c>
      <c r="J169" s="421" t="s">
        <v>76</v>
      </c>
      <c r="K169" s="421" t="s">
        <v>76</v>
      </c>
      <c r="L169" s="421" t="s">
        <v>76</v>
      </c>
      <c r="M169" s="421" t="s">
        <v>76</v>
      </c>
      <c r="N169" s="421" t="s">
        <v>7043</v>
      </c>
      <c r="O169" s="421" t="s">
        <v>76</v>
      </c>
      <c r="P169" s="421" t="s">
        <v>76</v>
      </c>
      <c r="Q169" s="421" t="s">
        <v>76</v>
      </c>
      <c r="R169" s="422" t="s">
        <v>76</v>
      </c>
    </row>
    <row r="170" spans="1:18">
      <c r="A170" s="420" t="s">
        <v>7217</v>
      </c>
      <c r="B170" s="421" t="s">
        <v>6391</v>
      </c>
      <c r="C170" s="421" t="s">
        <v>7275</v>
      </c>
      <c r="D170" s="421" t="s">
        <v>7286</v>
      </c>
      <c r="E170" s="421" t="s">
        <v>76</v>
      </c>
      <c r="F170" s="421" t="s">
        <v>76</v>
      </c>
      <c r="G170" s="421" t="s">
        <v>76</v>
      </c>
      <c r="H170" s="421" t="s">
        <v>76</v>
      </c>
      <c r="I170" s="421" t="s">
        <v>76</v>
      </c>
      <c r="J170" s="421" t="s">
        <v>76</v>
      </c>
      <c r="K170" s="421" t="s">
        <v>76</v>
      </c>
      <c r="L170" s="421" t="s">
        <v>76</v>
      </c>
      <c r="M170" s="421" t="s">
        <v>76</v>
      </c>
      <c r="N170" s="421" t="s">
        <v>7043</v>
      </c>
      <c r="O170" s="421" t="s">
        <v>76</v>
      </c>
      <c r="P170" s="421" t="s">
        <v>76</v>
      </c>
      <c r="Q170" s="421" t="s">
        <v>76</v>
      </c>
      <c r="R170" s="422" t="s">
        <v>76</v>
      </c>
    </row>
    <row r="171" spans="1:18">
      <c r="A171" s="420" t="s">
        <v>7234</v>
      </c>
      <c r="B171" s="421" t="s">
        <v>6399</v>
      </c>
      <c r="C171" s="421" t="s">
        <v>7287</v>
      </c>
      <c r="D171" s="421" t="s">
        <v>7288</v>
      </c>
      <c r="E171" s="421" t="s">
        <v>76</v>
      </c>
      <c r="F171" s="421" t="s">
        <v>76</v>
      </c>
      <c r="G171" s="421" t="s">
        <v>76</v>
      </c>
      <c r="H171" s="421" t="s">
        <v>76</v>
      </c>
      <c r="I171" s="421" t="s">
        <v>76</v>
      </c>
      <c r="J171" s="421" t="s">
        <v>76</v>
      </c>
      <c r="K171" s="421" t="s">
        <v>76</v>
      </c>
      <c r="L171" s="421" t="s">
        <v>76</v>
      </c>
      <c r="M171" s="421" t="s">
        <v>76</v>
      </c>
      <c r="N171" s="421" t="s">
        <v>7043</v>
      </c>
      <c r="O171" s="421" t="s">
        <v>76</v>
      </c>
      <c r="P171" s="421" t="s">
        <v>76</v>
      </c>
      <c r="Q171" s="421" t="s">
        <v>76</v>
      </c>
      <c r="R171" s="422" t="s">
        <v>76</v>
      </c>
    </row>
    <row r="172" spans="1:18">
      <c r="A172" s="420" t="s">
        <v>7234</v>
      </c>
      <c r="B172" s="421" t="s">
        <v>6399</v>
      </c>
      <c r="C172" s="421" t="s">
        <v>7287</v>
      </c>
      <c r="D172" s="421" t="s">
        <v>7289</v>
      </c>
      <c r="E172" s="421" t="s">
        <v>76</v>
      </c>
      <c r="F172" s="421" t="s">
        <v>76</v>
      </c>
      <c r="G172" s="421" t="s">
        <v>76</v>
      </c>
      <c r="H172" s="421" t="s">
        <v>76</v>
      </c>
      <c r="I172" s="421" t="s">
        <v>76</v>
      </c>
      <c r="J172" s="421" t="s">
        <v>76</v>
      </c>
      <c r="K172" s="421" t="s">
        <v>76</v>
      </c>
      <c r="L172" s="421" t="s">
        <v>76</v>
      </c>
      <c r="M172" s="421" t="s">
        <v>76</v>
      </c>
      <c r="N172" s="421" t="s">
        <v>7043</v>
      </c>
      <c r="O172" s="421" t="s">
        <v>76</v>
      </c>
      <c r="P172" s="421" t="s">
        <v>76</v>
      </c>
      <c r="Q172" s="421" t="s">
        <v>76</v>
      </c>
      <c r="R172" s="422" t="s">
        <v>76</v>
      </c>
    </row>
    <row r="173" spans="1:18">
      <c r="A173" s="420" t="s">
        <v>7234</v>
      </c>
      <c r="B173" s="421" t="s">
        <v>6399</v>
      </c>
      <c r="C173" s="421" t="s">
        <v>7287</v>
      </c>
      <c r="D173" s="421" t="s">
        <v>7290</v>
      </c>
      <c r="E173" s="421" t="s">
        <v>76</v>
      </c>
      <c r="F173" s="421" t="s">
        <v>76</v>
      </c>
      <c r="G173" s="421" t="s">
        <v>76</v>
      </c>
      <c r="H173" s="421" t="s">
        <v>76</v>
      </c>
      <c r="I173" s="421" t="s">
        <v>76</v>
      </c>
      <c r="J173" s="421" t="s">
        <v>76</v>
      </c>
      <c r="K173" s="421" t="s">
        <v>76</v>
      </c>
      <c r="L173" s="421" t="s">
        <v>76</v>
      </c>
      <c r="M173" s="421" t="s">
        <v>76</v>
      </c>
      <c r="N173" s="421" t="s">
        <v>7043</v>
      </c>
      <c r="O173" s="421" t="s">
        <v>76</v>
      </c>
      <c r="P173" s="421" t="s">
        <v>76</v>
      </c>
      <c r="Q173" s="421" t="s">
        <v>76</v>
      </c>
      <c r="R173" s="422" t="s">
        <v>76</v>
      </c>
    </row>
    <row r="174" spans="1:18">
      <c r="A174" s="420" t="s">
        <v>7234</v>
      </c>
      <c r="B174" s="421" t="s">
        <v>6399</v>
      </c>
      <c r="C174" s="421" t="s">
        <v>7287</v>
      </c>
      <c r="D174" s="421" t="s">
        <v>7291</v>
      </c>
      <c r="E174" s="421" t="s">
        <v>76</v>
      </c>
      <c r="F174" s="421" t="s">
        <v>76</v>
      </c>
      <c r="G174" s="421" t="s">
        <v>76</v>
      </c>
      <c r="H174" s="421" t="s">
        <v>76</v>
      </c>
      <c r="I174" s="421" t="s">
        <v>76</v>
      </c>
      <c r="J174" s="421" t="s">
        <v>76</v>
      </c>
      <c r="K174" s="421" t="s">
        <v>76</v>
      </c>
      <c r="L174" s="421" t="s">
        <v>76</v>
      </c>
      <c r="M174" s="421" t="s">
        <v>76</v>
      </c>
      <c r="N174" s="421" t="s">
        <v>7043</v>
      </c>
      <c r="O174" s="421" t="s">
        <v>76</v>
      </c>
      <c r="P174" s="421" t="s">
        <v>76</v>
      </c>
      <c r="Q174" s="421" t="s">
        <v>76</v>
      </c>
      <c r="R174" s="422" t="s">
        <v>76</v>
      </c>
    </row>
    <row r="175" spans="1:18">
      <c r="A175" s="420" t="s">
        <v>7234</v>
      </c>
      <c r="B175" s="421" t="s">
        <v>6399</v>
      </c>
      <c r="C175" s="421" t="s">
        <v>7287</v>
      </c>
      <c r="D175" s="421" t="s">
        <v>7292</v>
      </c>
      <c r="E175" s="421" t="s">
        <v>76</v>
      </c>
      <c r="F175" s="421" t="s">
        <v>76</v>
      </c>
      <c r="G175" s="421" t="s">
        <v>76</v>
      </c>
      <c r="H175" s="421" t="s">
        <v>76</v>
      </c>
      <c r="I175" s="421" t="s">
        <v>76</v>
      </c>
      <c r="J175" s="421" t="s">
        <v>76</v>
      </c>
      <c r="K175" s="421" t="s">
        <v>76</v>
      </c>
      <c r="L175" s="421" t="s">
        <v>76</v>
      </c>
      <c r="M175" s="421" t="s">
        <v>76</v>
      </c>
      <c r="N175" s="421" t="s">
        <v>7043</v>
      </c>
      <c r="O175" s="421" t="s">
        <v>76</v>
      </c>
      <c r="P175" s="421" t="s">
        <v>76</v>
      </c>
      <c r="Q175" s="421" t="s">
        <v>76</v>
      </c>
      <c r="R175" s="422" t="s">
        <v>76</v>
      </c>
    </row>
    <row r="176" spans="1:18">
      <c r="A176" s="420" t="s">
        <v>7234</v>
      </c>
      <c r="B176" s="421" t="s">
        <v>6399</v>
      </c>
      <c r="C176" s="421" t="s">
        <v>7287</v>
      </c>
      <c r="D176" s="421" t="s">
        <v>7293</v>
      </c>
      <c r="E176" s="421" t="s">
        <v>76</v>
      </c>
      <c r="F176" s="421" t="s">
        <v>76</v>
      </c>
      <c r="G176" s="421" t="s">
        <v>76</v>
      </c>
      <c r="H176" s="421" t="s">
        <v>76</v>
      </c>
      <c r="I176" s="421" t="s">
        <v>76</v>
      </c>
      <c r="J176" s="421" t="s">
        <v>76</v>
      </c>
      <c r="K176" s="421" t="s">
        <v>76</v>
      </c>
      <c r="L176" s="421" t="s">
        <v>76</v>
      </c>
      <c r="M176" s="421" t="s">
        <v>76</v>
      </c>
      <c r="N176" s="421" t="s">
        <v>7043</v>
      </c>
      <c r="O176" s="421" t="s">
        <v>76</v>
      </c>
      <c r="P176" s="421" t="s">
        <v>76</v>
      </c>
      <c r="Q176" s="421" t="s">
        <v>76</v>
      </c>
      <c r="R176" s="422" t="s">
        <v>76</v>
      </c>
    </row>
    <row r="177" spans="1:18">
      <c r="A177" s="420" t="s">
        <v>7234</v>
      </c>
      <c r="B177" s="421" t="s">
        <v>6399</v>
      </c>
      <c r="C177" s="421" t="s">
        <v>7287</v>
      </c>
      <c r="D177" s="421" t="s">
        <v>7294</v>
      </c>
      <c r="E177" s="421" t="s">
        <v>76</v>
      </c>
      <c r="F177" s="421" t="s">
        <v>76</v>
      </c>
      <c r="G177" s="421" t="s">
        <v>76</v>
      </c>
      <c r="H177" s="421" t="s">
        <v>76</v>
      </c>
      <c r="I177" s="421" t="s">
        <v>76</v>
      </c>
      <c r="J177" s="421" t="s">
        <v>76</v>
      </c>
      <c r="K177" s="421" t="s">
        <v>76</v>
      </c>
      <c r="L177" s="421" t="s">
        <v>76</v>
      </c>
      <c r="M177" s="421" t="s">
        <v>76</v>
      </c>
      <c r="N177" s="421" t="s">
        <v>7043</v>
      </c>
      <c r="O177" s="421" t="s">
        <v>76</v>
      </c>
      <c r="P177" s="421" t="s">
        <v>76</v>
      </c>
      <c r="Q177" s="421" t="s">
        <v>76</v>
      </c>
      <c r="R177" s="422" t="s">
        <v>76</v>
      </c>
    </row>
    <row r="178" spans="1:18">
      <c r="A178" s="420" t="s">
        <v>7234</v>
      </c>
      <c r="B178" s="421" t="s">
        <v>6399</v>
      </c>
      <c r="C178" s="421" t="s">
        <v>7287</v>
      </c>
      <c r="D178" s="421" t="s">
        <v>7295</v>
      </c>
      <c r="E178" s="421" t="s">
        <v>76</v>
      </c>
      <c r="F178" s="421" t="s">
        <v>76</v>
      </c>
      <c r="G178" s="421" t="s">
        <v>76</v>
      </c>
      <c r="H178" s="421" t="s">
        <v>76</v>
      </c>
      <c r="I178" s="421" t="s">
        <v>76</v>
      </c>
      <c r="J178" s="421" t="s">
        <v>76</v>
      </c>
      <c r="K178" s="421" t="s">
        <v>76</v>
      </c>
      <c r="L178" s="421" t="s">
        <v>76</v>
      </c>
      <c r="M178" s="421" t="s">
        <v>76</v>
      </c>
      <c r="N178" s="421" t="s">
        <v>7043</v>
      </c>
      <c r="O178" s="421" t="s">
        <v>76</v>
      </c>
      <c r="P178" s="421" t="s">
        <v>76</v>
      </c>
      <c r="Q178" s="421" t="s">
        <v>76</v>
      </c>
      <c r="R178" s="422" t="s">
        <v>76</v>
      </c>
    </row>
    <row r="179" spans="1:18">
      <c r="A179" s="420" t="s">
        <v>7234</v>
      </c>
      <c r="B179" s="421" t="s">
        <v>6399</v>
      </c>
      <c r="C179" s="421" t="s">
        <v>7287</v>
      </c>
      <c r="D179" s="421" t="s">
        <v>7296</v>
      </c>
      <c r="E179" s="421" t="s">
        <v>76</v>
      </c>
      <c r="F179" s="421" t="s">
        <v>76</v>
      </c>
      <c r="G179" s="421" t="s">
        <v>76</v>
      </c>
      <c r="H179" s="421" t="s">
        <v>76</v>
      </c>
      <c r="I179" s="421" t="s">
        <v>76</v>
      </c>
      <c r="J179" s="421" t="s">
        <v>76</v>
      </c>
      <c r="K179" s="421" t="s">
        <v>76</v>
      </c>
      <c r="L179" s="421" t="s">
        <v>76</v>
      </c>
      <c r="M179" s="421" t="s">
        <v>76</v>
      </c>
      <c r="N179" s="421" t="s">
        <v>7043</v>
      </c>
      <c r="O179" s="421" t="s">
        <v>76</v>
      </c>
      <c r="P179" s="421" t="s">
        <v>76</v>
      </c>
      <c r="Q179" s="421" t="s">
        <v>76</v>
      </c>
      <c r="R179" s="422" t="s">
        <v>76</v>
      </c>
    </row>
    <row r="180" spans="1:18">
      <c r="A180" s="420" t="s">
        <v>7234</v>
      </c>
      <c r="B180" s="421" t="s">
        <v>6399</v>
      </c>
      <c r="C180" s="421" t="s">
        <v>7287</v>
      </c>
      <c r="D180" s="421" t="s">
        <v>7297</v>
      </c>
      <c r="E180" s="421" t="s">
        <v>76</v>
      </c>
      <c r="F180" s="421" t="s">
        <v>76</v>
      </c>
      <c r="G180" s="421" t="s">
        <v>76</v>
      </c>
      <c r="H180" s="421" t="s">
        <v>76</v>
      </c>
      <c r="I180" s="421" t="s">
        <v>76</v>
      </c>
      <c r="J180" s="421" t="s">
        <v>76</v>
      </c>
      <c r="K180" s="421" t="s">
        <v>76</v>
      </c>
      <c r="L180" s="421" t="s">
        <v>76</v>
      </c>
      <c r="M180" s="421" t="s">
        <v>76</v>
      </c>
      <c r="N180" s="421" t="s">
        <v>7043</v>
      </c>
      <c r="O180" s="421" t="s">
        <v>76</v>
      </c>
      <c r="P180" s="421" t="s">
        <v>76</v>
      </c>
      <c r="Q180" s="421" t="s">
        <v>76</v>
      </c>
      <c r="R180" s="422" t="s">
        <v>76</v>
      </c>
    </row>
    <row r="181" spans="1:18">
      <c r="A181" s="420" t="s">
        <v>7234</v>
      </c>
      <c r="B181" s="421" t="s">
        <v>6399</v>
      </c>
      <c r="C181" s="421" t="s">
        <v>7287</v>
      </c>
      <c r="D181" s="421" t="s">
        <v>7298</v>
      </c>
      <c r="E181" s="421" t="s">
        <v>76</v>
      </c>
      <c r="F181" s="421" t="s">
        <v>76</v>
      </c>
      <c r="G181" s="421" t="s">
        <v>76</v>
      </c>
      <c r="H181" s="421" t="s">
        <v>76</v>
      </c>
      <c r="I181" s="421" t="s">
        <v>76</v>
      </c>
      <c r="J181" s="421" t="s">
        <v>76</v>
      </c>
      <c r="K181" s="421" t="s">
        <v>76</v>
      </c>
      <c r="L181" s="421" t="s">
        <v>76</v>
      </c>
      <c r="M181" s="421" t="s">
        <v>76</v>
      </c>
      <c r="N181" s="421" t="s">
        <v>7043</v>
      </c>
      <c r="O181" s="421" t="s">
        <v>76</v>
      </c>
      <c r="P181" s="421" t="s">
        <v>76</v>
      </c>
      <c r="Q181" s="421" t="s">
        <v>76</v>
      </c>
      <c r="R181" s="422" t="s">
        <v>76</v>
      </c>
    </row>
    <row r="182" spans="1:18">
      <c r="A182" s="420" t="s">
        <v>7183</v>
      </c>
      <c r="B182" s="421" t="s">
        <v>6372</v>
      </c>
      <c r="C182" s="421" t="s">
        <v>7299</v>
      </c>
      <c r="D182" s="421" t="s">
        <v>7300</v>
      </c>
      <c r="E182" s="421" t="s">
        <v>76</v>
      </c>
      <c r="F182" s="421" t="s">
        <v>76</v>
      </c>
      <c r="G182" s="421" t="s">
        <v>76</v>
      </c>
      <c r="H182" s="421" t="s">
        <v>7044</v>
      </c>
      <c r="I182" s="421" t="s">
        <v>76</v>
      </c>
      <c r="J182" s="421" t="s">
        <v>76</v>
      </c>
      <c r="K182" s="421" t="s">
        <v>76</v>
      </c>
      <c r="L182" s="421" t="s">
        <v>76</v>
      </c>
      <c r="M182" s="421" t="s">
        <v>76</v>
      </c>
      <c r="N182" s="421" t="s">
        <v>76</v>
      </c>
      <c r="O182" s="421" t="s">
        <v>76</v>
      </c>
      <c r="P182" s="421" t="s">
        <v>7043</v>
      </c>
      <c r="Q182" s="421" t="s">
        <v>76</v>
      </c>
      <c r="R182" s="422" t="s">
        <v>76</v>
      </c>
    </row>
    <row r="183" spans="1:18">
      <c r="A183" s="420" t="s">
        <v>7183</v>
      </c>
      <c r="B183" s="421" t="s">
        <v>6372</v>
      </c>
      <c r="C183" s="421" t="s">
        <v>7299</v>
      </c>
      <c r="D183" s="421" t="s">
        <v>7301</v>
      </c>
      <c r="E183" s="421" t="s">
        <v>76</v>
      </c>
      <c r="F183" s="421" t="s">
        <v>76</v>
      </c>
      <c r="G183" s="421" t="s">
        <v>76</v>
      </c>
      <c r="H183" s="421" t="s">
        <v>7044</v>
      </c>
      <c r="I183" s="421" t="s">
        <v>76</v>
      </c>
      <c r="J183" s="421" t="s">
        <v>76</v>
      </c>
      <c r="K183" s="421" t="s">
        <v>76</v>
      </c>
      <c r="L183" s="421" t="s">
        <v>76</v>
      </c>
      <c r="M183" s="421" t="s">
        <v>76</v>
      </c>
      <c r="N183" s="421" t="s">
        <v>76</v>
      </c>
      <c r="O183" s="421" t="s">
        <v>76</v>
      </c>
      <c r="P183" s="421" t="s">
        <v>7043</v>
      </c>
      <c r="Q183" s="421" t="s">
        <v>76</v>
      </c>
      <c r="R183" s="422" t="s">
        <v>76</v>
      </c>
    </row>
    <row r="184" spans="1:18">
      <c r="A184" s="420" t="s">
        <v>7183</v>
      </c>
      <c r="B184" s="421" t="s">
        <v>6372</v>
      </c>
      <c r="C184" s="421" t="s">
        <v>7299</v>
      </c>
      <c r="D184" s="421" t="s">
        <v>7302</v>
      </c>
      <c r="E184" s="421" t="s">
        <v>76</v>
      </c>
      <c r="F184" s="421" t="s">
        <v>76</v>
      </c>
      <c r="G184" s="421" t="s">
        <v>76</v>
      </c>
      <c r="H184" s="421" t="s">
        <v>7044</v>
      </c>
      <c r="I184" s="421" t="s">
        <v>76</v>
      </c>
      <c r="J184" s="421" t="s">
        <v>76</v>
      </c>
      <c r="K184" s="421" t="s">
        <v>76</v>
      </c>
      <c r="L184" s="421" t="s">
        <v>76</v>
      </c>
      <c r="M184" s="421" t="s">
        <v>76</v>
      </c>
      <c r="N184" s="421" t="s">
        <v>76</v>
      </c>
      <c r="O184" s="421" t="s">
        <v>76</v>
      </c>
      <c r="P184" s="421" t="s">
        <v>7043</v>
      </c>
      <c r="Q184" s="421" t="s">
        <v>76</v>
      </c>
      <c r="R184" s="422" t="s">
        <v>76</v>
      </c>
    </row>
    <row r="185" spans="1:18">
      <c r="A185" s="420" t="s">
        <v>7183</v>
      </c>
      <c r="B185" s="421" t="s">
        <v>6372</v>
      </c>
      <c r="C185" s="421" t="s">
        <v>7299</v>
      </c>
      <c r="D185" s="421" t="s">
        <v>7303</v>
      </c>
      <c r="E185" s="421" t="s">
        <v>76</v>
      </c>
      <c r="F185" s="421" t="s">
        <v>76</v>
      </c>
      <c r="G185" s="421" t="s">
        <v>76</v>
      </c>
      <c r="H185" s="421" t="s">
        <v>7044</v>
      </c>
      <c r="I185" s="421" t="s">
        <v>76</v>
      </c>
      <c r="J185" s="421" t="s">
        <v>76</v>
      </c>
      <c r="K185" s="421" t="s">
        <v>76</v>
      </c>
      <c r="L185" s="421" t="s">
        <v>76</v>
      </c>
      <c r="M185" s="421" t="s">
        <v>76</v>
      </c>
      <c r="N185" s="421" t="s">
        <v>76</v>
      </c>
      <c r="O185" s="421" t="s">
        <v>76</v>
      </c>
      <c r="P185" s="421" t="s">
        <v>7043</v>
      </c>
      <c r="Q185" s="421" t="s">
        <v>76</v>
      </c>
      <c r="R185" s="422" t="s">
        <v>76</v>
      </c>
    </row>
    <row r="186" spans="1:18">
      <c r="A186" s="420" t="s">
        <v>7183</v>
      </c>
      <c r="B186" s="421" t="s">
        <v>6372</v>
      </c>
      <c r="C186" s="421" t="s">
        <v>7299</v>
      </c>
      <c r="D186" s="421" t="s">
        <v>7304</v>
      </c>
      <c r="E186" s="421" t="s">
        <v>76</v>
      </c>
      <c r="F186" s="421" t="s">
        <v>76</v>
      </c>
      <c r="G186" s="421" t="s">
        <v>76</v>
      </c>
      <c r="H186" s="421" t="s">
        <v>7044</v>
      </c>
      <c r="I186" s="421" t="s">
        <v>76</v>
      </c>
      <c r="J186" s="421" t="s">
        <v>76</v>
      </c>
      <c r="K186" s="421" t="s">
        <v>76</v>
      </c>
      <c r="L186" s="421" t="s">
        <v>76</v>
      </c>
      <c r="M186" s="421" t="s">
        <v>76</v>
      </c>
      <c r="N186" s="421" t="s">
        <v>76</v>
      </c>
      <c r="O186" s="421" t="s">
        <v>76</v>
      </c>
      <c r="P186" s="421" t="s">
        <v>7043</v>
      </c>
      <c r="Q186" s="421" t="s">
        <v>76</v>
      </c>
      <c r="R186" s="422" t="s">
        <v>76</v>
      </c>
    </row>
    <row r="187" spans="1:18">
      <c r="A187" s="420" t="s">
        <v>7200</v>
      </c>
      <c r="B187" s="421" t="s">
        <v>6383</v>
      </c>
      <c r="C187" s="421" t="s">
        <v>7305</v>
      </c>
      <c r="D187" s="421" t="s">
        <v>7306</v>
      </c>
      <c r="E187" s="421" t="s">
        <v>76</v>
      </c>
      <c r="F187" s="421" t="s">
        <v>76</v>
      </c>
      <c r="G187" s="421" t="s">
        <v>76</v>
      </c>
      <c r="H187" s="421" t="s">
        <v>7044</v>
      </c>
      <c r="I187" s="421" t="s">
        <v>76</v>
      </c>
      <c r="J187" s="421" t="s">
        <v>76</v>
      </c>
      <c r="K187" s="421" t="s">
        <v>76</v>
      </c>
      <c r="L187" s="421" t="s">
        <v>76</v>
      </c>
      <c r="M187" s="421" t="s">
        <v>76</v>
      </c>
      <c r="N187" s="421" t="s">
        <v>76</v>
      </c>
      <c r="O187" s="421" t="s">
        <v>76</v>
      </c>
      <c r="P187" s="421" t="s">
        <v>7043</v>
      </c>
      <c r="Q187" s="421" t="s">
        <v>76</v>
      </c>
      <c r="R187" s="422" t="s">
        <v>76</v>
      </c>
    </row>
    <row r="188" spans="1:18">
      <c r="A188" s="420" t="s">
        <v>7200</v>
      </c>
      <c r="B188" s="421" t="s">
        <v>6383</v>
      </c>
      <c r="C188" s="421" t="s">
        <v>7305</v>
      </c>
      <c r="D188" s="421" t="s">
        <v>7307</v>
      </c>
      <c r="E188" s="421" t="s">
        <v>76</v>
      </c>
      <c r="F188" s="421" t="s">
        <v>76</v>
      </c>
      <c r="G188" s="421" t="s">
        <v>76</v>
      </c>
      <c r="H188" s="421" t="s">
        <v>7044</v>
      </c>
      <c r="I188" s="421" t="s">
        <v>76</v>
      </c>
      <c r="J188" s="421" t="s">
        <v>76</v>
      </c>
      <c r="K188" s="421" t="s">
        <v>76</v>
      </c>
      <c r="L188" s="421" t="s">
        <v>76</v>
      </c>
      <c r="M188" s="421" t="s">
        <v>76</v>
      </c>
      <c r="N188" s="421" t="s">
        <v>76</v>
      </c>
      <c r="O188" s="421" t="s">
        <v>76</v>
      </c>
      <c r="P188" s="421" t="s">
        <v>7043</v>
      </c>
      <c r="Q188" s="421" t="s">
        <v>76</v>
      </c>
      <c r="R188" s="422" t="s">
        <v>76</v>
      </c>
    </row>
    <row r="189" spans="1:18">
      <c r="A189" s="420" t="s">
        <v>7200</v>
      </c>
      <c r="B189" s="421" t="s">
        <v>6383</v>
      </c>
      <c r="C189" s="421" t="s">
        <v>7305</v>
      </c>
      <c r="D189" s="421" t="s">
        <v>7308</v>
      </c>
      <c r="E189" s="421" t="s">
        <v>76</v>
      </c>
      <c r="F189" s="421" t="s">
        <v>76</v>
      </c>
      <c r="G189" s="421" t="s">
        <v>76</v>
      </c>
      <c r="H189" s="421" t="s">
        <v>7044</v>
      </c>
      <c r="I189" s="421" t="s">
        <v>76</v>
      </c>
      <c r="J189" s="421" t="s">
        <v>76</v>
      </c>
      <c r="K189" s="421" t="s">
        <v>76</v>
      </c>
      <c r="L189" s="421" t="s">
        <v>76</v>
      </c>
      <c r="M189" s="421" t="s">
        <v>76</v>
      </c>
      <c r="N189" s="421" t="s">
        <v>76</v>
      </c>
      <c r="O189" s="421" t="s">
        <v>76</v>
      </c>
      <c r="P189" s="421" t="s">
        <v>7043</v>
      </c>
      <c r="Q189" s="421" t="s">
        <v>76</v>
      </c>
      <c r="R189" s="422" t="s">
        <v>76</v>
      </c>
    </row>
    <row r="190" spans="1:18">
      <c r="A190" s="420" t="s">
        <v>7200</v>
      </c>
      <c r="B190" s="421" t="s">
        <v>6383</v>
      </c>
      <c r="C190" s="421" t="s">
        <v>7305</v>
      </c>
      <c r="D190" s="421" t="s">
        <v>7309</v>
      </c>
      <c r="E190" s="421" t="s">
        <v>76</v>
      </c>
      <c r="F190" s="421" t="s">
        <v>76</v>
      </c>
      <c r="G190" s="421" t="s">
        <v>76</v>
      </c>
      <c r="H190" s="421" t="s">
        <v>7044</v>
      </c>
      <c r="I190" s="421" t="s">
        <v>76</v>
      </c>
      <c r="J190" s="421" t="s">
        <v>76</v>
      </c>
      <c r="K190" s="421" t="s">
        <v>76</v>
      </c>
      <c r="L190" s="421" t="s">
        <v>76</v>
      </c>
      <c r="M190" s="421" t="s">
        <v>76</v>
      </c>
      <c r="N190" s="421" t="s">
        <v>76</v>
      </c>
      <c r="O190" s="421" t="s">
        <v>76</v>
      </c>
      <c r="P190" s="421" t="s">
        <v>7043</v>
      </c>
      <c r="Q190" s="421" t="s">
        <v>76</v>
      </c>
      <c r="R190" s="422" t="s">
        <v>76</v>
      </c>
    </row>
    <row r="191" spans="1:18">
      <c r="A191" s="420" t="s">
        <v>7200</v>
      </c>
      <c r="B191" s="421" t="s">
        <v>6383</v>
      </c>
      <c r="C191" s="421" t="s">
        <v>7305</v>
      </c>
      <c r="D191" s="421" t="s">
        <v>7310</v>
      </c>
      <c r="E191" s="421" t="s">
        <v>76</v>
      </c>
      <c r="F191" s="421" t="s">
        <v>76</v>
      </c>
      <c r="G191" s="421" t="s">
        <v>76</v>
      </c>
      <c r="H191" s="421" t="s">
        <v>7044</v>
      </c>
      <c r="I191" s="421" t="s">
        <v>76</v>
      </c>
      <c r="J191" s="421" t="s">
        <v>76</v>
      </c>
      <c r="K191" s="421" t="s">
        <v>76</v>
      </c>
      <c r="L191" s="421" t="s">
        <v>76</v>
      </c>
      <c r="M191" s="421" t="s">
        <v>76</v>
      </c>
      <c r="N191" s="421" t="s">
        <v>76</v>
      </c>
      <c r="O191" s="421" t="s">
        <v>76</v>
      </c>
      <c r="P191" s="421" t="s">
        <v>7043</v>
      </c>
      <c r="Q191" s="421" t="s">
        <v>76</v>
      </c>
      <c r="R191" s="422" t="s">
        <v>76</v>
      </c>
    </row>
    <row r="192" spans="1:18">
      <c r="A192" s="420" t="s">
        <v>7217</v>
      </c>
      <c r="B192" s="421" t="s">
        <v>6391</v>
      </c>
      <c r="C192" s="421" t="s">
        <v>7311</v>
      </c>
      <c r="D192" s="421" t="s">
        <v>7312</v>
      </c>
      <c r="E192" s="421" t="s">
        <v>76</v>
      </c>
      <c r="F192" s="421" t="s">
        <v>76</v>
      </c>
      <c r="G192" s="421" t="s">
        <v>76</v>
      </c>
      <c r="H192" s="421" t="s">
        <v>76</v>
      </c>
      <c r="I192" s="421" t="s">
        <v>76</v>
      </c>
      <c r="J192" s="421" t="s">
        <v>76</v>
      </c>
      <c r="K192" s="421" t="s">
        <v>76</v>
      </c>
      <c r="L192" s="421" t="s">
        <v>76</v>
      </c>
      <c r="M192" s="421" t="s">
        <v>76</v>
      </c>
      <c r="N192" s="421" t="s">
        <v>7043</v>
      </c>
      <c r="O192" s="421" t="s">
        <v>76</v>
      </c>
      <c r="P192" s="421" t="s">
        <v>76</v>
      </c>
      <c r="Q192" s="421" t="s">
        <v>76</v>
      </c>
      <c r="R192" s="422" t="s">
        <v>76</v>
      </c>
    </row>
    <row r="193" spans="1:18">
      <c r="A193" s="420" t="s">
        <v>7217</v>
      </c>
      <c r="B193" s="421" t="s">
        <v>6391</v>
      </c>
      <c r="C193" s="421" t="s">
        <v>7311</v>
      </c>
      <c r="D193" s="421" t="s">
        <v>7313</v>
      </c>
      <c r="E193" s="421" t="s">
        <v>76</v>
      </c>
      <c r="F193" s="421" t="s">
        <v>76</v>
      </c>
      <c r="G193" s="421" t="s">
        <v>76</v>
      </c>
      <c r="H193" s="421" t="s">
        <v>76</v>
      </c>
      <c r="I193" s="421" t="s">
        <v>76</v>
      </c>
      <c r="J193" s="421" t="s">
        <v>76</v>
      </c>
      <c r="K193" s="421" t="s">
        <v>76</v>
      </c>
      <c r="L193" s="421" t="s">
        <v>76</v>
      </c>
      <c r="M193" s="421" t="s">
        <v>76</v>
      </c>
      <c r="N193" s="421" t="s">
        <v>7043</v>
      </c>
      <c r="O193" s="421" t="s">
        <v>76</v>
      </c>
      <c r="P193" s="421" t="s">
        <v>76</v>
      </c>
      <c r="Q193" s="421" t="s">
        <v>76</v>
      </c>
      <c r="R193" s="422" t="s">
        <v>76</v>
      </c>
    </row>
    <row r="194" spans="1:18">
      <c r="A194" s="420" t="s">
        <v>7217</v>
      </c>
      <c r="B194" s="421" t="s">
        <v>6391</v>
      </c>
      <c r="C194" s="421" t="s">
        <v>7311</v>
      </c>
      <c r="D194" s="421" t="s">
        <v>7314</v>
      </c>
      <c r="E194" s="421" t="s">
        <v>76</v>
      </c>
      <c r="F194" s="421" t="s">
        <v>76</v>
      </c>
      <c r="G194" s="421" t="s">
        <v>76</v>
      </c>
      <c r="H194" s="421" t="s">
        <v>76</v>
      </c>
      <c r="I194" s="421" t="s">
        <v>76</v>
      </c>
      <c r="J194" s="421" t="s">
        <v>76</v>
      </c>
      <c r="K194" s="421" t="s">
        <v>76</v>
      </c>
      <c r="L194" s="421" t="s">
        <v>76</v>
      </c>
      <c r="M194" s="421" t="s">
        <v>76</v>
      </c>
      <c r="N194" s="421" t="s">
        <v>7043</v>
      </c>
      <c r="O194" s="421" t="s">
        <v>76</v>
      </c>
      <c r="P194" s="421" t="s">
        <v>76</v>
      </c>
      <c r="Q194" s="421" t="s">
        <v>76</v>
      </c>
      <c r="R194" s="422" t="s">
        <v>76</v>
      </c>
    </row>
    <row r="195" spans="1:18">
      <c r="A195" s="420" t="s">
        <v>7217</v>
      </c>
      <c r="B195" s="421" t="s">
        <v>6391</v>
      </c>
      <c r="C195" s="421" t="s">
        <v>7311</v>
      </c>
      <c r="D195" s="421" t="s">
        <v>7315</v>
      </c>
      <c r="E195" s="421" t="s">
        <v>76</v>
      </c>
      <c r="F195" s="421" t="s">
        <v>76</v>
      </c>
      <c r="G195" s="421" t="s">
        <v>76</v>
      </c>
      <c r="H195" s="421" t="s">
        <v>76</v>
      </c>
      <c r="I195" s="421" t="s">
        <v>76</v>
      </c>
      <c r="J195" s="421" t="s">
        <v>76</v>
      </c>
      <c r="K195" s="421" t="s">
        <v>76</v>
      </c>
      <c r="L195" s="421" t="s">
        <v>76</v>
      </c>
      <c r="M195" s="421" t="s">
        <v>76</v>
      </c>
      <c r="N195" s="421" t="s">
        <v>7043</v>
      </c>
      <c r="O195" s="421" t="s">
        <v>76</v>
      </c>
      <c r="P195" s="421" t="s">
        <v>76</v>
      </c>
      <c r="Q195" s="421" t="s">
        <v>76</v>
      </c>
      <c r="R195" s="422" t="s">
        <v>76</v>
      </c>
    </row>
    <row r="196" spans="1:18">
      <c r="A196" s="420" t="s">
        <v>7217</v>
      </c>
      <c r="B196" s="421" t="s">
        <v>6391</v>
      </c>
      <c r="C196" s="421" t="s">
        <v>7311</v>
      </c>
      <c r="D196" s="421" t="s">
        <v>7316</v>
      </c>
      <c r="E196" s="421" t="s">
        <v>76</v>
      </c>
      <c r="F196" s="421" t="s">
        <v>76</v>
      </c>
      <c r="G196" s="421" t="s">
        <v>76</v>
      </c>
      <c r="H196" s="421" t="s">
        <v>76</v>
      </c>
      <c r="I196" s="421" t="s">
        <v>76</v>
      </c>
      <c r="J196" s="421" t="s">
        <v>76</v>
      </c>
      <c r="K196" s="421" t="s">
        <v>76</v>
      </c>
      <c r="L196" s="421" t="s">
        <v>76</v>
      </c>
      <c r="M196" s="421" t="s">
        <v>76</v>
      </c>
      <c r="N196" s="421" t="s">
        <v>7043</v>
      </c>
      <c r="O196" s="421" t="s">
        <v>76</v>
      </c>
      <c r="P196" s="421" t="s">
        <v>76</v>
      </c>
      <c r="Q196" s="421" t="s">
        <v>76</v>
      </c>
      <c r="R196" s="422" t="s">
        <v>76</v>
      </c>
    </row>
    <row r="197" spans="1:18">
      <c r="A197" s="420" t="s">
        <v>7234</v>
      </c>
      <c r="B197" s="421" t="s">
        <v>6399</v>
      </c>
      <c r="C197" s="421" t="s">
        <v>7317</v>
      </c>
      <c r="D197" s="421" t="s">
        <v>7318</v>
      </c>
      <c r="E197" s="421" t="s">
        <v>76</v>
      </c>
      <c r="F197" s="421" t="s">
        <v>76</v>
      </c>
      <c r="G197" s="421" t="s">
        <v>76</v>
      </c>
      <c r="H197" s="421" t="s">
        <v>76</v>
      </c>
      <c r="I197" s="421" t="s">
        <v>76</v>
      </c>
      <c r="J197" s="421" t="s">
        <v>76</v>
      </c>
      <c r="K197" s="421" t="s">
        <v>76</v>
      </c>
      <c r="L197" s="421" t="s">
        <v>76</v>
      </c>
      <c r="M197" s="421" t="s">
        <v>76</v>
      </c>
      <c r="N197" s="421" t="s">
        <v>7043</v>
      </c>
      <c r="O197" s="421" t="s">
        <v>76</v>
      </c>
      <c r="P197" s="421" t="s">
        <v>76</v>
      </c>
      <c r="Q197" s="421" t="s">
        <v>76</v>
      </c>
      <c r="R197" s="422" t="s">
        <v>76</v>
      </c>
    </row>
    <row r="198" spans="1:18">
      <c r="A198" s="420" t="s">
        <v>7234</v>
      </c>
      <c r="B198" s="421" t="s">
        <v>6399</v>
      </c>
      <c r="C198" s="421" t="s">
        <v>7317</v>
      </c>
      <c r="D198" s="421" t="s">
        <v>7319</v>
      </c>
      <c r="E198" s="421" t="s">
        <v>76</v>
      </c>
      <c r="F198" s="421" t="s">
        <v>76</v>
      </c>
      <c r="G198" s="421" t="s">
        <v>76</v>
      </c>
      <c r="H198" s="421" t="s">
        <v>76</v>
      </c>
      <c r="I198" s="421" t="s">
        <v>76</v>
      </c>
      <c r="J198" s="421" t="s">
        <v>76</v>
      </c>
      <c r="K198" s="421" t="s">
        <v>76</v>
      </c>
      <c r="L198" s="421" t="s">
        <v>76</v>
      </c>
      <c r="M198" s="421" t="s">
        <v>76</v>
      </c>
      <c r="N198" s="421" t="s">
        <v>7043</v>
      </c>
      <c r="O198" s="421" t="s">
        <v>76</v>
      </c>
      <c r="P198" s="421" t="s">
        <v>76</v>
      </c>
      <c r="Q198" s="421" t="s">
        <v>76</v>
      </c>
      <c r="R198" s="422" t="s">
        <v>76</v>
      </c>
    </row>
    <row r="199" spans="1:18">
      <c r="A199" s="420" t="s">
        <v>7234</v>
      </c>
      <c r="B199" s="421" t="s">
        <v>6399</v>
      </c>
      <c r="C199" s="421" t="s">
        <v>7317</v>
      </c>
      <c r="D199" s="421" t="s">
        <v>7320</v>
      </c>
      <c r="E199" s="421" t="s">
        <v>76</v>
      </c>
      <c r="F199" s="421" t="s">
        <v>76</v>
      </c>
      <c r="G199" s="421" t="s">
        <v>76</v>
      </c>
      <c r="H199" s="421" t="s">
        <v>76</v>
      </c>
      <c r="I199" s="421" t="s">
        <v>76</v>
      </c>
      <c r="J199" s="421" t="s">
        <v>76</v>
      </c>
      <c r="K199" s="421" t="s">
        <v>76</v>
      </c>
      <c r="L199" s="421" t="s">
        <v>76</v>
      </c>
      <c r="M199" s="421" t="s">
        <v>76</v>
      </c>
      <c r="N199" s="421" t="s">
        <v>7043</v>
      </c>
      <c r="O199" s="421" t="s">
        <v>76</v>
      </c>
      <c r="P199" s="421" t="s">
        <v>76</v>
      </c>
      <c r="Q199" s="421" t="s">
        <v>76</v>
      </c>
      <c r="R199" s="422" t="s">
        <v>76</v>
      </c>
    </row>
    <row r="200" spans="1:18">
      <c r="A200" s="420" t="s">
        <v>7234</v>
      </c>
      <c r="B200" s="421" t="s">
        <v>6399</v>
      </c>
      <c r="C200" s="421" t="s">
        <v>7317</v>
      </c>
      <c r="D200" s="421" t="s">
        <v>7321</v>
      </c>
      <c r="E200" s="421" t="s">
        <v>76</v>
      </c>
      <c r="F200" s="421" t="s">
        <v>76</v>
      </c>
      <c r="G200" s="421" t="s">
        <v>76</v>
      </c>
      <c r="H200" s="421" t="s">
        <v>76</v>
      </c>
      <c r="I200" s="421" t="s">
        <v>76</v>
      </c>
      <c r="J200" s="421" t="s">
        <v>76</v>
      </c>
      <c r="K200" s="421" t="s">
        <v>76</v>
      </c>
      <c r="L200" s="421" t="s">
        <v>76</v>
      </c>
      <c r="M200" s="421" t="s">
        <v>76</v>
      </c>
      <c r="N200" s="421" t="s">
        <v>7043</v>
      </c>
      <c r="O200" s="421" t="s">
        <v>76</v>
      </c>
      <c r="P200" s="421" t="s">
        <v>76</v>
      </c>
      <c r="Q200" s="421" t="s">
        <v>76</v>
      </c>
      <c r="R200" s="422" t="s">
        <v>76</v>
      </c>
    </row>
    <row r="201" spans="1:18">
      <c r="A201" s="420" t="s">
        <v>7234</v>
      </c>
      <c r="B201" s="421" t="s">
        <v>6399</v>
      </c>
      <c r="C201" s="421" t="s">
        <v>7317</v>
      </c>
      <c r="D201" s="421" t="s">
        <v>7322</v>
      </c>
      <c r="E201" s="421" t="s">
        <v>76</v>
      </c>
      <c r="F201" s="421" t="s">
        <v>76</v>
      </c>
      <c r="G201" s="421" t="s">
        <v>76</v>
      </c>
      <c r="H201" s="421" t="s">
        <v>76</v>
      </c>
      <c r="I201" s="421" t="s">
        <v>76</v>
      </c>
      <c r="J201" s="421" t="s">
        <v>76</v>
      </c>
      <c r="K201" s="421" t="s">
        <v>76</v>
      </c>
      <c r="L201" s="421" t="s">
        <v>76</v>
      </c>
      <c r="M201" s="421" t="s">
        <v>76</v>
      </c>
      <c r="N201" s="421" t="s">
        <v>7043</v>
      </c>
      <c r="O201" s="421" t="s">
        <v>76</v>
      </c>
      <c r="P201" s="421" t="s">
        <v>76</v>
      </c>
      <c r="Q201" s="421" t="s">
        <v>76</v>
      </c>
      <c r="R201" s="422" t="s">
        <v>76</v>
      </c>
    </row>
    <row r="202" spans="1:18">
      <c r="A202" s="420" t="s">
        <v>7323</v>
      </c>
      <c r="B202" s="421" t="s">
        <v>6407</v>
      </c>
      <c r="C202" s="421" t="s">
        <v>7324</v>
      </c>
      <c r="D202" s="421" t="s">
        <v>7325</v>
      </c>
      <c r="E202" s="421" t="s">
        <v>7041</v>
      </c>
      <c r="F202" s="421" t="s">
        <v>7042</v>
      </c>
      <c r="G202" s="421" t="s">
        <v>7042</v>
      </c>
      <c r="H202" s="421" t="s">
        <v>7042</v>
      </c>
      <c r="I202" s="421" t="s">
        <v>7043</v>
      </c>
      <c r="J202" s="421" t="s">
        <v>7043</v>
      </c>
      <c r="K202" s="421" t="s">
        <v>7043</v>
      </c>
      <c r="L202" s="421" t="s">
        <v>7044</v>
      </c>
      <c r="M202" s="421" t="s">
        <v>7043</v>
      </c>
      <c r="N202" s="421" t="s">
        <v>7044</v>
      </c>
      <c r="O202" s="421" t="s">
        <v>7043</v>
      </c>
      <c r="P202" s="421" t="s">
        <v>76</v>
      </c>
      <c r="Q202" s="421" t="s">
        <v>76</v>
      </c>
      <c r="R202" s="422" t="s">
        <v>76</v>
      </c>
    </row>
    <row r="203" spans="1:18">
      <c r="A203" s="420" t="s">
        <v>7326</v>
      </c>
      <c r="B203" s="421" t="s">
        <v>6417</v>
      </c>
      <c r="C203" s="421" t="s">
        <v>7327</v>
      </c>
      <c r="D203" s="421" t="s">
        <v>7328</v>
      </c>
      <c r="E203" s="421" t="s">
        <v>7044</v>
      </c>
      <c r="F203" s="421" t="s">
        <v>7043</v>
      </c>
      <c r="G203" s="421" t="s">
        <v>7043</v>
      </c>
      <c r="H203" s="421" t="s">
        <v>7043</v>
      </c>
      <c r="I203" s="421" t="s">
        <v>76</v>
      </c>
      <c r="J203" s="421" t="s">
        <v>7043</v>
      </c>
      <c r="K203" s="421" t="s">
        <v>7043</v>
      </c>
      <c r="L203" s="421" t="s">
        <v>7044</v>
      </c>
      <c r="M203" s="421" t="s">
        <v>7043</v>
      </c>
      <c r="N203" s="421" t="s">
        <v>7044</v>
      </c>
      <c r="O203" s="421" t="s">
        <v>7043</v>
      </c>
      <c r="P203" s="421" t="s">
        <v>76</v>
      </c>
      <c r="Q203" s="421" t="s">
        <v>76</v>
      </c>
      <c r="R203" s="422" t="s">
        <v>76</v>
      </c>
    </row>
    <row r="204" spans="1:18">
      <c r="A204" s="420" t="s">
        <v>7329</v>
      </c>
      <c r="B204" s="421" t="s">
        <v>6426</v>
      </c>
      <c r="C204" s="421" t="s">
        <v>7330</v>
      </c>
      <c r="D204" s="421" t="s">
        <v>7331</v>
      </c>
      <c r="E204" s="421" t="s">
        <v>76</v>
      </c>
      <c r="F204" s="421" t="s">
        <v>76</v>
      </c>
      <c r="G204" s="421" t="s">
        <v>76</v>
      </c>
      <c r="H204" s="421" t="s">
        <v>7044</v>
      </c>
      <c r="I204" s="421" t="s">
        <v>76</v>
      </c>
      <c r="J204" s="421" t="s">
        <v>76</v>
      </c>
      <c r="K204" s="421" t="s">
        <v>76</v>
      </c>
      <c r="L204" s="421" t="s">
        <v>76</v>
      </c>
      <c r="M204" s="421" t="s">
        <v>76</v>
      </c>
      <c r="N204" s="421" t="s">
        <v>76</v>
      </c>
      <c r="O204" s="421" t="s">
        <v>76</v>
      </c>
      <c r="P204" s="421" t="s">
        <v>7043</v>
      </c>
      <c r="Q204" s="421" t="s">
        <v>76</v>
      </c>
      <c r="R204" s="422" t="s">
        <v>76</v>
      </c>
    </row>
    <row r="205" spans="1:18">
      <c r="A205" s="420" t="s">
        <v>7332</v>
      </c>
      <c r="B205" s="421" t="s">
        <v>6435</v>
      </c>
      <c r="C205" s="421" t="s">
        <v>7333</v>
      </c>
      <c r="D205" s="421" t="s">
        <v>7334</v>
      </c>
      <c r="E205" s="421" t="s">
        <v>76</v>
      </c>
      <c r="F205" s="421" t="s">
        <v>76</v>
      </c>
      <c r="G205" s="421" t="s">
        <v>76</v>
      </c>
      <c r="H205" s="421" t="s">
        <v>7044</v>
      </c>
      <c r="I205" s="421" t="s">
        <v>76</v>
      </c>
      <c r="J205" s="421" t="s">
        <v>76</v>
      </c>
      <c r="K205" s="421" t="s">
        <v>76</v>
      </c>
      <c r="L205" s="421" t="s">
        <v>76</v>
      </c>
      <c r="M205" s="421" t="s">
        <v>76</v>
      </c>
      <c r="N205" s="421" t="s">
        <v>76</v>
      </c>
      <c r="O205" s="421" t="s">
        <v>76</v>
      </c>
      <c r="P205" s="421" t="s">
        <v>7043</v>
      </c>
      <c r="Q205" s="421" t="s">
        <v>76</v>
      </c>
      <c r="R205" s="422" t="s">
        <v>76</v>
      </c>
    </row>
    <row r="206" spans="1:18">
      <c r="A206" s="420" t="s">
        <v>7335</v>
      </c>
      <c r="B206" s="421" t="s">
        <v>6440</v>
      </c>
      <c r="C206" s="421" t="s">
        <v>7336</v>
      </c>
      <c r="D206" s="421" t="s">
        <v>7337</v>
      </c>
      <c r="E206" s="421" t="s">
        <v>76</v>
      </c>
      <c r="F206" s="421" t="s">
        <v>76</v>
      </c>
      <c r="G206" s="421" t="s">
        <v>76</v>
      </c>
      <c r="H206" s="421" t="s">
        <v>76</v>
      </c>
      <c r="I206" s="421" t="s">
        <v>76</v>
      </c>
      <c r="J206" s="421" t="s">
        <v>76</v>
      </c>
      <c r="K206" s="421" t="s">
        <v>76</v>
      </c>
      <c r="L206" s="421" t="s">
        <v>76</v>
      </c>
      <c r="M206" s="421" t="s">
        <v>76</v>
      </c>
      <c r="N206" s="421" t="s">
        <v>7043</v>
      </c>
      <c r="O206" s="421" t="s">
        <v>76</v>
      </c>
      <c r="P206" s="421" t="s">
        <v>76</v>
      </c>
      <c r="Q206" s="421" t="s">
        <v>76</v>
      </c>
      <c r="R206" s="422" t="s">
        <v>76</v>
      </c>
    </row>
    <row r="207" spans="1:18">
      <c r="A207" s="420" t="s">
        <v>7338</v>
      </c>
      <c r="B207" s="421" t="s">
        <v>6446</v>
      </c>
      <c r="C207" s="421" t="s">
        <v>7339</v>
      </c>
      <c r="D207" s="421" t="s">
        <v>7340</v>
      </c>
      <c r="E207" s="421" t="s">
        <v>76</v>
      </c>
      <c r="F207" s="421" t="s">
        <v>76</v>
      </c>
      <c r="G207" s="421" t="s">
        <v>76</v>
      </c>
      <c r="H207" s="421" t="s">
        <v>76</v>
      </c>
      <c r="I207" s="421" t="s">
        <v>76</v>
      </c>
      <c r="J207" s="421" t="s">
        <v>76</v>
      </c>
      <c r="K207" s="421" t="s">
        <v>76</v>
      </c>
      <c r="L207" s="421" t="s">
        <v>76</v>
      </c>
      <c r="M207" s="421" t="s">
        <v>76</v>
      </c>
      <c r="N207" s="421" t="s">
        <v>7043</v>
      </c>
      <c r="O207" s="421" t="s">
        <v>76</v>
      </c>
      <c r="P207" s="421" t="s">
        <v>76</v>
      </c>
      <c r="Q207" s="421" t="s">
        <v>76</v>
      </c>
      <c r="R207" s="422" t="s">
        <v>76</v>
      </c>
    </row>
    <row r="208" spans="1:18">
      <c r="A208" s="420" t="s">
        <v>7341</v>
      </c>
      <c r="B208" s="421" t="s">
        <v>6451</v>
      </c>
      <c r="C208" s="421" t="s">
        <v>7342</v>
      </c>
      <c r="D208" s="421" t="s">
        <v>7343</v>
      </c>
      <c r="E208" s="421" t="s">
        <v>7041</v>
      </c>
      <c r="F208" s="421" t="s">
        <v>7042</v>
      </c>
      <c r="G208" s="421" t="s">
        <v>7042</v>
      </c>
      <c r="H208" s="421" t="s">
        <v>7042</v>
      </c>
      <c r="I208" s="421" t="s">
        <v>7043</v>
      </c>
      <c r="J208" s="421" t="s">
        <v>7043</v>
      </c>
      <c r="K208" s="421" t="s">
        <v>7043</v>
      </c>
      <c r="L208" s="421" t="s">
        <v>7044</v>
      </c>
      <c r="M208" s="421" t="s">
        <v>7043</v>
      </c>
      <c r="N208" s="421" t="s">
        <v>7044</v>
      </c>
      <c r="O208" s="421" t="s">
        <v>7043</v>
      </c>
      <c r="P208" s="421" t="s">
        <v>76</v>
      </c>
      <c r="Q208" s="421" t="s">
        <v>76</v>
      </c>
      <c r="R208" s="422" t="s">
        <v>76</v>
      </c>
    </row>
    <row r="209" spans="1:18">
      <c r="A209" s="420" t="s">
        <v>7341</v>
      </c>
      <c r="B209" s="421" t="s">
        <v>6451</v>
      </c>
      <c r="C209" s="421" t="s">
        <v>7342</v>
      </c>
      <c r="D209" s="421" t="s">
        <v>7344</v>
      </c>
      <c r="E209" s="421" t="s">
        <v>7041</v>
      </c>
      <c r="F209" s="421" t="s">
        <v>7042</v>
      </c>
      <c r="G209" s="421" t="s">
        <v>7042</v>
      </c>
      <c r="H209" s="421" t="s">
        <v>7042</v>
      </c>
      <c r="I209" s="421" t="s">
        <v>7043</v>
      </c>
      <c r="J209" s="421" t="s">
        <v>7043</v>
      </c>
      <c r="K209" s="421" t="s">
        <v>7043</v>
      </c>
      <c r="L209" s="421" t="s">
        <v>7044</v>
      </c>
      <c r="M209" s="421" t="s">
        <v>7043</v>
      </c>
      <c r="N209" s="421" t="s">
        <v>7044</v>
      </c>
      <c r="O209" s="421" t="s">
        <v>7043</v>
      </c>
      <c r="P209" s="421" t="s">
        <v>76</v>
      </c>
      <c r="Q209" s="421" t="s">
        <v>76</v>
      </c>
      <c r="R209" s="422" t="s">
        <v>76</v>
      </c>
    </row>
    <row r="210" spans="1:18">
      <c r="A210" s="420" t="s">
        <v>7341</v>
      </c>
      <c r="B210" s="421" t="s">
        <v>6451</v>
      </c>
      <c r="C210" s="421" t="s">
        <v>7342</v>
      </c>
      <c r="D210" s="421" t="s">
        <v>7345</v>
      </c>
      <c r="E210" s="421" t="s">
        <v>7041</v>
      </c>
      <c r="F210" s="421" t="s">
        <v>7042</v>
      </c>
      <c r="G210" s="421" t="s">
        <v>7042</v>
      </c>
      <c r="H210" s="421" t="s">
        <v>7042</v>
      </c>
      <c r="I210" s="421" t="s">
        <v>7043</v>
      </c>
      <c r="J210" s="421" t="s">
        <v>7043</v>
      </c>
      <c r="K210" s="421" t="s">
        <v>7043</v>
      </c>
      <c r="L210" s="421" t="s">
        <v>7044</v>
      </c>
      <c r="M210" s="421" t="s">
        <v>7043</v>
      </c>
      <c r="N210" s="421" t="s">
        <v>7044</v>
      </c>
      <c r="O210" s="421" t="s">
        <v>7043</v>
      </c>
      <c r="P210" s="421" t="s">
        <v>76</v>
      </c>
      <c r="Q210" s="421" t="s">
        <v>76</v>
      </c>
      <c r="R210" s="422" t="s">
        <v>76</v>
      </c>
    </row>
    <row r="211" spans="1:18">
      <c r="A211" s="420" t="s">
        <v>7346</v>
      </c>
      <c r="B211" s="421" t="s">
        <v>6461</v>
      </c>
      <c r="C211" s="421" t="s">
        <v>7347</v>
      </c>
      <c r="D211" s="421" t="s">
        <v>7348</v>
      </c>
      <c r="E211" s="421" t="s">
        <v>76</v>
      </c>
      <c r="F211" s="421" t="s">
        <v>76</v>
      </c>
      <c r="G211" s="421" t="s">
        <v>76</v>
      </c>
      <c r="H211" s="421" t="s">
        <v>7044</v>
      </c>
      <c r="I211" s="421" t="s">
        <v>76</v>
      </c>
      <c r="J211" s="421" t="s">
        <v>76</v>
      </c>
      <c r="K211" s="421" t="s">
        <v>76</v>
      </c>
      <c r="L211" s="421" t="s">
        <v>76</v>
      </c>
      <c r="M211" s="421" t="s">
        <v>76</v>
      </c>
      <c r="N211" s="421" t="s">
        <v>76</v>
      </c>
      <c r="O211" s="421" t="s">
        <v>76</v>
      </c>
      <c r="P211" s="421" t="s">
        <v>7043</v>
      </c>
      <c r="Q211" s="421" t="s">
        <v>76</v>
      </c>
      <c r="R211" s="422" t="s">
        <v>76</v>
      </c>
    </row>
    <row r="212" spans="1:18">
      <c r="A212" s="420" t="s">
        <v>7346</v>
      </c>
      <c r="B212" s="421" t="s">
        <v>6461</v>
      </c>
      <c r="C212" s="421" t="s">
        <v>7347</v>
      </c>
      <c r="D212" s="421" t="s">
        <v>7349</v>
      </c>
      <c r="E212" s="421" t="s">
        <v>76</v>
      </c>
      <c r="F212" s="421" t="s">
        <v>76</v>
      </c>
      <c r="G212" s="421" t="s">
        <v>76</v>
      </c>
      <c r="H212" s="421" t="s">
        <v>7044</v>
      </c>
      <c r="I212" s="421" t="s">
        <v>76</v>
      </c>
      <c r="J212" s="421" t="s">
        <v>76</v>
      </c>
      <c r="K212" s="421" t="s">
        <v>76</v>
      </c>
      <c r="L212" s="421" t="s">
        <v>76</v>
      </c>
      <c r="M212" s="421" t="s">
        <v>76</v>
      </c>
      <c r="N212" s="421" t="s">
        <v>76</v>
      </c>
      <c r="O212" s="421" t="s">
        <v>76</v>
      </c>
      <c r="P212" s="421" t="s">
        <v>7043</v>
      </c>
      <c r="Q212" s="421" t="s">
        <v>76</v>
      </c>
      <c r="R212" s="422" t="s">
        <v>76</v>
      </c>
    </row>
    <row r="213" spans="1:18">
      <c r="A213" s="420" t="s">
        <v>7346</v>
      </c>
      <c r="B213" s="421" t="s">
        <v>6461</v>
      </c>
      <c r="C213" s="421" t="s">
        <v>7347</v>
      </c>
      <c r="D213" s="421" t="s">
        <v>7350</v>
      </c>
      <c r="E213" s="421" t="s">
        <v>76</v>
      </c>
      <c r="F213" s="421" t="s">
        <v>76</v>
      </c>
      <c r="G213" s="421" t="s">
        <v>76</v>
      </c>
      <c r="H213" s="421" t="s">
        <v>7044</v>
      </c>
      <c r="I213" s="421" t="s">
        <v>76</v>
      </c>
      <c r="J213" s="421" t="s">
        <v>76</v>
      </c>
      <c r="K213" s="421" t="s">
        <v>76</v>
      </c>
      <c r="L213" s="421" t="s">
        <v>76</v>
      </c>
      <c r="M213" s="421" t="s">
        <v>76</v>
      </c>
      <c r="N213" s="421" t="s">
        <v>76</v>
      </c>
      <c r="O213" s="421" t="s">
        <v>76</v>
      </c>
      <c r="P213" s="421" t="s">
        <v>7043</v>
      </c>
      <c r="Q213" s="421" t="s">
        <v>76</v>
      </c>
      <c r="R213" s="422" t="s">
        <v>76</v>
      </c>
    </row>
    <row r="214" spans="1:18">
      <c r="A214" s="420" t="s">
        <v>7351</v>
      </c>
      <c r="B214" s="421" t="s">
        <v>6470</v>
      </c>
      <c r="C214" s="421" t="s">
        <v>7352</v>
      </c>
      <c r="D214" s="421" t="s">
        <v>7353</v>
      </c>
      <c r="E214" s="421" t="s">
        <v>76</v>
      </c>
      <c r="F214" s="421" t="s">
        <v>76</v>
      </c>
      <c r="G214" s="421" t="s">
        <v>76</v>
      </c>
      <c r="H214" s="421" t="s">
        <v>7044</v>
      </c>
      <c r="I214" s="421" t="s">
        <v>76</v>
      </c>
      <c r="J214" s="421" t="s">
        <v>76</v>
      </c>
      <c r="K214" s="421" t="s">
        <v>76</v>
      </c>
      <c r="L214" s="421" t="s">
        <v>76</v>
      </c>
      <c r="M214" s="421" t="s">
        <v>76</v>
      </c>
      <c r="N214" s="421" t="s">
        <v>76</v>
      </c>
      <c r="O214" s="421" t="s">
        <v>76</v>
      </c>
      <c r="P214" s="421" t="s">
        <v>7043</v>
      </c>
      <c r="Q214" s="421" t="s">
        <v>76</v>
      </c>
      <c r="R214" s="422" t="s">
        <v>76</v>
      </c>
    </row>
    <row r="215" spans="1:18">
      <c r="A215" s="420" t="s">
        <v>7351</v>
      </c>
      <c r="B215" s="421" t="s">
        <v>6470</v>
      </c>
      <c r="C215" s="421" t="s">
        <v>7352</v>
      </c>
      <c r="D215" s="421" t="s">
        <v>7354</v>
      </c>
      <c r="E215" s="421" t="s">
        <v>76</v>
      </c>
      <c r="F215" s="421" t="s">
        <v>76</v>
      </c>
      <c r="G215" s="421" t="s">
        <v>76</v>
      </c>
      <c r="H215" s="421" t="s">
        <v>7044</v>
      </c>
      <c r="I215" s="421" t="s">
        <v>76</v>
      </c>
      <c r="J215" s="421" t="s">
        <v>76</v>
      </c>
      <c r="K215" s="421" t="s">
        <v>76</v>
      </c>
      <c r="L215" s="421" t="s">
        <v>76</v>
      </c>
      <c r="M215" s="421" t="s">
        <v>76</v>
      </c>
      <c r="N215" s="421" t="s">
        <v>76</v>
      </c>
      <c r="O215" s="421" t="s">
        <v>76</v>
      </c>
      <c r="P215" s="421" t="s">
        <v>7043</v>
      </c>
      <c r="Q215" s="421" t="s">
        <v>76</v>
      </c>
      <c r="R215" s="422" t="s">
        <v>76</v>
      </c>
    </row>
    <row r="216" spans="1:18">
      <c r="A216" s="420" t="s">
        <v>7351</v>
      </c>
      <c r="B216" s="421" t="s">
        <v>6470</v>
      </c>
      <c r="C216" s="421" t="s">
        <v>7352</v>
      </c>
      <c r="D216" s="421" t="s">
        <v>7355</v>
      </c>
      <c r="E216" s="421" t="s">
        <v>76</v>
      </c>
      <c r="F216" s="421" t="s">
        <v>76</v>
      </c>
      <c r="G216" s="421" t="s">
        <v>76</v>
      </c>
      <c r="H216" s="421" t="s">
        <v>7044</v>
      </c>
      <c r="I216" s="421" t="s">
        <v>76</v>
      </c>
      <c r="J216" s="421" t="s">
        <v>76</v>
      </c>
      <c r="K216" s="421" t="s">
        <v>76</v>
      </c>
      <c r="L216" s="421" t="s">
        <v>76</v>
      </c>
      <c r="M216" s="421" t="s">
        <v>76</v>
      </c>
      <c r="N216" s="421" t="s">
        <v>76</v>
      </c>
      <c r="O216" s="421" t="s">
        <v>76</v>
      </c>
      <c r="P216" s="421" t="s">
        <v>7043</v>
      </c>
      <c r="Q216" s="421" t="s">
        <v>76</v>
      </c>
      <c r="R216" s="422" t="s">
        <v>76</v>
      </c>
    </row>
    <row r="217" spans="1:18">
      <c r="A217" s="420" t="s">
        <v>7356</v>
      </c>
      <c r="B217" s="421" t="s">
        <v>6476</v>
      </c>
      <c r="C217" s="421" t="s">
        <v>7357</v>
      </c>
      <c r="D217" s="421" t="s">
        <v>7358</v>
      </c>
      <c r="E217" s="421" t="s">
        <v>76</v>
      </c>
      <c r="F217" s="421" t="s">
        <v>76</v>
      </c>
      <c r="G217" s="421" t="s">
        <v>76</v>
      </c>
      <c r="H217" s="421" t="s">
        <v>76</v>
      </c>
      <c r="I217" s="421" t="s">
        <v>76</v>
      </c>
      <c r="J217" s="421" t="s">
        <v>76</v>
      </c>
      <c r="K217" s="421" t="s">
        <v>76</v>
      </c>
      <c r="L217" s="421" t="s">
        <v>76</v>
      </c>
      <c r="M217" s="421" t="s">
        <v>76</v>
      </c>
      <c r="N217" s="421" t="s">
        <v>7043</v>
      </c>
      <c r="O217" s="421" t="s">
        <v>76</v>
      </c>
      <c r="P217" s="421" t="s">
        <v>76</v>
      </c>
      <c r="Q217" s="421" t="s">
        <v>76</v>
      </c>
      <c r="R217" s="422" t="s">
        <v>76</v>
      </c>
    </row>
    <row r="218" spans="1:18">
      <c r="A218" s="420" t="s">
        <v>7356</v>
      </c>
      <c r="B218" s="421" t="s">
        <v>6476</v>
      </c>
      <c r="C218" s="421" t="s">
        <v>7357</v>
      </c>
      <c r="D218" s="421" t="s">
        <v>7359</v>
      </c>
      <c r="E218" s="421" t="s">
        <v>76</v>
      </c>
      <c r="F218" s="421" t="s">
        <v>76</v>
      </c>
      <c r="G218" s="421" t="s">
        <v>76</v>
      </c>
      <c r="H218" s="421" t="s">
        <v>76</v>
      </c>
      <c r="I218" s="421" t="s">
        <v>76</v>
      </c>
      <c r="J218" s="421" t="s">
        <v>76</v>
      </c>
      <c r="K218" s="421" t="s">
        <v>76</v>
      </c>
      <c r="L218" s="421" t="s">
        <v>76</v>
      </c>
      <c r="M218" s="421" t="s">
        <v>76</v>
      </c>
      <c r="N218" s="421" t="s">
        <v>7043</v>
      </c>
      <c r="O218" s="421" t="s">
        <v>76</v>
      </c>
      <c r="P218" s="421" t="s">
        <v>76</v>
      </c>
      <c r="Q218" s="421" t="s">
        <v>76</v>
      </c>
      <c r="R218" s="422" t="s">
        <v>76</v>
      </c>
    </row>
    <row r="219" spans="1:18">
      <c r="A219" s="420" t="s">
        <v>7356</v>
      </c>
      <c r="B219" s="421" t="s">
        <v>6476</v>
      </c>
      <c r="C219" s="421" t="s">
        <v>7357</v>
      </c>
      <c r="D219" s="421" t="s">
        <v>7360</v>
      </c>
      <c r="E219" s="421" t="s">
        <v>76</v>
      </c>
      <c r="F219" s="421" t="s">
        <v>76</v>
      </c>
      <c r="G219" s="421" t="s">
        <v>76</v>
      </c>
      <c r="H219" s="421" t="s">
        <v>76</v>
      </c>
      <c r="I219" s="421" t="s">
        <v>76</v>
      </c>
      <c r="J219" s="421" t="s">
        <v>76</v>
      </c>
      <c r="K219" s="421" t="s">
        <v>76</v>
      </c>
      <c r="L219" s="421" t="s">
        <v>76</v>
      </c>
      <c r="M219" s="421" t="s">
        <v>76</v>
      </c>
      <c r="N219" s="421" t="s">
        <v>7043</v>
      </c>
      <c r="O219" s="421" t="s">
        <v>76</v>
      </c>
      <c r="P219" s="421" t="s">
        <v>76</v>
      </c>
      <c r="Q219" s="421" t="s">
        <v>76</v>
      </c>
      <c r="R219" s="422" t="s">
        <v>76</v>
      </c>
    </row>
    <row r="220" spans="1:18">
      <c r="A220" s="420" t="s">
        <v>7361</v>
      </c>
      <c r="B220" s="421" t="s">
        <v>6481</v>
      </c>
      <c r="C220" s="421" t="s">
        <v>7362</v>
      </c>
      <c r="D220" s="421" t="s">
        <v>7363</v>
      </c>
      <c r="E220" s="421" t="s">
        <v>76</v>
      </c>
      <c r="F220" s="421" t="s">
        <v>76</v>
      </c>
      <c r="G220" s="421" t="s">
        <v>76</v>
      </c>
      <c r="H220" s="421" t="s">
        <v>76</v>
      </c>
      <c r="I220" s="421" t="s">
        <v>76</v>
      </c>
      <c r="J220" s="421" t="s">
        <v>76</v>
      </c>
      <c r="K220" s="421" t="s">
        <v>76</v>
      </c>
      <c r="L220" s="421" t="s">
        <v>76</v>
      </c>
      <c r="M220" s="421" t="s">
        <v>76</v>
      </c>
      <c r="N220" s="421" t="s">
        <v>7043</v>
      </c>
      <c r="O220" s="421" t="s">
        <v>76</v>
      </c>
      <c r="P220" s="421" t="s">
        <v>76</v>
      </c>
      <c r="Q220" s="421" t="s">
        <v>76</v>
      </c>
      <c r="R220" s="422" t="s">
        <v>76</v>
      </c>
    </row>
    <row r="221" spans="1:18">
      <c r="A221" s="420" t="s">
        <v>7361</v>
      </c>
      <c r="B221" s="421" t="s">
        <v>6481</v>
      </c>
      <c r="C221" s="421" t="s">
        <v>7362</v>
      </c>
      <c r="D221" s="421" t="s">
        <v>7364</v>
      </c>
      <c r="E221" s="421" t="s">
        <v>76</v>
      </c>
      <c r="F221" s="421" t="s">
        <v>76</v>
      </c>
      <c r="G221" s="421" t="s">
        <v>76</v>
      </c>
      <c r="H221" s="421" t="s">
        <v>76</v>
      </c>
      <c r="I221" s="421" t="s">
        <v>76</v>
      </c>
      <c r="J221" s="421" t="s">
        <v>76</v>
      </c>
      <c r="K221" s="421" t="s">
        <v>76</v>
      </c>
      <c r="L221" s="421" t="s">
        <v>76</v>
      </c>
      <c r="M221" s="421" t="s">
        <v>76</v>
      </c>
      <c r="N221" s="421" t="s">
        <v>7043</v>
      </c>
      <c r="O221" s="421" t="s">
        <v>76</v>
      </c>
      <c r="P221" s="421" t="s">
        <v>76</v>
      </c>
      <c r="Q221" s="421" t="s">
        <v>76</v>
      </c>
      <c r="R221" s="422" t="s">
        <v>76</v>
      </c>
    </row>
    <row r="222" spans="1:18">
      <c r="A222" s="420" t="s">
        <v>7361</v>
      </c>
      <c r="B222" s="421" t="s">
        <v>6481</v>
      </c>
      <c r="C222" s="421" t="s">
        <v>7362</v>
      </c>
      <c r="D222" s="421" t="s">
        <v>7365</v>
      </c>
      <c r="E222" s="421" t="s">
        <v>76</v>
      </c>
      <c r="F222" s="421" t="s">
        <v>76</v>
      </c>
      <c r="G222" s="421" t="s">
        <v>76</v>
      </c>
      <c r="H222" s="421" t="s">
        <v>76</v>
      </c>
      <c r="I222" s="421" t="s">
        <v>76</v>
      </c>
      <c r="J222" s="421" t="s">
        <v>76</v>
      </c>
      <c r="K222" s="421" t="s">
        <v>76</v>
      </c>
      <c r="L222" s="421" t="s">
        <v>76</v>
      </c>
      <c r="M222" s="421" t="s">
        <v>76</v>
      </c>
      <c r="N222" s="421" t="s">
        <v>7043</v>
      </c>
      <c r="O222" s="421" t="s">
        <v>76</v>
      </c>
      <c r="P222" s="421" t="s">
        <v>76</v>
      </c>
      <c r="Q222" s="421" t="s">
        <v>76</v>
      </c>
      <c r="R222" s="422" t="s">
        <v>76</v>
      </c>
    </row>
    <row r="223" spans="1:18">
      <c r="A223" s="420" t="s">
        <v>7366</v>
      </c>
      <c r="B223" s="421" t="s">
        <v>6486</v>
      </c>
      <c r="C223" s="421" t="s">
        <v>7367</v>
      </c>
      <c r="D223" s="421" t="s">
        <v>7368</v>
      </c>
      <c r="E223" s="421" t="s">
        <v>7369</v>
      </c>
      <c r="F223" s="421" t="s">
        <v>7042</v>
      </c>
      <c r="G223" s="421" t="s">
        <v>7042</v>
      </c>
      <c r="H223" s="421" t="s">
        <v>7042</v>
      </c>
      <c r="I223" s="421" t="s">
        <v>7043</v>
      </c>
      <c r="J223" s="421" t="s">
        <v>7043</v>
      </c>
      <c r="K223" s="421" t="s">
        <v>7043</v>
      </c>
      <c r="L223" s="421" t="s">
        <v>7043</v>
      </c>
      <c r="M223" s="421" t="s">
        <v>7043</v>
      </c>
      <c r="N223" s="421" t="s">
        <v>7043</v>
      </c>
      <c r="O223" s="421" t="s">
        <v>7043</v>
      </c>
      <c r="P223" s="421" t="s">
        <v>76</v>
      </c>
      <c r="Q223" s="421" t="s">
        <v>7042</v>
      </c>
      <c r="R223" s="422" t="s">
        <v>7042</v>
      </c>
    </row>
    <row r="224" spans="1:18">
      <c r="A224" s="420" t="s">
        <v>7366</v>
      </c>
      <c r="B224" s="421" t="s">
        <v>6486</v>
      </c>
      <c r="C224" s="421" t="s">
        <v>7370</v>
      </c>
      <c r="D224" s="421" t="s">
        <v>7371</v>
      </c>
      <c r="E224" s="421" t="s">
        <v>7041</v>
      </c>
      <c r="F224" s="421" t="s">
        <v>7042</v>
      </c>
      <c r="G224" s="421" t="s">
        <v>7042</v>
      </c>
      <c r="H224" s="421" t="s">
        <v>7042</v>
      </c>
      <c r="I224" s="421" t="s">
        <v>7043</v>
      </c>
      <c r="J224" s="421" t="s">
        <v>7043</v>
      </c>
      <c r="K224" s="421" t="s">
        <v>7043</v>
      </c>
      <c r="L224" s="421" t="s">
        <v>7044</v>
      </c>
      <c r="M224" s="421" t="s">
        <v>7043</v>
      </c>
      <c r="N224" s="421" t="s">
        <v>7044</v>
      </c>
      <c r="O224" s="421" t="s">
        <v>7043</v>
      </c>
      <c r="P224" s="421" t="s">
        <v>76</v>
      </c>
      <c r="Q224" s="421" t="s">
        <v>76</v>
      </c>
      <c r="R224" s="422" t="s">
        <v>76</v>
      </c>
    </row>
    <row r="225" spans="1:18">
      <c r="A225" s="420" t="s">
        <v>7366</v>
      </c>
      <c r="B225" s="421" t="s">
        <v>6486</v>
      </c>
      <c r="C225" s="421" t="s">
        <v>7372</v>
      </c>
      <c r="D225" s="421" t="s">
        <v>7373</v>
      </c>
      <c r="E225" s="421" t="s">
        <v>7041</v>
      </c>
      <c r="F225" s="421" t="s">
        <v>7042</v>
      </c>
      <c r="G225" s="421" t="s">
        <v>7042</v>
      </c>
      <c r="H225" s="421" t="s">
        <v>7042</v>
      </c>
      <c r="I225" s="421" t="s">
        <v>7043</v>
      </c>
      <c r="J225" s="421" t="s">
        <v>7043</v>
      </c>
      <c r="K225" s="421" t="s">
        <v>7043</v>
      </c>
      <c r="L225" s="421" t="s">
        <v>7044</v>
      </c>
      <c r="M225" s="421" t="s">
        <v>7043</v>
      </c>
      <c r="N225" s="421" t="s">
        <v>7044</v>
      </c>
      <c r="O225" s="421" t="s">
        <v>7043</v>
      </c>
      <c r="P225" s="421" t="s">
        <v>76</v>
      </c>
      <c r="Q225" s="421" t="s">
        <v>76</v>
      </c>
      <c r="R225" s="422" t="s">
        <v>76</v>
      </c>
    </row>
    <row r="226" spans="1:18">
      <c r="A226" s="420" t="s">
        <v>7366</v>
      </c>
      <c r="B226" s="421" t="s">
        <v>6486</v>
      </c>
      <c r="C226" s="421" t="s">
        <v>7374</v>
      </c>
      <c r="D226" s="421" t="s">
        <v>7375</v>
      </c>
      <c r="E226" s="421" t="s">
        <v>7041</v>
      </c>
      <c r="F226" s="421" t="s">
        <v>7042</v>
      </c>
      <c r="G226" s="421" t="s">
        <v>7042</v>
      </c>
      <c r="H226" s="421" t="s">
        <v>7042</v>
      </c>
      <c r="I226" s="421" t="s">
        <v>7043</v>
      </c>
      <c r="J226" s="421" t="s">
        <v>7043</v>
      </c>
      <c r="K226" s="421" t="s">
        <v>7043</v>
      </c>
      <c r="L226" s="421" t="s">
        <v>7044</v>
      </c>
      <c r="M226" s="421" t="s">
        <v>7043</v>
      </c>
      <c r="N226" s="421" t="s">
        <v>7044</v>
      </c>
      <c r="O226" s="421" t="s">
        <v>7043</v>
      </c>
      <c r="P226" s="421" t="s">
        <v>76</v>
      </c>
      <c r="Q226" s="421" t="s">
        <v>76</v>
      </c>
      <c r="R226" s="422" t="s">
        <v>76</v>
      </c>
    </row>
    <row r="227" spans="1:18">
      <c r="A227" s="420" t="s">
        <v>7366</v>
      </c>
      <c r="B227" s="421" t="s">
        <v>7366</v>
      </c>
      <c r="C227" s="421" t="s">
        <v>7376</v>
      </c>
      <c r="D227" s="421" t="s">
        <v>7377</v>
      </c>
      <c r="E227" s="421" t="s">
        <v>7042</v>
      </c>
      <c r="F227" s="421" t="s">
        <v>7042</v>
      </c>
      <c r="G227" s="421" t="s">
        <v>7042</v>
      </c>
      <c r="H227" s="421" t="s">
        <v>7042</v>
      </c>
      <c r="I227" s="421" t="s">
        <v>7043</v>
      </c>
      <c r="J227" s="421" t="s">
        <v>7043</v>
      </c>
      <c r="K227" s="421" t="s">
        <v>7043</v>
      </c>
      <c r="L227" s="421" t="s">
        <v>7043</v>
      </c>
      <c r="M227" s="421" t="s">
        <v>7043</v>
      </c>
      <c r="N227" s="421" t="s">
        <v>7043</v>
      </c>
      <c r="O227" s="421" t="s">
        <v>7043</v>
      </c>
      <c r="P227" s="421" t="s">
        <v>7043</v>
      </c>
      <c r="Q227" s="421" t="s">
        <v>7042</v>
      </c>
      <c r="R227" s="422" t="s">
        <v>7042</v>
      </c>
    </row>
    <row r="228" spans="1:18">
      <c r="A228" s="420" t="s">
        <v>7366</v>
      </c>
      <c r="B228" s="421" t="s">
        <v>7366</v>
      </c>
      <c r="C228" s="421" t="s">
        <v>7378</v>
      </c>
      <c r="D228" s="421" t="s">
        <v>7379</v>
      </c>
      <c r="E228" s="421" t="s">
        <v>7042</v>
      </c>
      <c r="F228" s="421" t="s">
        <v>7042</v>
      </c>
      <c r="G228" s="421" t="s">
        <v>7042</v>
      </c>
      <c r="H228" s="421" t="s">
        <v>7042</v>
      </c>
      <c r="I228" s="421" t="s">
        <v>7043</v>
      </c>
      <c r="J228" s="421" t="s">
        <v>7043</v>
      </c>
      <c r="K228" s="421" t="s">
        <v>7043</v>
      </c>
      <c r="L228" s="421" t="s">
        <v>7043</v>
      </c>
      <c r="M228" s="421" t="s">
        <v>7043</v>
      </c>
      <c r="N228" s="421" t="s">
        <v>7043</v>
      </c>
      <c r="O228" s="421" t="s">
        <v>7043</v>
      </c>
      <c r="P228" s="421" t="s">
        <v>7043</v>
      </c>
      <c r="Q228" s="421" t="s">
        <v>7042</v>
      </c>
      <c r="R228" s="422" t="s">
        <v>7042</v>
      </c>
    </row>
    <row r="229" spans="1:18">
      <c r="A229" s="420" t="s">
        <v>7366</v>
      </c>
      <c r="B229" s="421" t="s">
        <v>6486</v>
      </c>
      <c r="C229" s="421" t="s">
        <v>7380</v>
      </c>
      <c r="D229" s="421" t="s">
        <v>7377</v>
      </c>
      <c r="E229" s="421" t="s">
        <v>7041</v>
      </c>
      <c r="F229" s="421" t="s">
        <v>7042</v>
      </c>
      <c r="G229" s="421" t="s">
        <v>7042</v>
      </c>
      <c r="H229" s="421" t="s">
        <v>7042</v>
      </c>
      <c r="I229" s="421" t="s">
        <v>7043</v>
      </c>
      <c r="J229" s="421" t="s">
        <v>7043</v>
      </c>
      <c r="K229" s="421" t="s">
        <v>7043</v>
      </c>
      <c r="L229" s="421" t="s">
        <v>7044</v>
      </c>
      <c r="M229" s="421" t="s">
        <v>7043</v>
      </c>
      <c r="N229" s="421" t="s">
        <v>7044</v>
      </c>
      <c r="O229" s="421" t="s">
        <v>7043</v>
      </c>
      <c r="P229" s="421" t="s">
        <v>76</v>
      </c>
      <c r="Q229" s="421" t="s">
        <v>76</v>
      </c>
      <c r="R229" s="422" t="s">
        <v>76</v>
      </c>
    </row>
    <row r="230" spans="1:18">
      <c r="A230" s="420" t="s">
        <v>7366</v>
      </c>
      <c r="B230" s="421" t="s">
        <v>6486</v>
      </c>
      <c r="C230" s="421" t="s">
        <v>7376</v>
      </c>
      <c r="D230" s="421" t="s">
        <v>7379</v>
      </c>
      <c r="E230" s="421" t="s">
        <v>7041</v>
      </c>
      <c r="F230" s="421" t="s">
        <v>7042</v>
      </c>
      <c r="G230" s="421" t="s">
        <v>7042</v>
      </c>
      <c r="H230" s="421" t="s">
        <v>7042</v>
      </c>
      <c r="I230" s="421" t="s">
        <v>7043</v>
      </c>
      <c r="J230" s="421" t="s">
        <v>7043</v>
      </c>
      <c r="K230" s="421" t="s">
        <v>7043</v>
      </c>
      <c r="L230" s="421" t="s">
        <v>7044</v>
      </c>
      <c r="M230" s="421" t="s">
        <v>7043</v>
      </c>
      <c r="N230" s="421" t="s">
        <v>7044</v>
      </c>
      <c r="O230" s="421" t="s">
        <v>7043</v>
      </c>
      <c r="P230" s="421" t="s">
        <v>76</v>
      </c>
      <c r="Q230" s="421" t="s">
        <v>76</v>
      </c>
      <c r="R230" s="422" t="s">
        <v>76</v>
      </c>
    </row>
    <row r="231" spans="1:18">
      <c r="A231" s="420" t="s">
        <v>7366</v>
      </c>
      <c r="B231" s="421" t="s">
        <v>6486</v>
      </c>
      <c r="C231" s="421" t="s">
        <v>7378</v>
      </c>
      <c r="D231" s="421" t="s">
        <v>7381</v>
      </c>
      <c r="E231" s="421" t="s">
        <v>7041</v>
      </c>
      <c r="F231" s="421" t="s">
        <v>7042</v>
      </c>
      <c r="G231" s="421" t="s">
        <v>7042</v>
      </c>
      <c r="H231" s="421" t="s">
        <v>7042</v>
      </c>
      <c r="I231" s="421" t="s">
        <v>7043</v>
      </c>
      <c r="J231" s="421" t="s">
        <v>7043</v>
      </c>
      <c r="K231" s="421" t="s">
        <v>7043</v>
      </c>
      <c r="L231" s="421" t="s">
        <v>7044</v>
      </c>
      <c r="M231" s="421" t="s">
        <v>7043</v>
      </c>
      <c r="N231" s="421" t="s">
        <v>7044</v>
      </c>
      <c r="O231" s="421" t="s">
        <v>7043</v>
      </c>
      <c r="P231" s="421" t="s">
        <v>76</v>
      </c>
      <c r="Q231" s="421" t="s">
        <v>76</v>
      </c>
      <c r="R231" s="422" t="s">
        <v>76</v>
      </c>
    </row>
    <row r="232" spans="1:18">
      <c r="A232" s="420" t="s">
        <v>7382</v>
      </c>
      <c r="B232" s="421" t="s">
        <v>6495</v>
      </c>
      <c r="C232" s="421" t="s">
        <v>7383</v>
      </c>
      <c r="D232" s="421" t="s">
        <v>7384</v>
      </c>
      <c r="E232" s="421" t="s">
        <v>76</v>
      </c>
      <c r="F232" s="421" t="s">
        <v>76</v>
      </c>
      <c r="G232" s="421" t="s">
        <v>76</v>
      </c>
      <c r="H232" s="421" t="s">
        <v>7044</v>
      </c>
      <c r="I232" s="421" t="s">
        <v>76</v>
      </c>
      <c r="J232" s="421" t="s">
        <v>76</v>
      </c>
      <c r="K232" s="421" t="s">
        <v>76</v>
      </c>
      <c r="L232" s="421" t="s">
        <v>76</v>
      </c>
      <c r="M232" s="421" t="s">
        <v>76</v>
      </c>
      <c r="N232" s="421" t="s">
        <v>76</v>
      </c>
      <c r="O232" s="421" t="s">
        <v>76</v>
      </c>
      <c r="P232" s="421" t="s">
        <v>7043</v>
      </c>
      <c r="Q232" s="421" t="s">
        <v>76</v>
      </c>
      <c r="R232" s="422" t="s">
        <v>76</v>
      </c>
    </row>
    <row r="233" spans="1:18">
      <c r="A233" s="420" t="s">
        <v>7382</v>
      </c>
      <c r="B233" s="421" t="s">
        <v>6495</v>
      </c>
      <c r="C233" s="421" t="s">
        <v>7383</v>
      </c>
      <c r="D233" s="421" t="s">
        <v>7385</v>
      </c>
      <c r="E233" s="421" t="s">
        <v>76</v>
      </c>
      <c r="F233" s="421" t="s">
        <v>76</v>
      </c>
      <c r="G233" s="421" t="s">
        <v>76</v>
      </c>
      <c r="H233" s="421" t="s">
        <v>7044</v>
      </c>
      <c r="I233" s="421" t="s">
        <v>76</v>
      </c>
      <c r="J233" s="421" t="s">
        <v>76</v>
      </c>
      <c r="K233" s="421" t="s">
        <v>76</v>
      </c>
      <c r="L233" s="421" t="s">
        <v>76</v>
      </c>
      <c r="M233" s="421" t="s">
        <v>76</v>
      </c>
      <c r="N233" s="421" t="s">
        <v>76</v>
      </c>
      <c r="O233" s="421" t="s">
        <v>76</v>
      </c>
      <c r="P233" s="421" t="s">
        <v>7043</v>
      </c>
      <c r="Q233" s="421" t="s">
        <v>76</v>
      </c>
      <c r="R233" s="422" t="s">
        <v>76</v>
      </c>
    </row>
    <row r="234" spans="1:18">
      <c r="A234" s="420" t="s">
        <v>7386</v>
      </c>
      <c r="B234" s="421" t="s">
        <v>6503</v>
      </c>
      <c r="C234" s="421" t="s">
        <v>7387</v>
      </c>
      <c r="D234" s="421" t="s">
        <v>7388</v>
      </c>
      <c r="E234" s="421" t="s">
        <v>76</v>
      </c>
      <c r="F234" s="421" t="s">
        <v>76</v>
      </c>
      <c r="G234" s="421" t="s">
        <v>76</v>
      </c>
      <c r="H234" s="421" t="s">
        <v>7044</v>
      </c>
      <c r="I234" s="421" t="s">
        <v>76</v>
      </c>
      <c r="J234" s="421" t="s">
        <v>76</v>
      </c>
      <c r="K234" s="421" t="s">
        <v>76</v>
      </c>
      <c r="L234" s="421" t="s">
        <v>76</v>
      </c>
      <c r="M234" s="421" t="s">
        <v>76</v>
      </c>
      <c r="N234" s="421" t="s">
        <v>76</v>
      </c>
      <c r="O234" s="421" t="s">
        <v>76</v>
      </c>
      <c r="P234" s="421" t="s">
        <v>7043</v>
      </c>
      <c r="Q234" s="421" t="s">
        <v>76</v>
      </c>
      <c r="R234" s="422" t="s">
        <v>76</v>
      </c>
    </row>
    <row r="235" spans="1:18">
      <c r="A235" s="420" t="s">
        <v>7386</v>
      </c>
      <c r="B235" s="421" t="s">
        <v>6503</v>
      </c>
      <c r="C235" s="421" t="s">
        <v>7387</v>
      </c>
      <c r="D235" s="421" t="s">
        <v>7389</v>
      </c>
      <c r="E235" s="421" t="s">
        <v>76</v>
      </c>
      <c r="F235" s="421" t="s">
        <v>76</v>
      </c>
      <c r="G235" s="421" t="s">
        <v>76</v>
      </c>
      <c r="H235" s="421" t="s">
        <v>7044</v>
      </c>
      <c r="I235" s="421" t="s">
        <v>76</v>
      </c>
      <c r="J235" s="421" t="s">
        <v>76</v>
      </c>
      <c r="K235" s="421" t="s">
        <v>76</v>
      </c>
      <c r="L235" s="421" t="s">
        <v>76</v>
      </c>
      <c r="M235" s="421" t="s">
        <v>76</v>
      </c>
      <c r="N235" s="421" t="s">
        <v>76</v>
      </c>
      <c r="O235" s="421" t="s">
        <v>76</v>
      </c>
      <c r="P235" s="421" t="s">
        <v>7043</v>
      </c>
      <c r="Q235" s="421" t="s">
        <v>76</v>
      </c>
      <c r="R235" s="422" t="s">
        <v>76</v>
      </c>
    </row>
    <row r="236" spans="1:18">
      <c r="A236" s="420" t="s">
        <v>7390</v>
      </c>
      <c r="B236" s="421" t="s">
        <v>6510</v>
      </c>
      <c r="C236" s="421" t="s">
        <v>7391</v>
      </c>
      <c r="D236" s="421" t="s">
        <v>7392</v>
      </c>
      <c r="E236" s="421" t="s">
        <v>76</v>
      </c>
      <c r="F236" s="421" t="s">
        <v>76</v>
      </c>
      <c r="G236" s="421" t="s">
        <v>76</v>
      </c>
      <c r="H236" s="421" t="s">
        <v>76</v>
      </c>
      <c r="I236" s="421" t="s">
        <v>76</v>
      </c>
      <c r="J236" s="421" t="s">
        <v>76</v>
      </c>
      <c r="K236" s="421" t="s">
        <v>76</v>
      </c>
      <c r="L236" s="421" t="s">
        <v>76</v>
      </c>
      <c r="M236" s="421" t="s">
        <v>76</v>
      </c>
      <c r="N236" s="421" t="s">
        <v>7043</v>
      </c>
      <c r="O236" s="421" t="s">
        <v>76</v>
      </c>
      <c r="P236" s="421" t="s">
        <v>76</v>
      </c>
      <c r="Q236" s="421" t="s">
        <v>76</v>
      </c>
      <c r="R236" s="422" t="s">
        <v>76</v>
      </c>
    </row>
    <row r="237" spans="1:18">
      <c r="A237" s="420" t="s">
        <v>7390</v>
      </c>
      <c r="B237" s="421" t="s">
        <v>6510</v>
      </c>
      <c r="C237" s="421" t="s">
        <v>7391</v>
      </c>
      <c r="D237" s="421" t="s">
        <v>7393</v>
      </c>
      <c r="E237" s="421" t="s">
        <v>76</v>
      </c>
      <c r="F237" s="421" t="s">
        <v>76</v>
      </c>
      <c r="G237" s="421" t="s">
        <v>76</v>
      </c>
      <c r="H237" s="421" t="s">
        <v>76</v>
      </c>
      <c r="I237" s="421" t="s">
        <v>76</v>
      </c>
      <c r="J237" s="421" t="s">
        <v>76</v>
      </c>
      <c r="K237" s="421" t="s">
        <v>76</v>
      </c>
      <c r="L237" s="421" t="s">
        <v>76</v>
      </c>
      <c r="M237" s="421" t="s">
        <v>76</v>
      </c>
      <c r="N237" s="421" t="s">
        <v>7043</v>
      </c>
      <c r="O237" s="421" t="s">
        <v>76</v>
      </c>
      <c r="P237" s="421" t="s">
        <v>76</v>
      </c>
      <c r="Q237" s="421" t="s">
        <v>76</v>
      </c>
      <c r="R237" s="422" t="s">
        <v>76</v>
      </c>
    </row>
    <row r="238" spans="1:18">
      <c r="A238" s="420" t="s">
        <v>7394</v>
      </c>
      <c r="B238" s="421" t="s">
        <v>6517</v>
      </c>
      <c r="C238" s="421" t="s">
        <v>7395</v>
      </c>
      <c r="D238" s="421" t="s">
        <v>7396</v>
      </c>
      <c r="E238" s="421" t="s">
        <v>76</v>
      </c>
      <c r="F238" s="421" t="s">
        <v>76</v>
      </c>
      <c r="G238" s="421" t="s">
        <v>76</v>
      </c>
      <c r="H238" s="421" t="s">
        <v>76</v>
      </c>
      <c r="I238" s="421" t="s">
        <v>76</v>
      </c>
      <c r="J238" s="421" t="s">
        <v>76</v>
      </c>
      <c r="K238" s="421" t="s">
        <v>76</v>
      </c>
      <c r="L238" s="421" t="s">
        <v>76</v>
      </c>
      <c r="M238" s="421" t="s">
        <v>76</v>
      </c>
      <c r="N238" s="421" t="s">
        <v>7043</v>
      </c>
      <c r="O238" s="421" t="s">
        <v>76</v>
      </c>
      <c r="P238" s="421" t="s">
        <v>76</v>
      </c>
      <c r="Q238" s="421" t="s">
        <v>76</v>
      </c>
      <c r="R238" s="422" t="s">
        <v>76</v>
      </c>
    </row>
    <row r="239" spans="1:18">
      <c r="A239" s="420" t="s">
        <v>7394</v>
      </c>
      <c r="B239" s="421" t="s">
        <v>6517</v>
      </c>
      <c r="C239" s="421" t="s">
        <v>7395</v>
      </c>
      <c r="D239" s="421" t="s">
        <v>7397</v>
      </c>
      <c r="E239" s="421" t="s">
        <v>76</v>
      </c>
      <c r="F239" s="421" t="s">
        <v>76</v>
      </c>
      <c r="G239" s="421" t="s">
        <v>76</v>
      </c>
      <c r="H239" s="421" t="s">
        <v>76</v>
      </c>
      <c r="I239" s="421" t="s">
        <v>76</v>
      </c>
      <c r="J239" s="421" t="s">
        <v>76</v>
      </c>
      <c r="K239" s="421" t="s">
        <v>76</v>
      </c>
      <c r="L239" s="421" t="s">
        <v>76</v>
      </c>
      <c r="M239" s="421" t="s">
        <v>76</v>
      </c>
      <c r="N239" s="421" t="s">
        <v>7043</v>
      </c>
      <c r="O239" s="421" t="s">
        <v>76</v>
      </c>
      <c r="P239" s="421" t="s">
        <v>76</v>
      </c>
      <c r="Q239" s="421" t="s">
        <v>76</v>
      </c>
      <c r="R239" s="422" t="s">
        <v>76</v>
      </c>
    </row>
    <row r="240" spans="1:18">
      <c r="A240" s="420" t="s">
        <v>7398</v>
      </c>
      <c r="B240" s="421" t="s">
        <v>6523</v>
      </c>
      <c r="C240" s="421" t="s">
        <v>7399</v>
      </c>
      <c r="D240" s="421" t="s">
        <v>7400</v>
      </c>
      <c r="E240" s="421" t="s">
        <v>7042</v>
      </c>
      <c r="F240" s="421" t="s">
        <v>7042</v>
      </c>
      <c r="G240" s="421" t="s">
        <v>7042</v>
      </c>
      <c r="H240" s="421" t="s">
        <v>7042</v>
      </c>
      <c r="I240" s="421" t="s">
        <v>7043</v>
      </c>
      <c r="J240" s="421" t="s">
        <v>7043</v>
      </c>
      <c r="K240" s="421" t="s">
        <v>7043</v>
      </c>
      <c r="L240" s="421" t="s">
        <v>7043</v>
      </c>
      <c r="M240" s="421" t="s">
        <v>7043</v>
      </c>
      <c r="N240" s="421" t="s">
        <v>7043</v>
      </c>
      <c r="O240" s="421" t="s">
        <v>7043</v>
      </c>
      <c r="P240" s="421" t="s">
        <v>7043</v>
      </c>
      <c r="Q240" s="421" t="s">
        <v>7042</v>
      </c>
      <c r="R240" s="422" t="s">
        <v>7042</v>
      </c>
    </row>
    <row r="241" spans="1:18">
      <c r="A241" s="420" t="s">
        <v>6531</v>
      </c>
      <c r="B241" s="421" t="s">
        <v>7401</v>
      </c>
      <c r="C241" s="421" t="s">
        <v>7402</v>
      </c>
      <c r="D241" s="421" t="s">
        <v>7403</v>
      </c>
      <c r="E241" s="421" t="s">
        <v>7042</v>
      </c>
      <c r="F241" s="421" t="s">
        <v>7042</v>
      </c>
      <c r="G241" s="421" t="s">
        <v>7042</v>
      </c>
      <c r="H241" s="421" t="s">
        <v>7042</v>
      </c>
      <c r="I241" s="421" t="s">
        <v>76</v>
      </c>
      <c r="J241" s="421" t="s">
        <v>76</v>
      </c>
      <c r="K241" s="421" t="s">
        <v>76</v>
      </c>
      <c r="L241" s="421" t="s">
        <v>76</v>
      </c>
      <c r="M241" s="421" t="s">
        <v>76</v>
      </c>
      <c r="N241" s="421" t="s">
        <v>76</v>
      </c>
      <c r="O241" s="421" t="s">
        <v>76</v>
      </c>
      <c r="P241" s="421" t="s">
        <v>76</v>
      </c>
      <c r="Q241" s="421" t="s">
        <v>7042</v>
      </c>
      <c r="R241" s="422" t="s">
        <v>7042</v>
      </c>
    </row>
    <row r="242" spans="1:18">
      <c r="A242" s="420" t="s">
        <v>7404</v>
      </c>
      <c r="B242" s="421" t="s">
        <v>6648</v>
      </c>
      <c r="C242" s="421" t="s">
        <v>7405</v>
      </c>
      <c r="D242" s="421" t="s">
        <v>6648</v>
      </c>
      <c r="E242" s="421" t="s">
        <v>7042</v>
      </c>
      <c r="F242" s="421" t="s">
        <v>7042</v>
      </c>
      <c r="G242" s="421" t="s">
        <v>7042</v>
      </c>
      <c r="H242" s="421" t="s">
        <v>7042</v>
      </c>
      <c r="I242" s="421" t="s">
        <v>7043</v>
      </c>
      <c r="J242" s="421" t="s">
        <v>7043</v>
      </c>
      <c r="K242" s="421" t="s">
        <v>7043</v>
      </c>
      <c r="L242" s="421" t="s">
        <v>7043</v>
      </c>
      <c r="M242" s="421" t="s">
        <v>7043</v>
      </c>
      <c r="N242" s="421" t="s">
        <v>7043</v>
      </c>
      <c r="O242" s="421" t="s">
        <v>7043</v>
      </c>
      <c r="P242" s="421" t="s">
        <v>7043</v>
      </c>
      <c r="Q242" s="421" t="s">
        <v>7042</v>
      </c>
      <c r="R242" s="422" t="s">
        <v>7042</v>
      </c>
    </row>
    <row r="243" spans="1:18">
      <c r="A243" s="420" t="s">
        <v>7406</v>
      </c>
      <c r="B243" s="421" t="s">
        <v>6656</v>
      </c>
      <c r="C243" s="421" t="s">
        <v>7407</v>
      </c>
      <c r="D243" s="421" t="s">
        <v>6656</v>
      </c>
      <c r="E243" s="421" t="s">
        <v>7042</v>
      </c>
      <c r="F243" s="421" t="s">
        <v>7042</v>
      </c>
      <c r="G243" s="421" t="s">
        <v>7042</v>
      </c>
      <c r="H243" s="421" t="s">
        <v>7042</v>
      </c>
      <c r="I243" s="421" t="s">
        <v>7043</v>
      </c>
      <c r="J243" s="421" t="s">
        <v>7043</v>
      </c>
      <c r="K243" s="421" t="s">
        <v>7043</v>
      </c>
      <c r="L243" s="421" t="s">
        <v>7043</v>
      </c>
      <c r="M243" s="421" t="s">
        <v>7043</v>
      </c>
      <c r="N243" s="421" t="s">
        <v>7043</v>
      </c>
      <c r="O243" s="421" t="s">
        <v>7043</v>
      </c>
      <c r="P243" s="421" t="s">
        <v>7043</v>
      </c>
      <c r="Q243" s="421" t="s">
        <v>7042</v>
      </c>
      <c r="R243" s="422" t="s">
        <v>7042</v>
      </c>
    </row>
    <row r="244" spans="1:18">
      <c r="A244" s="420" t="s">
        <v>6555</v>
      </c>
      <c r="B244" s="421" t="s">
        <v>6555</v>
      </c>
      <c r="C244" s="421" t="s">
        <v>7408</v>
      </c>
      <c r="D244" s="421" t="s">
        <v>7409</v>
      </c>
      <c r="E244" s="421" t="s">
        <v>7044</v>
      </c>
      <c r="F244" s="421" t="s">
        <v>7042</v>
      </c>
      <c r="G244" s="421" t="s">
        <v>7042</v>
      </c>
      <c r="H244" s="421" t="s">
        <v>7042</v>
      </c>
      <c r="I244" s="421" t="s">
        <v>7043</v>
      </c>
      <c r="J244" s="421" t="s">
        <v>7043</v>
      </c>
      <c r="K244" s="421" t="s">
        <v>7043</v>
      </c>
      <c r="L244" s="421" t="s">
        <v>76</v>
      </c>
      <c r="M244" s="421" t="s">
        <v>76</v>
      </c>
      <c r="N244" s="421" t="s">
        <v>76</v>
      </c>
      <c r="O244" s="421" t="s">
        <v>76</v>
      </c>
      <c r="P244" s="421" t="s">
        <v>76</v>
      </c>
      <c r="Q244" s="421" t="s">
        <v>76</v>
      </c>
      <c r="R244" s="422" t="s">
        <v>76</v>
      </c>
    </row>
    <row r="245" spans="1:18">
      <c r="A245" s="420" t="s">
        <v>7410</v>
      </c>
      <c r="B245" s="421" t="s">
        <v>6538</v>
      </c>
      <c r="C245" s="421" t="s">
        <v>7411</v>
      </c>
      <c r="D245" s="421" t="s">
        <v>7412</v>
      </c>
      <c r="E245" s="421" t="s">
        <v>7044</v>
      </c>
      <c r="F245" s="421" t="s">
        <v>7042</v>
      </c>
      <c r="G245" s="421" t="s">
        <v>7042</v>
      </c>
      <c r="H245" s="421" t="s">
        <v>7042</v>
      </c>
      <c r="I245" s="421" t="s">
        <v>7043</v>
      </c>
      <c r="J245" s="421" t="s">
        <v>7043</v>
      </c>
      <c r="K245" s="421" t="s">
        <v>7043</v>
      </c>
      <c r="L245" s="421" t="s">
        <v>76</v>
      </c>
      <c r="M245" s="421" t="s">
        <v>76</v>
      </c>
      <c r="N245" s="421" t="s">
        <v>76</v>
      </c>
      <c r="O245" s="421" t="s">
        <v>76</v>
      </c>
      <c r="P245" s="421" t="s">
        <v>76</v>
      </c>
      <c r="Q245" s="421" t="s">
        <v>76</v>
      </c>
      <c r="R245" s="422" t="s">
        <v>76</v>
      </c>
    </row>
    <row r="246" spans="1:18">
      <c r="A246" s="420" t="s">
        <v>7413</v>
      </c>
      <c r="B246" s="421" t="s">
        <v>6547</v>
      </c>
      <c r="C246" s="421" t="s">
        <v>7414</v>
      </c>
      <c r="D246" s="421" t="s">
        <v>7415</v>
      </c>
      <c r="E246" s="421" t="s">
        <v>7044</v>
      </c>
      <c r="F246" s="421" t="s">
        <v>7042</v>
      </c>
      <c r="G246" s="421" t="s">
        <v>7042</v>
      </c>
      <c r="H246" s="421" t="s">
        <v>7042</v>
      </c>
      <c r="I246" s="421" t="s">
        <v>7043</v>
      </c>
      <c r="J246" s="421" t="s">
        <v>7043</v>
      </c>
      <c r="K246" s="421" t="s">
        <v>7043</v>
      </c>
      <c r="L246" s="421" t="s">
        <v>76</v>
      </c>
      <c r="M246" s="421" t="s">
        <v>76</v>
      </c>
      <c r="N246" s="421" t="s">
        <v>76</v>
      </c>
      <c r="O246" s="421" t="s">
        <v>76</v>
      </c>
      <c r="P246" s="421" t="s">
        <v>76</v>
      </c>
      <c r="Q246" s="421" t="s">
        <v>76</v>
      </c>
      <c r="R246" s="422" t="s">
        <v>76</v>
      </c>
    </row>
    <row r="247" spans="1:18">
      <c r="A247" s="420" t="s">
        <v>7413</v>
      </c>
      <c r="B247" s="421" t="s">
        <v>6547</v>
      </c>
      <c r="C247" s="421" t="s">
        <v>7414</v>
      </c>
      <c r="D247" s="421" t="s">
        <v>7416</v>
      </c>
      <c r="E247" s="421" t="s">
        <v>7044</v>
      </c>
      <c r="F247" s="421" t="s">
        <v>7042</v>
      </c>
      <c r="G247" s="421" t="s">
        <v>7042</v>
      </c>
      <c r="H247" s="421" t="s">
        <v>7042</v>
      </c>
      <c r="I247" s="421" t="s">
        <v>7043</v>
      </c>
      <c r="J247" s="421" t="s">
        <v>7043</v>
      </c>
      <c r="K247" s="421" t="s">
        <v>7043</v>
      </c>
      <c r="L247" s="421" t="s">
        <v>76</v>
      </c>
      <c r="M247" s="421" t="s">
        <v>76</v>
      </c>
      <c r="N247" s="421" t="s">
        <v>76</v>
      </c>
      <c r="O247" s="421" t="s">
        <v>76</v>
      </c>
      <c r="P247" s="421" t="s">
        <v>76</v>
      </c>
      <c r="Q247" s="421" t="s">
        <v>76</v>
      </c>
      <c r="R247" s="422" t="s">
        <v>76</v>
      </c>
    </row>
    <row r="248" spans="1:18">
      <c r="A248" s="420" t="s">
        <v>6665</v>
      </c>
      <c r="B248" s="421" t="s">
        <v>6665</v>
      </c>
      <c r="C248" s="421" t="s">
        <v>7417</v>
      </c>
      <c r="D248" s="421" t="s">
        <v>7418</v>
      </c>
      <c r="E248" s="421" t="s">
        <v>76</v>
      </c>
      <c r="F248" s="421" t="s">
        <v>76</v>
      </c>
      <c r="G248" s="421" t="s">
        <v>76</v>
      </c>
      <c r="H248" s="421" t="s">
        <v>7042</v>
      </c>
      <c r="I248" s="421" t="s">
        <v>7043</v>
      </c>
      <c r="J248" s="421" t="s">
        <v>76</v>
      </c>
      <c r="K248" s="421" t="s">
        <v>76</v>
      </c>
      <c r="L248" s="421" t="s">
        <v>76</v>
      </c>
      <c r="M248" s="421" t="s">
        <v>76</v>
      </c>
      <c r="N248" s="421" t="s">
        <v>76</v>
      </c>
      <c r="O248" s="421" t="s">
        <v>76</v>
      </c>
      <c r="P248" s="421" t="s">
        <v>76</v>
      </c>
      <c r="Q248" s="421" t="s">
        <v>76</v>
      </c>
      <c r="R248" s="422" t="s">
        <v>76</v>
      </c>
    </row>
    <row r="249" spans="1:18">
      <c r="A249" s="420" t="s">
        <v>7419</v>
      </c>
      <c r="B249" s="421" t="s">
        <v>6674</v>
      </c>
      <c r="C249" s="421" t="s">
        <v>7420</v>
      </c>
      <c r="D249" s="421" t="s">
        <v>7421</v>
      </c>
      <c r="E249" s="421" t="s">
        <v>7042</v>
      </c>
      <c r="F249" s="421" t="s">
        <v>7042</v>
      </c>
      <c r="G249" s="421" t="s">
        <v>7042</v>
      </c>
      <c r="H249" s="421" t="s">
        <v>76</v>
      </c>
      <c r="I249" s="421" t="s">
        <v>76</v>
      </c>
      <c r="J249" s="421" t="s">
        <v>76</v>
      </c>
      <c r="K249" s="421" t="s">
        <v>76</v>
      </c>
      <c r="L249" s="421" t="s">
        <v>76</v>
      </c>
      <c r="M249" s="421" t="s">
        <v>76</v>
      </c>
      <c r="N249" s="421" t="s">
        <v>76</v>
      </c>
      <c r="O249" s="421" t="s">
        <v>76</v>
      </c>
      <c r="P249" s="421" t="s">
        <v>76</v>
      </c>
      <c r="Q249" s="421" t="s">
        <v>7042</v>
      </c>
      <c r="R249" s="422" t="s">
        <v>7042</v>
      </c>
    </row>
    <row r="250" spans="1:18">
      <c r="A250" s="420" t="s">
        <v>7419</v>
      </c>
      <c r="B250" s="421" t="s">
        <v>6674</v>
      </c>
      <c r="C250" s="421" t="s">
        <v>7420</v>
      </c>
      <c r="D250" s="421" t="s">
        <v>7422</v>
      </c>
      <c r="E250" s="421" t="s">
        <v>7042</v>
      </c>
      <c r="F250" s="421" t="s">
        <v>7042</v>
      </c>
      <c r="G250" s="421" t="s">
        <v>7042</v>
      </c>
      <c r="H250" s="421" t="s">
        <v>76</v>
      </c>
      <c r="I250" s="421" t="s">
        <v>76</v>
      </c>
      <c r="J250" s="421" t="s">
        <v>76</v>
      </c>
      <c r="K250" s="421" t="s">
        <v>76</v>
      </c>
      <c r="L250" s="421" t="s">
        <v>76</v>
      </c>
      <c r="M250" s="421" t="s">
        <v>76</v>
      </c>
      <c r="N250" s="421" t="s">
        <v>76</v>
      </c>
      <c r="O250" s="421" t="s">
        <v>76</v>
      </c>
      <c r="P250" s="421" t="s">
        <v>76</v>
      </c>
      <c r="Q250" s="421" t="s">
        <v>7042</v>
      </c>
      <c r="R250" s="422" t="s">
        <v>7042</v>
      </c>
    </row>
    <row r="251" spans="1:18">
      <c r="A251" s="420" t="s">
        <v>7419</v>
      </c>
      <c r="B251" s="421" t="s">
        <v>6674</v>
      </c>
      <c r="C251" s="421" t="s">
        <v>7420</v>
      </c>
      <c r="D251" s="421" t="s">
        <v>7423</v>
      </c>
      <c r="E251" s="421" t="s">
        <v>7042</v>
      </c>
      <c r="F251" s="421" t="s">
        <v>7042</v>
      </c>
      <c r="G251" s="421" t="s">
        <v>7042</v>
      </c>
      <c r="H251" s="421" t="s">
        <v>76</v>
      </c>
      <c r="I251" s="421" t="s">
        <v>76</v>
      </c>
      <c r="J251" s="421" t="s">
        <v>76</v>
      </c>
      <c r="K251" s="421" t="s">
        <v>76</v>
      </c>
      <c r="L251" s="421" t="s">
        <v>76</v>
      </c>
      <c r="M251" s="421" t="s">
        <v>76</v>
      </c>
      <c r="N251" s="421" t="s">
        <v>76</v>
      </c>
      <c r="O251" s="421" t="s">
        <v>76</v>
      </c>
      <c r="P251" s="421" t="s">
        <v>76</v>
      </c>
      <c r="Q251" s="421" t="s">
        <v>7042</v>
      </c>
      <c r="R251" s="422" t="s">
        <v>7042</v>
      </c>
    </row>
    <row r="252" spans="1:18">
      <c r="A252" s="420" t="s">
        <v>7419</v>
      </c>
      <c r="B252" s="421" t="s">
        <v>6674</v>
      </c>
      <c r="C252" s="421" t="s">
        <v>7420</v>
      </c>
      <c r="D252" s="421" t="s">
        <v>7424</v>
      </c>
      <c r="E252" s="421" t="s">
        <v>7042</v>
      </c>
      <c r="F252" s="421" t="s">
        <v>7042</v>
      </c>
      <c r="G252" s="421" t="s">
        <v>7042</v>
      </c>
      <c r="H252" s="421" t="s">
        <v>76</v>
      </c>
      <c r="I252" s="421" t="s">
        <v>76</v>
      </c>
      <c r="J252" s="421" t="s">
        <v>76</v>
      </c>
      <c r="K252" s="421" t="s">
        <v>76</v>
      </c>
      <c r="L252" s="421" t="s">
        <v>76</v>
      </c>
      <c r="M252" s="421" t="s">
        <v>76</v>
      </c>
      <c r="N252" s="421" t="s">
        <v>76</v>
      </c>
      <c r="O252" s="421" t="s">
        <v>76</v>
      </c>
      <c r="P252" s="421" t="s">
        <v>76</v>
      </c>
      <c r="Q252" s="421" t="s">
        <v>7042</v>
      </c>
      <c r="R252" s="422" t="s">
        <v>7042</v>
      </c>
    </row>
    <row r="253" spans="1:18">
      <c r="A253" s="420" t="s">
        <v>7419</v>
      </c>
      <c r="B253" s="421" t="s">
        <v>6674</v>
      </c>
      <c r="C253" s="421" t="s">
        <v>7420</v>
      </c>
      <c r="D253" s="421" t="s">
        <v>7425</v>
      </c>
      <c r="E253" s="421" t="s">
        <v>7042</v>
      </c>
      <c r="F253" s="421" t="s">
        <v>7042</v>
      </c>
      <c r="G253" s="421" t="s">
        <v>7042</v>
      </c>
      <c r="H253" s="421" t="s">
        <v>76</v>
      </c>
      <c r="I253" s="421" t="s">
        <v>76</v>
      </c>
      <c r="J253" s="421" t="s">
        <v>76</v>
      </c>
      <c r="K253" s="421" t="s">
        <v>76</v>
      </c>
      <c r="L253" s="421" t="s">
        <v>76</v>
      </c>
      <c r="M253" s="421" t="s">
        <v>76</v>
      </c>
      <c r="N253" s="421" t="s">
        <v>76</v>
      </c>
      <c r="O253" s="421" t="s">
        <v>76</v>
      </c>
      <c r="P253" s="421" t="s">
        <v>76</v>
      </c>
      <c r="Q253" s="421" t="s">
        <v>7042</v>
      </c>
      <c r="R253" s="422" t="s">
        <v>7042</v>
      </c>
    </row>
    <row r="254" spans="1:18">
      <c r="A254" s="420" t="s">
        <v>7419</v>
      </c>
      <c r="B254" s="421" t="s">
        <v>6674</v>
      </c>
      <c r="C254" s="421" t="s">
        <v>7420</v>
      </c>
      <c r="D254" s="421" t="s">
        <v>7426</v>
      </c>
      <c r="E254" s="421" t="s">
        <v>7042</v>
      </c>
      <c r="F254" s="421" t="s">
        <v>7042</v>
      </c>
      <c r="G254" s="421" t="s">
        <v>7042</v>
      </c>
      <c r="H254" s="421" t="s">
        <v>76</v>
      </c>
      <c r="I254" s="421" t="s">
        <v>76</v>
      </c>
      <c r="J254" s="421" t="s">
        <v>76</v>
      </c>
      <c r="K254" s="421" t="s">
        <v>76</v>
      </c>
      <c r="L254" s="421" t="s">
        <v>76</v>
      </c>
      <c r="M254" s="421" t="s">
        <v>76</v>
      </c>
      <c r="N254" s="421" t="s">
        <v>76</v>
      </c>
      <c r="O254" s="421" t="s">
        <v>76</v>
      </c>
      <c r="P254" s="421" t="s">
        <v>76</v>
      </c>
      <c r="Q254" s="421" t="s">
        <v>7042</v>
      </c>
      <c r="R254" s="422" t="s">
        <v>7042</v>
      </c>
    </row>
    <row r="255" spans="1:18">
      <c r="A255" s="420" t="s">
        <v>7419</v>
      </c>
      <c r="B255" s="421" t="s">
        <v>6674</v>
      </c>
      <c r="C255" s="421" t="s">
        <v>7420</v>
      </c>
      <c r="D255" s="421" t="s">
        <v>7427</v>
      </c>
      <c r="E255" s="421" t="s">
        <v>7042</v>
      </c>
      <c r="F255" s="421" t="s">
        <v>7042</v>
      </c>
      <c r="G255" s="421" t="s">
        <v>7042</v>
      </c>
      <c r="H255" s="421" t="s">
        <v>76</v>
      </c>
      <c r="I255" s="421" t="s">
        <v>76</v>
      </c>
      <c r="J255" s="421" t="s">
        <v>76</v>
      </c>
      <c r="K255" s="421" t="s">
        <v>76</v>
      </c>
      <c r="L255" s="421" t="s">
        <v>76</v>
      </c>
      <c r="M255" s="421" t="s">
        <v>76</v>
      </c>
      <c r="N255" s="421" t="s">
        <v>76</v>
      </c>
      <c r="O255" s="421" t="s">
        <v>76</v>
      </c>
      <c r="P255" s="421" t="s">
        <v>76</v>
      </c>
      <c r="Q255" s="421" t="s">
        <v>7042</v>
      </c>
      <c r="R255" s="422" t="s">
        <v>7042</v>
      </c>
    </row>
    <row r="256" spans="1:18">
      <c r="A256" s="420" t="s">
        <v>7419</v>
      </c>
      <c r="B256" s="421" t="s">
        <v>6674</v>
      </c>
      <c r="C256" s="421" t="s">
        <v>7420</v>
      </c>
      <c r="D256" s="421" t="s">
        <v>7428</v>
      </c>
      <c r="E256" s="421" t="s">
        <v>7042</v>
      </c>
      <c r="F256" s="421" t="s">
        <v>7042</v>
      </c>
      <c r="G256" s="421" t="s">
        <v>7042</v>
      </c>
      <c r="H256" s="421" t="s">
        <v>76</v>
      </c>
      <c r="I256" s="421" t="s">
        <v>76</v>
      </c>
      <c r="J256" s="421" t="s">
        <v>76</v>
      </c>
      <c r="K256" s="421" t="s">
        <v>76</v>
      </c>
      <c r="L256" s="421" t="s">
        <v>76</v>
      </c>
      <c r="M256" s="421" t="s">
        <v>76</v>
      </c>
      <c r="N256" s="421" t="s">
        <v>76</v>
      </c>
      <c r="O256" s="421" t="s">
        <v>76</v>
      </c>
      <c r="P256" s="421" t="s">
        <v>76</v>
      </c>
      <c r="Q256" s="421" t="s">
        <v>7042</v>
      </c>
      <c r="R256" s="422" t="s">
        <v>7042</v>
      </c>
    </row>
    <row r="257" spans="1:18">
      <c r="A257" s="420" t="s">
        <v>7419</v>
      </c>
      <c r="B257" s="421" t="s">
        <v>6674</v>
      </c>
      <c r="C257" s="421" t="s">
        <v>7420</v>
      </c>
      <c r="D257" s="421" t="s">
        <v>7429</v>
      </c>
      <c r="E257" s="421" t="s">
        <v>7042</v>
      </c>
      <c r="F257" s="421" t="s">
        <v>7042</v>
      </c>
      <c r="G257" s="421" t="s">
        <v>7042</v>
      </c>
      <c r="H257" s="421" t="s">
        <v>76</v>
      </c>
      <c r="I257" s="421" t="s">
        <v>76</v>
      </c>
      <c r="J257" s="421" t="s">
        <v>76</v>
      </c>
      <c r="K257" s="421" t="s">
        <v>76</v>
      </c>
      <c r="L257" s="421" t="s">
        <v>76</v>
      </c>
      <c r="M257" s="421" t="s">
        <v>76</v>
      </c>
      <c r="N257" s="421" t="s">
        <v>76</v>
      </c>
      <c r="O257" s="421" t="s">
        <v>76</v>
      </c>
      <c r="P257" s="421" t="s">
        <v>76</v>
      </c>
      <c r="Q257" s="421" t="s">
        <v>7042</v>
      </c>
      <c r="R257" s="422" t="s">
        <v>7042</v>
      </c>
    </row>
    <row r="258" spans="1:18">
      <c r="A258" s="420" t="s">
        <v>7419</v>
      </c>
      <c r="B258" s="421" t="s">
        <v>6674</v>
      </c>
      <c r="C258" s="421" t="s">
        <v>7420</v>
      </c>
      <c r="D258" s="421" t="s">
        <v>7430</v>
      </c>
      <c r="E258" s="421" t="s">
        <v>7042</v>
      </c>
      <c r="F258" s="421" t="s">
        <v>7042</v>
      </c>
      <c r="G258" s="421" t="s">
        <v>7042</v>
      </c>
      <c r="H258" s="421" t="s">
        <v>76</v>
      </c>
      <c r="I258" s="421" t="s">
        <v>76</v>
      </c>
      <c r="J258" s="421" t="s">
        <v>76</v>
      </c>
      <c r="K258" s="421" t="s">
        <v>76</v>
      </c>
      <c r="L258" s="421" t="s">
        <v>76</v>
      </c>
      <c r="M258" s="421" t="s">
        <v>76</v>
      </c>
      <c r="N258" s="421" t="s">
        <v>76</v>
      </c>
      <c r="O258" s="421" t="s">
        <v>76</v>
      </c>
      <c r="P258" s="421" t="s">
        <v>76</v>
      </c>
      <c r="Q258" s="421" t="s">
        <v>7042</v>
      </c>
      <c r="R258" s="422" t="s">
        <v>7042</v>
      </c>
    </row>
    <row r="259" spans="1:18">
      <c r="A259" s="420" t="s">
        <v>7431</v>
      </c>
      <c r="B259" s="421" t="s">
        <v>7432</v>
      </c>
      <c r="C259" s="421" t="s">
        <v>7433</v>
      </c>
      <c r="D259" s="421" t="s">
        <v>7432</v>
      </c>
      <c r="E259" s="421" t="s">
        <v>7042</v>
      </c>
      <c r="F259" s="421" t="s">
        <v>7042</v>
      </c>
      <c r="G259" s="421" t="s">
        <v>7042</v>
      </c>
      <c r="H259" s="421" t="s">
        <v>7042</v>
      </c>
      <c r="I259" s="421" t="s">
        <v>7043</v>
      </c>
      <c r="J259" s="421" t="s">
        <v>7043</v>
      </c>
      <c r="K259" s="421" t="s">
        <v>7043</v>
      </c>
      <c r="L259" s="421" t="s">
        <v>7043</v>
      </c>
      <c r="M259" s="421" t="s">
        <v>7043</v>
      </c>
      <c r="N259" s="421" t="s">
        <v>7043</v>
      </c>
      <c r="O259" s="421" t="s">
        <v>7043</v>
      </c>
      <c r="P259" s="421" t="s">
        <v>7043</v>
      </c>
      <c r="Q259" s="421" t="s">
        <v>7042</v>
      </c>
      <c r="R259" s="422" t="s">
        <v>7042</v>
      </c>
    </row>
    <row r="260" spans="1:18">
      <c r="A260" s="420" t="s">
        <v>7434</v>
      </c>
      <c r="B260" s="421" t="s">
        <v>7435</v>
      </c>
      <c r="C260" s="421" t="s">
        <v>7436</v>
      </c>
      <c r="D260" s="421" t="s">
        <v>7435</v>
      </c>
      <c r="E260" s="421" t="s">
        <v>7042</v>
      </c>
      <c r="F260" s="421" t="s">
        <v>7042</v>
      </c>
      <c r="G260" s="421" t="s">
        <v>7042</v>
      </c>
      <c r="H260" s="421" t="s">
        <v>7042</v>
      </c>
      <c r="I260" s="421" t="s">
        <v>7043</v>
      </c>
      <c r="J260" s="421" t="s">
        <v>7043</v>
      </c>
      <c r="K260" s="421" t="s">
        <v>7043</v>
      </c>
      <c r="L260" s="421" t="s">
        <v>7043</v>
      </c>
      <c r="M260" s="421" t="s">
        <v>7043</v>
      </c>
      <c r="N260" s="421" t="s">
        <v>7043</v>
      </c>
      <c r="O260" s="421" t="s">
        <v>7043</v>
      </c>
      <c r="P260" s="421" t="s">
        <v>7043</v>
      </c>
      <c r="Q260" s="421" t="s">
        <v>7042</v>
      </c>
      <c r="R260" s="422" t="s">
        <v>7042</v>
      </c>
    </row>
    <row r="261" spans="1:18">
      <c r="A261" s="420" t="s">
        <v>7437</v>
      </c>
      <c r="B261" s="421" t="s">
        <v>6698</v>
      </c>
      <c r="C261" s="421" t="s">
        <v>7438</v>
      </c>
      <c r="D261" s="421" t="s">
        <v>6698</v>
      </c>
      <c r="E261" s="421" t="s">
        <v>7042</v>
      </c>
      <c r="F261" s="421" t="s">
        <v>7042</v>
      </c>
      <c r="G261" s="421" t="s">
        <v>7042</v>
      </c>
      <c r="H261" s="421" t="s">
        <v>7042</v>
      </c>
      <c r="I261" s="421" t="s">
        <v>76</v>
      </c>
      <c r="J261" s="421" t="s">
        <v>76</v>
      </c>
      <c r="K261" s="421" t="s">
        <v>76</v>
      </c>
      <c r="L261" s="421" t="s">
        <v>7043</v>
      </c>
      <c r="M261" s="421" t="s">
        <v>7043</v>
      </c>
      <c r="N261" s="421" t="s">
        <v>7043</v>
      </c>
      <c r="O261" s="421" t="s">
        <v>7043</v>
      </c>
      <c r="P261" s="421" t="s">
        <v>7043</v>
      </c>
      <c r="Q261" s="421" t="s">
        <v>76</v>
      </c>
      <c r="R261" s="422" t="s">
        <v>76</v>
      </c>
    </row>
    <row r="262" spans="1:18">
      <c r="A262" s="420" t="s">
        <v>7439</v>
      </c>
      <c r="B262" s="421" t="s">
        <v>6704</v>
      </c>
      <c r="C262" s="421" t="s">
        <v>7440</v>
      </c>
      <c r="D262" s="421" t="s">
        <v>6704</v>
      </c>
      <c r="E262" s="421" t="s">
        <v>76</v>
      </c>
      <c r="F262" s="421" t="s">
        <v>7042</v>
      </c>
      <c r="G262" s="421" t="s">
        <v>7042</v>
      </c>
      <c r="H262" s="421" t="s">
        <v>7042</v>
      </c>
      <c r="I262" s="421" t="s">
        <v>76</v>
      </c>
      <c r="J262" s="421" t="s">
        <v>76</v>
      </c>
      <c r="K262" s="421" t="s">
        <v>76</v>
      </c>
      <c r="L262" s="421" t="s">
        <v>7043</v>
      </c>
      <c r="M262" s="421" t="s">
        <v>7043</v>
      </c>
      <c r="N262" s="421" t="s">
        <v>7043</v>
      </c>
      <c r="O262" s="421" t="s">
        <v>7043</v>
      </c>
      <c r="P262" s="421" t="s">
        <v>76</v>
      </c>
      <c r="Q262" s="421" t="s">
        <v>76</v>
      </c>
      <c r="R262" s="422" t="s">
        <v>76</v>
      </c>
    </row>
    <row r="263" spans="1:18">
      <c r="A263" s="420" t="s">
        <v>7441</v>
      </c>
      <c r="B263" s="421" t="s">
        <v>6709</v>
      </c>
      <c r="C263" s="421" t="s">
        <v>7442</v>
      </c>
      <c r="D263" s="421" t="s">
        <v>7443</v>
      </c>
      <c r="E263" s="421" t="s">
        <v>7042</v>
      </c>
      <c r="F263" s="421" t="s">
        <v>7042</v>
      </c>
      <c r="G263" s="421" t="s">
        <v>7042</v>
      </c>
      <c r="H263" s="421" t="s">
        <v>7042</v>
      </c>
      <c r="I263" s="421" t="s">
        <v>7043</v>
      </c>
      <c r="J263" s="421" t="s">
        <v>7043</v>
      </c>
      <c r="K263" s="421" t="s">
        <v>7043</v>
      </c>
      <c r="L263" s="421" t="s">
        <v>7043</v>
      </c>
      <c r="M263" s="421" t="s">
        <v>7043</v>
      </c>
      <c r="N263" s="421" t="s">
        <v>7043</v>
      </c>
      <c r="O263" s="421" t="s">
        <v>7043</v>
      </c>
      <c r="P263" s="421" t="s">
        <v>76</v>
      </c>
      <c r="Q263" s="421" t="s">
        <v>7042</v>
      </c>
      <c r="R263" s="422" t="s">
        <v>7042</v>
      </c>
    </row>
    <row r="264" spans="1:18">
      <c r="A264" s="420" t="s">
        <v>7441</v>
      </c>
      <c r="B264" s="421" t="s">
        <v>6709</v>
      </c>
      <c r="C264" s="421" t="s">
        <v>7444</v>
      </c>
      <c r="D264" s="421" t="s">
        <v>7445</v>
      </c>
      <c r="E264" s="421" t="s">
        <v>76</v>
      </c>
      <c r="F264" s="421" t="s">
        <v>76</v>
      </c>
      <c r="G264" s="421" t="s">
        <v>76</v>
      </c>
      <c r="H264" s="421" t="s">
        <v>7044</v>
      </c>
      <c r="I264" s="421" t="s">
        <v>76</v>
      </c>
      <c r="J264" s="421" t="s">
        <v>76</v>
      </c>
      <c r="K264" s="421" t="s">
        <v>76</v>
      </c>
      <c r="L264" s="421" t="s">
        <v>76</v>
      </c>
      <c r="M264" s="421" t="s">
        <v>76</v>
      </c>
      <c r="N264" s="421" t="s">
        <v>76</v>
      </c>
      <c r="O264" s="421" t="s">
        <v>76</v>
      </c>
      <c r="P264" s="421" t="s">
        <v>7043</v>
      </c>
      <c r="Q264" s="421" t="s">
        <v>76</v>
      </c>
      <c r="R264" s="422" t="s">
        <v>76</v>
      </c>
    </row>
    <row r="265" spans="1:18">
      <c r="A265" s="420" t="s">
        <v>7441</v>
      </c>
      <c r="B265" s="421" t="s">
        <v>6709</v>
      </c>
      <c r="C265" s="421" t="s">
        <v>7446</v>
      </c>
      <c r="D265" s="421" t="s">
        <v>7447</v>
      </c>
      <c r="E265" s="421" t="s">
        <v>76</v>
      </c>
      <c r="F265" s="421" t="s">
        <v>76</v>
      </c>
      <c r="G265" s="421" t="s">
        <v>76</v>
      </c>
      <c r="H265" s="421" t="s">
        <v>7044</v>
      </c>
      <c r="I265" s="421" t="s">
        <v>76</v>
      </c>
      <c r="J265" s="421" t="s">
        <v>76</v>
      </c>
      <c r="K265" s="421" t="s">
        <v>76</v>
      </c>
      <c r="L265" s="421" t="s">
        <v>76</v>
      </c>
      <c r="M265" s="421" t="s">
        <v>76</v>
      </c>
      <c r="N265" s="421" t="s">
        <v>76</v>
      </c>
      <c r="O265" s="421" t="s">
        <v>76</v>
      </c>
      <c r="P265" s="421" t="s">
        <v>7043</v>
      </c>
      <c r="Q265" s="421" t="s">
        <v>76</v>
      </c>
      <c r="R265" s="422" t="s">
        <v>76</v>
      </c>
    </row>
    <row r="266" spans="1:18">
      <c r="A266" s="420" t="s">
        <v>7441</v>
      </c>
      <c r="B266" s="421" t="s">
        <v>6709</v>
      </c>
      <c r="C266" s="421" t="s">
        <v>7448</v>
      </c>
      <c r="D266" s="421" t="s">
        <v>7449</v>
      </c>
      <c r="E266" s="421" t="s">
        <v>76</v>
      </c>
      <c r="F266" s="421" t="s">
        <v>76</v>
      </c>
      <c r="G266" s="421" t="s">
        <v>76</v>
      </c>
      <c r="H266" s="421" t="s">
        <v>76</v>
      </c>
      <c r="I266" s="421" t="s">
        <v>76</v>
      </c>
      <c r="J266" s="421" t="s">
        <v>76</v>
      </c>
      <c r="K266" s="421" t="s">
        <v>76</v>
      </c>
      <c r="L266" s="421" t="s">
        <v>76</v>
      </c>
      <c r="M266" s="421" t="s">
        <v>76</v>
      </c>
      <c r="N266" s="421" t="s">
        <v>7043</v>
      </c>
      <c r="O266" s="421" t="s">
        <v>76</v>
      </c>
      <c r="P266" s="421" t="s">
        <v>76</v>
      </c>
      <c r="Q266" s="421" t="s">
        <v>76</v>
      </c>
      <c r="R266" s="422" t="s">
        <v>76</v>
      </c>
    </row>
    <row r="267" spans="1:18">
      <c r="A267" s="420" t="s">
        <v>7441</v>
      </c>
      <c r="B267" s="421" t="s">
        <v>6709</v>
      </c>
      <c r="C267" s="421" t="s">
        <v>7450</v>
      </c>
      <c r="D267" s="421" t="s">
        <v>7451</v>
      </c>
      <c r="E267" s="421" t="s">
        <v>76</v>
      </c>
      <c r="F267" s="421" t="s">
        <v>76</v>
      </c>
      <c r="G267" s="421" t="s">
        <v>76</v>
      </c>
      <c r="H267" s="421" t="s">
        <v>76</v>
      </c>
      <c r="I267" s="421" t="s">
        <v>76</v>
      </c>
      <c r="J267" s="421" t="s">
        <v>76</v>
      </c>
      <c r="K267" s="421" t="s">
        <v>76</v>
      </c>
      <c r="L267" s="421" t="s">
        <v>76</v>
      </c>
      <c r="M267" s="421" t="s">
        <v>76</v>
      </c>
      <c r="N267" s="421" t="s">
        <v>7043</v>
      </c>
      <c r="O267" s="421" t="s">
        <v>76</v>
      </c>
      <c r="P267" s="421" t="s">
        <v>76</v>
      </c>
      <c r="Q267" s="421" t="s">
        <v>76</v>
      </c>
      <c r="R267" s="422" t="s">
        <v>76</v>
      </c>
    </row>
    <row r="268" spans="1:18">
      <c r="A268" s="420" t="s">
        <v>7441</v>
      </c>
      <c r="B268" s="421" t="s">
        <v>6709</v>
      </c>
      <c r="C268" s="421" t="s">
        <v>7452</v>
      </c>
      <c r="D268" s="421" t="s">
        <v>7453</v>
      </c>
      <c r="E268" s="421" t="s">
        <v>7042</v>
      </c>
      <c r="F268" s="421" t="s">
        <v>7042</v>
      </c>
      <c r="G268" s="421" t="s">
        <v>7042</v>
      </c>
      <c r="H268" s="421" t="s">
        <v>7044</v>
      </c>
      <c r="I268" s="421" t="s">
        <v>76</v>
      </c>
      <c r="J268" s="421" t="s">
        <v>76</v>
      </c>
      <c r="K268" s="421" t="s">
        <v>76</v>
      </c>
      <c r="L268" s="421" t="s">
        <v>7043</v>
      </c>
      <c r="M268" s="421" t="s">
        <v>7043</v>
      </c>
      <c r="N268" s="421" t="s">
        <v>7043</v>
      </c>
      <c r="O268" s="421" t="s">
        <v>7043</v>
      </c>
      <c r="P268" s="421" t="s">
        <v>76</v>
      </c>
      <c r="Q268" s="421" t="s">
        <v>76</v>
      </c>
      <c r="R268" s="422" t="s">
        <v>76</v>
      </c>
    </row>
    <row r="269" spans="1:18">
      <c r="A269" s="420" t="s">
        <v>7441</v>
      </c>
      <c r="B269" s="421" t="s">
        <v>6709</v>
      </c>
      <c r="C269" s="421" t="s">
        <v>7454</v>
      </c>
      <c r="D269" s="421" t="s">
        <v>7455</v>
      </c>
      <c r="E269" s="421" t="s">
        <v>76</v>
      </c>
      <c r="F269" s="421" t="s">
        <v>76</v>
      </c>
      <c r="G269" s="421" t="s">
        <v>76</v>
      </c>
      <c r="H269" s="421" t="s">
        <v>76</v>
      </c>
      <c r="I269" s="421" t="s">
        <v>76</v>
      </c>
      <c r="J269" s="421" t="s">
        <v>76</v>
      </c>
      <c r="K269" s="421" t="s">
        <v>76</v>
      </c>
      <c r="L269" s="421" t="s">
        <v>76</v>
      </c>
      <c r="M269" s="421" t="s">
        <v>76</v>
      </c>
      <c r="N269" s="421" t="s">
        <v>76</v>
      </c>
      <c r="O269" s="421" t="s">
        <v>76</v>
      </c>
      <c r="P269" s="421" t="s">
        <v>76</v>
      </c>
      <c r="Q269" s="421" t="s">
        <v>76</v>
      </c>
      <c r="R269" s="422" t="s">
        <v>76</v>
      </c>
    </row>
    <row r="270" spans="1:18">
      <c r="A270" s="420" t="s">
        <v>7039</v>
      </c>
      <c r="B270" s="421" t="s">
        <v>6358</v>
      </c>
      <c r="C270" s="421" t="s">
        <v>7164</v>
      </c>
      <c r="D270" s="421" t="s">
        <v>7456</v>
      </c>
      <c r="E270" s="421" t="s">
        <v>7041</v>
      </c>
      <c r="F270" s="421" t="s">
        <v>7042</v>
      </c>
      <c r="G270" s="421" t="s">
        <v>7042</v>
      </c>
      <c r="H270" s="421" t="s">
        <v>7042</v>
      </c>
      <c r="I270" s="421" t="s">
        <v>7043</v>
      </c>
      <c r="J270" s="421" t="s">
        <v>7043</v>
      </c>
      <c r="K270" s="421" t="s">
        <v>7043</v>
      </c>
      <c r="L270" s="421" t="s">
        <v>7044</v>
      </c>
      <c r="M270" s="421" t="s">
        <v>7043</v>
      </c>
      <c r="N270" s="421" t="s">
        <v>7044</v>
      </c>
      <c r="O270" s="421" t="s">
        <v>7043</v>
      </c>
      <c r="P270" s="421" t="s">
        <v>76</v>
      </c>
      <c r="Q270" s="421" t="s">
        <v>76</v>
      </c>
      <c r="R270" s="422" t="s">
        <v>76</v>
      </c>
    </row>
    <row r="271" spans="1:18">
      <c r="A271" s="420" t="s">
        <v>7039</v>
      </c>
      <c r="B271" s="421" t="s">
        <v>6358</v>
      </c>
      <c r="C271" s="421" t="s">
        <v>7164</v>
      </c>
      <c r="D271" s="421" t="s">
        <v>7457</v>
      </c>
      <c r="E271" s="421" t="s">
        <v>7041</v>
      </c>
      <c r="F271" s="421" t="s">
        <v>7042</v>
      </c>
      <c r="G271" s="421" t="s">
        <v>7042</v>
      </c>
      <c r="H271" s="421" t="s">
        <v>7042</v>
      </c>
      <c r="I271" s="421" t="s">
        <v>7043</v>
      </c>
      <c r="J271" s="421" t="s">
        <v>7043</v>
      </c>
      <c r="K271" s="421" t="s">
        <v>7043</v>
      </c>
      <c r="L271" s="421" t="s">
        <v>7044</v>
      </c>
      <c r="M271" s="421" t="s">
        <v>7043</v>
      </c>
      <c r="N271" s="421" t="s">
        <v>7044</v>
      </c>
      <c r="O271" s="421" t="s">
        <v>7043</v>
      </c>
      <c r="P271" s="421" t="s">
        <v>76</v>
      </c>
      <c r="Q271" s="421" t="s">
        <v>76</v>
      </c>
      <c r="R271" s="422" t="s">
        <v>76</v>
      </c>
    </row>
    <row r="272" spans="1:18">
      <c r="A272" s="420" t="s">
        <v>7039</v>
      </c>
      <c r="B272" s="421" t="s">
        <v>6358</v>
      </c>
      <c r="C272" s="421" t="s">
        <v>7164</v>
      </c>
      <c r="D272" s="421" t="s">
        <v>7458</v>
      </c>
      <c r="E272" s="421" t="s">
        <v>7041</v>
      </c>
      <c r="F272" s="421" t="s">
        <v>7042</v>
      </c>
      <c r="G272" s="421" t="s">
        <v>7042</v>
      </c>
      <c r="H272" s="421" t="s">
        <v>7042</v>
      </c>
      <c r="I272" s="421" t="s">
        <v>7043</v>
      </c>
      <c r="J272" s="421" t="s">
        <v>7043</v>
      </c>
      <c r="K272" s="421" t="s">
        <v>7043</v>
      </c>
      <c r="L272" s="421" t="s">
        <v>7044</v>
      </c>
      <c r="M272" s="421" t="s">
        <v>7043</v>
      </c>
      <c r="N272" s="421" t="s">
        <v>7044</v>
      </c>
      <c r="O272" s="421" t="s">
        <v>7043</v>
      </c>
      <c r="P272" s="421" t="s">
        <v>76</v>
      </c>
      <c r="Q272" s="421" t="s">
        <v>76</v>
      </c>
      <c r="R272" s="422" t="s">
        <v>76</v>
      </c>
    </row>
    <row r="273" spans="1:18">
      <c r="A273" s="420" t="s">
        <v>7039</v>
      </c>
      <c r="B273" s="421" t="s">
        <v>6358</v>
      </c>
      <c r="C273" s="421" t="s">
        <v>7164</v>
      </c>
      <c r="D273" s="421" t="s">
        <v>7459</v>
      </c>
      <c r="E273" s="421" t="s">
        <v>7041</v>
      </c>
      <c r="F273" s="421" t="s">
        <v>7042</v>
      </c>
      <c r="G273" s="421" t="s">
        <v>7042</v>
      </c>
      <c r="H273" s="421" t="s">
        <v>7042</v>
      </c>
      <c r="I273" s="421" t="s">
        <v>7043</v>
      </c>
      <c r="J273" s="421" t="s">
        <v>7043</v>
      </c>
      <c r="K273" s="421" t="s">
        <v>7043</v>
      </c>
      <c r="L273" s="421" t="s">
        <v>7044</v>
      </c>
      <c r="M273" s="421" t="s">
        <v>7043</v>
      </c>
      <c r="N273" s="421" t="s">
        <v>7044</v>
      </c>
      <c r="O273" s="421" t="s">
        <v>7043</v>
      </c>
      <c r="P273" s="421" t="s">
        <v>76</v>
      </c>
      <c r="Q273" s="421" t="s">
        <v>76</v>
      </c>
      <c r="R273" s="422" t="s">
        <v>76</v>
      </c>
    </row>
    <row r="274" spans="1:18">
      <c r="A274" s="420" t="s">
        <v>7039</v>
      </c>
      <c r="B274" s="421" t="s">
        <v>6358</v>
      </c>
      <c r="C274" s="421" t="s">
        <v>7164</v>
      </c>
      <c r="D274" s="421" t="s">
        <v>7460</v>
      </c>
      <c r="E274" s="421" t="s">
        <v>7041</v>
      </c>
      <c r="F274" s="421" t="s">
        <v>7042</v>
      </c>
      <c r="G274" s="421" t="s">
        <v>7042</v>
      </c>
      <c r="H274" s="421" t="s">
        <v>7042</v>
      </c>
      <c r="I274" s="421" t="s">
        <v>7043</v>
      </c>
      <c r="J274" s="421" t="s">
        <v>7043</v>
      </c>
      <c r="K274" s="421" t="s">
        <v>7043</v>
      </c>
      <c r="L274" s="421" t="s">
        <v>7044</v>
      </c>
      <c r="M274" s="421" t="s">
        <v>7043</v>
      </c>
      <c r="N274" s="421" t="s">
        <v>7044</v>
      </c>
      <c r="O274" s="421" t="s">
        <v>7043</v>
      </c>
      <c r="P274" s="421" t="s">
        <v>76</v>
      </c>
      <c r="Q274" s="421" t="s">
        <v>76</v>
      </c>
      <c r="R274" s="422" t="s">
        <v>76</v>
      </c>
    </row>
    <row r="275" spans="1:18">
      <c r="A275" s="420" t="s">
        <v>7461</v>
      </c>
      <c r="B275" s="421" t="s">
        <v>7462</v>
      </c>
      <c r="C275" s="421" t="s">
        <v>7463</v>
      </c>
      <c r="D275" s="421" t="s">
        <v>7464</v>
      </c>
      <c r="E275" s="421" t="s">
        <v>7042</v>
      </c>
      <c r="F275" s="421" t="s">
        <v>7042</v>
      </c>
      <c r="G275" s="421" t="s">
        <v>7042</v>
      </c>
      <c r="H275" s="421" t="s">
        <v>7465</v>
      </c>
      <c r="I275" s="421" t="s">
        <v>76</v>
      </c>
      <c r="J275" s="421" t="s">
        <v>76</v>
      </c>
      <c r="K275" s="421" t="s">
        <v>76</v>
      </c>
      <c r="L275" s="421" t="s">
        <v>7043</v>
      </c>
      <c r="M275" s="421" t="s">
        <v>7043</v>
      </c>
      <c r="N275" s="421" t="s">
        <v>7043</v>
      </c>
      <c r="O275" s="421" t="s">
        <v>7043</v>
      </c>
      <c r="P275" s="421" t="s">
        <v>76</v>
      </c>
      <c r="Q275" s="421" t="s">
        <v>76</v>
      </c>
      <c r="R275" s="422" t="s">
        <v>76</v>
      </c>
    </row>
    <row r="276" spans="1:18">
      <c r="A276" s="420" t="s">
        <v>7461</v>
      </c>
      <c r="B276" s="421" t="s">
        <v>7462</v>
      </c>
      <c r="C276" s="421" t="s">
        <v>7463</v>
      </c>
      <c r="D276" s="421" t="s">
        <v>7466</v>
      </c>
      <c r="E276" s="421" t="s">
        <v>7042</v>
      </c>
      <c r="F276" s="421" t="s">
        <v>7042</v>
      </c>
      <c r="G276" s="421" t="s">
        <v>7042</v>
      </c>
      <c r="H276" s="421" t="s">
        <v>7465</v>
      </c>
      <c r="I276" s="421" t="s">
        <v>76</v>
      </c>
      <c r="J276" s="421" t="s">
        <v>76</v>
      </c>
      <c r="K276" s="421" t="s">
        <v>76</v>
      </c>
      <c r="L276" s="421" t="s">
        <v>7043</v>
      </c>
      <c r="M276" s="421" t="s">
        <v>7043</v>
      </c>
      <c r="N276" s="421" t="s">
        <v>7043</v>
      </c>
      <c r="O276" s="421" t="s">
        <v>7043</v>
      </c>
      <c r="P276" s="421" t="s">
        <v>76</v>
      </c>
      <c r="Q276" s="421" t="s">
        <v>76</v>
      </c>
      <c r="R276" s="422" t="s">
        <v>76</v>
      </c>
    </row>
    <row r="277" spans="1:18">
      <c r="A277" s="420" t="s">
        <v>7467</v>
      </c>
      <c r="B277" s="421" t="s">
        <v>7468</v>
      </c>
      <c r="C277" s="421" t="s">
        <v>7469</v>
      </c>
      <c r="D277" s="421" t="s">
        <v>7470</v>
      </c>
      <c r="E277" s="421" t="s">
        <v>76</v>
      </c>
      <c r="F277" s="421" t="s">
        <v>76</v>
      </c>
      <c r="G277" s="421" t="s">
        <v>76</v>
      </c>
      <c r="H277" s="421" t="s">
        <v>7044</v>
      </c>
      <c r="I277" s="421" t="s">
        <v>76</v>
      </c>
      <c r="J277" s="421" t="s">
        <v>76</v>
      </c>
      <c r="K277" s="421" t="s">
        <v>76</v>
      </c>
      <c r="L277" s="421" t="s">
        <v>76</v>
      </c>
      <c r="M277" s="421" t="s">
        <v>76</v>
      </c>
      <c r="N277" s="421" t="s">
        <v>76</v>
      </c>
      <c r="O277" s="421" t="s">
        <v>76</v>
      </c>
      <c r="P277" s="421" t="s">
        <v>7043</v>
      </c>
      <c r="Q277" s="421" t="s">
        <v>76</v>
      </c>
      <c r="R277" s="422" t="s">
        <v>76</v>
      </c>
    </row>
    <row r="278" spans="1:18">
      <c r="A278" s="420" t="s">
        <v>7467</v>
      </c>
      <c r="B278" s="421" t="s">
        <v>7468</v>
      </c>
      <c r="C278" s="421" t="s">
        <v>7469</v>
      </c>
      <c r="D278" s="421" t="s">
        <v>7471</v>
      </c>
      <c r="E278" s="421" t="s">
        <v>76</v>
      </c>
      <c r="F278" s="421" t="s">
        <v>76</v>
      </c>
      <c r="G278" s="421" t="s">
        <v>76</v>
      </c>
      <c r="H278" s="421" t="s">
        <v>7044</v>
      </c>
      <c r="I278" s="421" t="s">
        <v>76</v>
      </c>
      <c r="J278" s="421" t="s">
        <v>76</v>
      </c>
      <c r="K278" s="421" t="s">
        <v>76</v>
      </c>
      <c r="L278" s="421" t="s">
        <v>76</v>
      </c>
      <c r="M278" s="421" t="s">
        <v>76</v>
      </c>
      <c r="N278" s="421" t="s">
        <v>76</v>
      </c>
      <c r="O278" s="421" t="s">
        <v>76</v>
      </c>
      <c r="P278" s="421" t="s">
        <v>7043</v>
      </c>
      <c r="Q278" s="421" t="s">
        <v>76</v>
      </c>
      <c r="R278" s="422" t="s">
        <v>76</v>
      </c>
    </row>
    <row r="279" spans="1:18">
      <c r="A279" s="420" t="s">
        <v>7472</v>
      </c>
      <c r="B279" s="421" t="s">
        <v>7473</v>
      </c>
      <c r="C279" s="421" t="s">
        <v>7474</v>
      </c>
      <c r="D279" s="421" t="s">
        <v>7475</v>
      </c>
      <c r="E279" s="421" t="s">
        <v>76</v>
      </c>
      <c r="F279" s="421" t="s">
        <v>76</v>
      </c>
      <c r="G279" s="421" t="s">
        <v>76</v>
      </c>
      <c r="H279" s="421" t="s">
        <v>7044</v>
      </c>
      <c r="I279" s="421" t="s">
        <v>76</v>
      </c>
      <c r="J279" s="421" t="s">
        <v>76</v>
      </c>
      <c r="K279" s="421" t="s">
        <v>76</v>
      </c>
      <c r="L279" s="421" t="s">
        <v>76</v>
      </c>
      <c r="M279" s="421" t="s">
        <v>76</v>
      </c>
      <c r="N279" s="421" t="s">
        <v>76</v>
      </c>
      <c r="O279" s="421" t="s">
        <v>76</v>
      </c>
      <c r="P279" s="421" t="s">
        <v>7043</v>
      </c>
      <c r="Q279" s="421" t="s">
        <v>76</v>
      </c>
      <c r="R279" s="422" t="s">
        <v>76</v>
      </c>
    </row>
    <row r="280" spans="1:18">
      <c r="A280" s="420" t="s">
        <v>7472</v>
      </c>
      <c r="B280" s="421" t="s">
        <v>7473</v>
      </c>
      <c r="C280" s="421" t="s">
        <v>7474</v>
      </c>
      <c r="D280" s="421" t="s">
        <v>7476</v>
      </c>
      <c r="E280" s="421" t="s">
        <v>76</v>
      </c>
      <c r="F280" s="421" t="s">
        <v>76</v>
      </c>
      <c r="G280" s="421" t="s">
        <v>76</v>
      </c>
      <c r="H280" s="421" t="s">
        <v>7044</v>
      </c>
      <c r="I280" s="421" t="s">
        <v>76</v>
      </c>
      <c r="J280" s="421" t="s">
        <v>76</v>
      </c>
      <c r="K280" s="421" t="s">
        <v>76</v>
      </c>
      <c r="L280" s="421" t="s">
        <v>76</v>
      </c>
      <c r="M280" s="421" t="s">
        <v>76</v>
      </c>
      <c r="N280" s="421" t="s">
        <v>76</v>
      </c>
      <c r="O280" s="421" t="s">
        <v>76</v>
      </c>
      <c r="P280" s="421" t="s">
        <v>7043</v>
      </c>
      <c r="Q280" s="421" t="s">
        <v>76</v>
      </c>
      <c r="R280" s="422" t="s">
        <v>76</v>
      </c>
    </row>
    <row r="281" spans="1:18">
      <c r="A281" s="420" t="s">
        <v>7477</v>
      </c>
      <c r="B281" s="421" t="s">
        <v>7478</v>
      </c>
      <c r="C281" s="421" t="s">
        <v>7479</v>
      </c>
      <c r="D281" s="421" t="s">
        <v>7480</v>
      </c>
      <c r="E281" s="421" t="s">
        <v>76</v>
      </c>
      <c r="F281" s="421" t="s">
        <v>76</v>
      </c>
      <c r="G281" s="421" t="s">
        <v>76</v>
      </c>
      <c r="H281" s="421" t="s">
        <v>76</v>
      </c>
      <c r="I281" s="421" t="s">
        <v>76</v>
      </c>
      <c r="J281" s="421" t="s">
        <v>76</v>
      </c>
      <c r="K281" s="421" t="s">
        <v>76</v>
      </c>
      <c r="L281" s="421" t="s">
        <v>76</v>
      </c>
      <c r="M281" s="421" t="s">
        <v>76</v>
      </c>
      <c r="N281" s="421" t="s">
        <v>7043</v>
      </c>
      <c r="O281" s="421" t="s">
        <v>76</v>
      </c>
      <c r="P281" s="421" t="s">
        <v>76</v>
      </c>
      <c r="Q281" s="421" t="s">
        <v>76</v>
      </c>
      <c r="R281" s="422" t="s">
        <v>76</v>
      </c>
    </row>
    <row r="282" spans="1:18">
      <c r="A282" s="420" t="s">
        <v>7477</v>
      </c>
      <c r="B282" s="421" t="s">
        <v>7478</v>
      </c>
      <c r="C282" s="421" t="s">
        <v>7479</v>
      </c>
      <c r="D282" s="421" t="s">
        <v>7481</v>
      </c>
      <c r="E282" s="421" t="s">
        <v>76</v>
      </c>
      <c r="F282" s="421" t="s">
        <v>76</v>
      </c>
      <c r="G282" s="421" t="s">
        <v>76</v>
      </c>
      <c r="H282" s="421" t="s">
        <v>76</v>
      </c>
      <c r="I282" s="421" t="s">
        <v>76</v>
      </c>
      <c r="J282" s="421" t="s">
        <v>76</v>
      </c>
      <c r="K282" s="421" t="s">
        <v>76</v>
      </c>
      <c r="L282" s="421" t="s">
        <v>76</v>
      </c>
      <c r="M282" s="421" t="s">
        <v>76</v>
      </c>
      <c r="N282" s="421" t="s">
        <v>7043</v>
      </c>
      <c r="O282" s="421" t="s">
        <v>76</v>
      </c>
      <c r="P282" s="421" t="s">
        <v>76</v>
      </c>
      <c r="Q282" s="421" t="s">
        <v>76</v>
      </c>
      <c r="R282" s="422" t="s">
        <v>76</v>
      </c>
    </row>
    <row r="283" spans="1:18">
      <c r="A283" s="420" t="s">
        <v>7482</v>
      </c>
      <c r="B283" s="421" t="s">
        <v>7483</v>
      </c>
      <c r="C283" s="421" t="s">
        <v>7484</v>
      </c>
      <c r="D283" s="421" t="s">
        <v>7485</v>
      </c>
      <c r="E283" s="421" t="s">
        <v>76</v>
      </c>
      <c r="F283" s="421" t="s">
        <v>76</v>
      </c>
      <c r="G283" s="421" t="s">
        <v>76</v>
      </c>
      <c r="H283" s="421" t="s">
        <v>76</v>
      </c>
      <c r="I283" s="421" t="s">
        <v>76</v>
      </c>
      <c r="J283" s="421" t="s">
        <v>76</v>
      </c>
      <c r="K283" s="421" t="s">
        <v>76</v>
      </c>
      <c r="L283" s="421" t="s">
        <v>76</v>
      </c>
      <c r="M283" s="421" t="s">
        <v>76</v>
      </c>
      <c r="N283" s="421" t="s">
        <v>7043</v>
      </c>
      <c r="O283" s="421" t="s">
        <v>76</v>
      </c>
      <c r="P283" s="421" t="s">
        <v>76</v>
      </c>
      <c r="Q283" s="421" t="s">
        <v>76</v>
      </c>
      <c r="R283" s="422" t="s">
        <v>76</v>
      </c>
    </row>
    <row r="284" spans="1:18">
      <c r="A284" s="420" t="s">
        <v>7482</v>
      </c>
      <c r="B284" s="421" t="s">
        <v>7483</v>
      </c>
      <c r="C284" s="421" t="s">
        <v>7484</v>
      </c>
      <c r="D284" s="421" t="s">
        <v>7486</v>
      </c>
      <c r="E284" s="421" t="s">
        <v>76</v>
      </c>
      <c r="F284" s="421" t="s">
        <v>76</v>
      </c>
      <c r="G284" s="421" t="s">
        <v>76</v>
      </c>
      <c r="H284" s="421" t="s">
        <v>76</v>
      </c>
      <c r="I284" s="421" t="s">
        <v>76</v>
      </c>
      <c r="J284" s="421" t="s">
        <v>76</v>
      </c>
      <c r="K284" s="421" t="s">
        <v>76</v>
      </c>
      <c r="L284" s="421" t="s">
        <v>76</v>
      </c>
      <c r="M284" s="421" t="s">
        <v>76</v>
      </c>
      <c r="N284" s="421" t="s">
        <v>7043</v>
      </c>
      <c r="O284" s="421" t="s">
        <v>76</v>
      </c>
      <c r="P284" s="421" t="s">
        <v>76</v>
      </c>
      <c r="Q284" s="421" t="s">
        <v>76</v>
      </c>
      <c r="R284" s="422" t="s">
        <v>76</v>
      </c>
    </row>
    <row r="285" spans="1:18">
      <c r="A285" s="420" t="s">
        <v>7487</v>
      </c>
      <c r="B285" s="421" t="s">
        <v>7488</v>
      </c>
      <c r="C285" s="421" t="s">
        <v>7489</v>
      </c>
      <c r="D285" s="421" t="s">
        <v>7490</v>
      </c>
      <c r="E285" s="421" t="s">
        <v>7044</v>
      </c>
      <c r="F285" s="421" t="s">
        <v>76</v>
      </c>
      <c r="G285" s="421" t="s">
        <v>76</v>
      </c>
      <c r="H285" s="421" t="s">
        <v>76</v>
      </c>
      <c r="I285" s="421" t="s">
        <v>76</v>
      </c>
      <c r="J285" s="421" t="s">
        <v>76</v>
      </c>
      <c r="K285" s="421" t="s">
        <v>76</v>
      </c>
      <c r="L285" s="421" t="s">
        <v>76</v>
      </c>
      <c r="M285" s="421" t="s">
        <v>76</v>
      </c>
      <c r="N285" s="421" t="s">
        <v>76</v>
      </c>
      <c r="O285" s="421" t="s">
        <v>76</v>
      </c>
      <c r="P285" s="421" t="s">
        <v>76</v>
      </c>
      <c r="Q285" s="421" t="s">
        <v>76</v>
      </c>
      <c r="R285" s="422" t="s">
        <v>7044</v>
      </c>
    </row>
    <row r="286" spans="1:18">
      <c r="A286" s="420" t="s">
        <v>7487</v>
      </c>
      <c r="B286" s="421" t="s">
        <v>7488</v>
      </c>
      <c r="C286" s="421" t="s">
        <v>7491</v>
      </c>
      <c r="D286" s="421" t="s">
        <v>7492</v>
      </c>
      <c r="E286" s="421" t="s">
        <v>7044</v>
      </c>
      <c r="F286" s="421" t="s">
        <v>76</v>
      </c>
      <c r="G286" s="421" t="s">
        <v>76</v>
      </c>
      <c r="H286" s="421" t="s">
        <v>76</v>
      </c>
      <c r="I286" s="421" t="s">
        <v>76</v>
      </c>
      <c r="J286" s="421" t="s">
        <v>76</v>
      </c>
      <c r="K286" s="421" t="s">
        <v>76</v>
      </c>
      <c r="L286" s="421" t="s">
        <v>76</v>
      </c>
      <c r="M286" s="421" t="s">
        <v>76</v>
      </c>
      <c r="N286" s="421" t="s">
        <v>76</v>
      </c>
      <c r="O286" s="421" t="s">
        <v>76</v>
      </c>
      <c r="P286" s="421" t="s">
        <v>76</v>
      </c>
      <c r="Q286" s="421" t="s">
        <v>76</v>
      </c>
      <c r="R286" s="422" t="s">
        <v>7044</v>
      </c>
    </row>
    <row r="287" spans="1:18">
      <c r="A287" s="420" t="s">
        <v>7487</v>
      </c>
      <c r="B287" s="421" t="s">
        <v>7488</v>
      </c>
      <c r="C287" s="421" t="s">
        <v>7493</v>
      </c>
      <c r="D287" s="421" t="s">
        <v>7494</v>
      </c>
      <c r="E287" s="421" t="s">
        <v>7044</v>
      </c>
      <c r="F287" s="421" t="s">
        <v>76</v>
      </c>
      <c r="G287" s="421" t="s">
        <v>76</v>
      </c>
      <c r="H287" s="421" t="s">
        <v>76</v>
      </c>
      <c r="I287" s="421" t="s">
        <v>76</v>
      </c>
      <c r="J287" s="421" t="s">
        <v>76</v>
      </c>
      <c r="K287" s="421" t="s">
        <v>76</v>
      </c>
      <c r="L287" s="421" t="s">
        <v>76</v>
      </c>
      <c r="M287" s="421" t="s">
        <v>76</v>
      </c>
      <c r="N287" s="421" t="s">
        <v>76</v>
      </c>
      <c r="O287" s="421" t="s">
        <v>76</v>
      </c>
      <c r="P287" s="421" t="s">
        <v>76</v>
      </c>
      <c r="Q287" s="421" t="s">
        <v>76</v>
      </c>
      <c r="R287" s="422" t="s">
        <v>7044</v>
      </c>
    </row>
    <row r="288" spans="1:18">
      <c r="A288" s="420" t="s">
        <v>7495</v>
      </c>
      <c r="B288" s="421" t="s">
        <v>6752</v>
      </c>
      <c r="C288" s="421" t="s">
        <v>7496</v>
      </c>
      <c r="D288" s="421" t="s">
        <v>7497</v>
      </c>
      <c r="E288" s="421" t="s">
        <v>7369</v>
      </c>
      <c r="F288" s="421" t="s">
        <v>7042</v>
      </c>
      <c r="G288" s="421" t="s">
        <v>7042</v>
      </c>
      <c r="H288" s="421" t="s">
        <v>7042</v>
      </c>
      <c r="I288" s="421" t="s">
        <v>7043</v>
      </c>
      <c r="J288" s="421" t="s">
        <v>76</v>
      </c>
      <c r="K288" s="421" t="s">
        <v>76</v>
      </c>
      <c r="L288" s="421" t="s">
        <v>7043</v>
      </c>
      <c r="M288" s="421" t="s">
        <v>7043</v>
      </c>
      <c r="N288" s="421" t="s">
        <v>7043</v>
      </c>
      <c r="O288" s="421" t="s">
        <v>7043</v>
      </c>
      <c r="P288" s="421" t="s">
        <v>76</v>
      </c>
      <c r="Q288" s="421" t="s">
        <v>7042</v>
      </c>
      <c r="R288" s="422" t="s">
        <v>7042</v>
      </c>
    </row>
    <row r="289" spans="1:18">
      <c r="A289" s="420" t="s">
        <v>7495</v>
      </c>
      <c r="B289" s="421" t="s">
        <v>6752</v>
      </c>
      <c r="C289" s="421" t="s">
        <v>7498</v>
      </c>
      <c r="D289" s="421" t="s">
        <v>7499</v>
      </c>
      <c r="E289" s="421" t="s">
        <v>7369</v>
      </c>
      <c r="F289" s="421" t="s">
        <v>7042</v>
      </c>
      <c r="G289" s="421" t="s">
        <v>7042</v>
      </c>
      <c r="H289" s="421" t="s">
        <v>7042</v>
      </c>
      <c r="I289" s="421" t="s">
        <v>7043</v>
      </c>
      <c r="J289" s="421" t="s">
        <v>7043</v>
      </c>
      <c r="K289" s="421" t="s">
        <v>7043</v>
      </c>
      <c r="L289" s="421" t="s">
        <v>7043</v>
      </c>
      <c r="M289" s="421" t="s">
        <v>7043</v>
      </c>
      <c r="N289" s="421" t="s">
        <v>7043</v>
      </c>
      <c r="O289" s="421" t="s">
        <v>7043</v>
      </c>
      <c r="P289" s="421" t="s">
        <v>7043</v>
      </c>
      <c r="Q289" s="421" t="s">
        <v>7042</v>
      </c>
      <c r="R289" s="422" t="s">
        <v>7042</v>
      </c>
    </row>
    <row r="290" spans="1:18">
      <c r="A290" s="420" t="s">
        <v>7495</v>
      </c>
      <c r="B290" s="421" t="s">
        <v>6752</v>
      </c>
      <c r="C290" s="421" t="s">
        <v>7500</v>
      </c>
      <c r="D290" s="421" t="s">
        <v>7501</v>
      </c>
      <c r="E290" s="421" t="s">
        <v>7369</v>
      </c>
      <c r="F290" s="421" t="s">
        <v>7042</v>
      </c>
      <c r="G290" s="421" t="s">
        <v>7042</v>
      </c>
      <c r="H290" s="421" t="s">
        <v>76</v>
      </c>
      <c r="I290" s="421" t="s">
        <v>76</v>
      </c>
      <c r="J290" s="421" t="s">
        <v>76</v>
      </c>
      <c r="K290" s="421" t="s">
        <v>76</v>
      </c>
      <c r="L290" s="421" t="s">
        <v>7043</v>
      </c>
      <c r="M290" s="421" t="s">
        <v>7043</v>
      </c>
      <c r="N290" s="421" t="s">
        <v>7043</v>
      </c>
      <c r="O290" s="421" t="s">
        <v>7043</v>
      </c>
      <c r="P290" s="421" t="s">
        <v>76</v>
      </c>
      <c r="Q290" s="421" t="s">
        <v>7042</v>
      </c>
      <c r="R290" s="422" t="s">
        <v>7042</v>
      </c>
    </row>
    <row r="291" spans="1:18">
      <c r="A291" s="420" t="s">
        <v>7495</v>
      </c>
      <c r="B291" s="421" t="s">
        <v>6752</v>
      </c>
      <c r="C291" s="421" t="s">
        <v>7502</v>
      </c>
      <c r="D291" s="421" t="s">
        <v>7503</v>
      </c>
      <c r="E291" s="421" t="s">
        <v>7369</v>
      </c>
      <c r="F291" s="421" t="s">
        <v>7042</v>
      </c>
      <c r="G291" s="421" t="s">
        <v>7042</v>
      </c>
      <c r="H291" s="421" t="s">
        <v>76</v>
      </c>
      <c r="I291" s="421" t="s">
        <v>76</v>
      </c>
      <c r="J291" s="421" t="s">
        <v>76</v>
      </c>
      <c r="K291" s="421" t="s">
        <v>76</v>
      </c>
      <c r="L291" s="421" t="s">
        <v>76</v>
      </c>
      <c r="M291" s="421" t="s">
        <v>76</v>
      </c>
      <c r="N291" s="421" t="s">
        <v>76</v>
      </c>
      <c r="O291" s="421" t="s">
        <v>76</v>
      </c>
      <c r="P291" s="421" t="s">
        <v>7043</v>
      </c>
      <c r="Q291" s="421" t="s">
        <v>7042</v>
      </c>
      <c r="R291" s="422" t="s">
        <v>7042</v>
      </c>
    </row>
    <row r="292" spans="1:18">
      <c r="A292" s="420" t="s">
        <v>7495</v>
      </c>
      <c r="B292" s="421" t="s">
        <v>6752</v>
      </c>
      <c r="C292" s="421" t="s">
        <v>7504</v>
      </c>
      <c r="D292" s="421" t="s">
        <v>7505</v>
      </c>
      <c r="E292" s="421" t="s">
        <v>7369</v>
      </c>
      <c r="F292" s="421" t="s">
        <v>7042</v>
      </c>
      <c r="G292" s="421" t="s">
        <v>7042</v>
      </c>
      <c r="H292" s="421" t="s">
        <v>76</v>
      </c>
      <c r="I292" s="421" t="s">
        <v>76</v>
      </c>
      <c r="J292" s="421" t="s">
        <v>76</v>
      </c>
      <c r="K292" s="421" t="s">
        <v>76</v>
      </c>
      <c r="L292" s="421" t="s">
        <v>7043</v>
      </c>
      <c r="M292" s="421" t="s">
        <v>7043</v>
      </c>
      <c r="N292" s="421" t="s">
        <v>7043</v>
      </c>
      <c r="O292" s="421" t="s">
        <v>7043</v>
      </c>
      <c r="P292" s="421" t="s">
        <v>76</v>
      </c>
      <c r="Q292" s="421" t="s">
        <v>7042</v>
      </c>
      <c r="R292" s="422" t="s">
        <v>7042</v>
      </c>
    </row>
    <row r="293" spans="1:18">
      <c r="A293" s="420" t="s">
        <v>7495</v>
      </c>
      <c r="B293" s="421" t="s">
        <v>6752</v>
      </c>
      <c r="C293" s="421" t="s">
        <v>7506</v>
      </c>
      <c r="D293" s="421" t="s">
        <v>7507</v>
      </c>
      <c r="E293" s="421" t="s">
        <v>7369</v>
      </c>
      <c r="F293" s="421" t="s">
        <v>7042</v>
      </c>
      <c r="G293" s="421" t="s">
        <v>7042</v>
      </c>
      <c r="H293" s="421" t="s">
        <v>76</v>
      </c>
      <c r="I293" s="421" t="s">
        <v>76</v>
      </c>
      <c r="J293" s="421" t="s">
        <v>76</v>
      </c>
      <c r="K293" s="421" t="s">
        <v>76</v>
      </c>
      <c r="L293" s="421" t="s">
        <v>7043</v>
      </c>
      <c r="M293" s="421" t="s">
        <v>7043</v>
      </c>
      <c r="N293" s="421" t="s">
        <v>7043</v>
      </c>
      <c r="O293" s="421" t="s">
        <v>7043</v>
      </c>
      <c r="P293" s="421" t="s">
        <v>76</v>
      </c>
      <c r="Q293" s="421" t="s">
        <v>7042</v>
      </c>
      <c r="R293" s="422" t="s">
        <v>7042</v>
      </c>
    </row>
    <row r="294" spans="1:18">
      <c r="A294" s="420" t="s">
        <v>7508</v>
      </c>
      <c r="B294" s="421" t="s">
        <v>6761</v>
      </c>
      <c r="C294" s="421" t="s">
        <v>7509</v>
      </c>
      <c r="D294" s="421" t="s">
        <v>7510</v>
      </c>
      <c r="E294" s="421" t="s">
        <v>7369</v>
      </c>
      <c r="F294" s="421" t="s">
        <v>7042</v>
      </c>
      <c r="G294" s="421" t="s">
        <v>7042</v>
      </c>
      <c r="H294" s="421" t="s">
        <v>7042</v>
      </c>
      <c r="I294" s="421" t="s">
        <v>7043</v>
      </c>
      <c r="J294" s="421" t="s">
        <v>76</v>
      </c>
      <c r="K294" s="421" t="s">
        <v>76</v>
      </c>
      <c r="L294" s="421" t="s">
        <v>7043</v>
      </c>
      <c r="M294" s="421" t="s">
        <v>7043</v>
      </c>
      <c r="N294" s="421" t="s">
        <v>7043</v>
      </c>
      <c r="O294" s="421" t="s">
        <v>7043</v>
      </c>
      <c r="P294" s="421" t="s">
        <v>7043</v>
      </c>
      <c r="Q294" s="421" t="s">
        <v>76</v>
      </c>
      <c r="R294" s="422" t="s">
        <v>76</v>
      </c>
    </row>
    <row r="295" spans="1:18">
      <c r="A295" s="420" t="s">
        <v>7511</v>
      </c>
      <c r="B295" s="421" t="s">
        <v>6768</v>
      </c>
      <c r="C295" s="421" t="s">
        <v>7512</v>
      </c>
      <c r="D295" s="421" t="s">
        <v>7513</v>
      </c>
      <c r="E295" s="421" t="s">
        <v>7369</v>
      </c>
      <c r="F295" s="421" t="s">
        <v>7042</v>
      </c>
      <c r="G295" s="421" t="s">
        <v>7042</v>
      </c>
      <c r="H295" s="421" t="s">
        <v>7042</v>
      </c>
      <c r="I295" s="421" t="s">
        <v>7043</v>
      </c>
      <c r="J295" s="421" t="s">
        <v>76</v>
      </c>
      <c r="K295" s="421" t="s">
        <v>7043</v>
      </c>
      <c r="L295" s="421" t="s">
        <v>7043</v>
      </c>
      <c r="M295" s="421" t="s">
        <v>7043</v>
      </c>
      <c r="N295" s="421" t="s">
        <v>7043</v>
      </c>
      <c r="O295" s="421" t="s">
        <v>7043</v>
      </c>
      <c r="P295" s="421" t="s">
        <v>7043</v>
      </c>
      <c r="Q295" s="421" t="s">
        <v>7042</v>
      </c>
      <c r="R295" s="422" t="s">
        <v>7042</v>
      </c>
    </row>
    <row r="296" spans="1:18">
      <c r="A296" s="420" t="s">
        <v>7511</v>
      </c>
      <c r="B296" s="421" t="s">
        <v>6768</v>
      </c>
      <c r="C296" s="421" t="s">
        <v>7514</v>
      </c>
      <c r="D296" s="421" t="s">
        <v>7515</v>
      </c>
      <c r="E296" s="421" t="s">
        <v>76</v>
      </c>
      <c r="F296" s="421" t="s">
        <v>76</v>
      </c>
      <c r="G296" s="421" t="s">
        <v>76</v>
      </c>
      <c r="H296" s="421" t="s">
        <v>76</v>
      </c>
      <c r="I296" s="421" t="s">
        <v>7043</v>
      </c>
      <c r="J296" s="421" t="s">
        <v>76</v>
      </c>
      <c r="K296" s="421" t="s">
        <v>76</v>
      </c>
      <c r="L296" s="421" t="s">
        <v>76</v>
      </c>
      <c r="M296" s="421" t="s">
        <v>76</v>
      </c>
      <c r="N296" s="421" t="s">
        <v>76</v>
      </c>
      <c r="O296" s="421" t="s">
        <v>76</v>
      </c>
      <c r="P296" s="421" t="s">
        <v>76</v>
      </c>
      <c r="Q296" s="421" t="s">
        <v>76</v>
      </c>
      <c r="R296" s="422" t="s">
        <v>76</v>
      </c>
    </row>
    <row r="297" spans="1:18">
      <c r="A297" s="420" t="s">
        <v>7511</v>
      </c>
      <c r="B297" s="421" t="s">
        <v>6768</v>
      </c>
      <c r="C297" s="421" t="s">
        <v>7516</v>
      </c>
      <c r="D297" s="421" t="s">
        <v>7517</v>
      </c>
      <c r="E297" s="421" t="s">
        <v>7369</v>
      </c>
      <c r="F297" s="421" t="s">
        <v>7042</v>
      </c>
      <c r="G297" s="421" t="s">
        <v>7042</v>
      </c>
      <c r="H297" s="421" t="s">
        <v>76</v>
      </c>
      <c r="I297" s="421" t="s">
        <v>76</v>
      </c>
      <c r="J297" s="421" t="s">
        <v>76</v>
      </c>
      <c r="K297" s="421" t="s">
        <v>76</v>
      </c>
      <c r="L297" s="421" t="s">
        <v>7043</v>
      </c>
      <c r="M297" s="421" t="s">
        <v>7043</v>
      </c>
      <c r="N297" s="421" t="s">
        <v>7043</v>
      </c>
      <c r="O297" s="421" t="s">
        <v>7043</v>
      </c>
      <c r="P297" s="421" t="s">
        <v>7043</v>
      </c>
      <c r="Q297" s="421" t="s">
        <v>7042</v>
      </c>
      <c r="R297" s="422" t="s">
        <v>7042</v>
      </c>
    </row>
    <row r="298" spans="1:18">
      <c r="A298" s="420" t="s">
        <v>7511</v>
      </c>
      <c r="B298" s="421" t="s">
        <v>6768</v>
      </c>
      <c r="C298" s="421" t="s">
        <v>7518</v>
      </c>
      <c r="D298" s="421" t="s">
        <v>7519</v>
      </c>
      <c r="E298" s="421" t="s">
        <v>7369</v>
      </c>
      <c r="F298" s="421" t="s">
        <v>7042</v>
      </c>
      <c r="G298" s="421" t="s">
        <v>7042</v>
      </c>
      <c r="H298" s="421" t="s">
        <v>76</v>
      </c>
      <c r="I298" s="421" t="s">
        <v>7043</v>
      </c>
      <c r="J298" s="421" t="s">
        <v>7043</v>
      </c>
      <c r="K298" s="421" t="s">
        <v>76</v>
      </c>
      <c r="L298" s="421" t="s">
        <v>7043</v>
      </c>
      <c r="M298" s="421" t="s">
        <v>7043</v>
      </c>
      <c r="N298" s="421" t="s">
        <v>7043</v>
      </c>
      <c r="O298" s="421" t="s">
        <v>7043</v>
      </c>
      <c r="P298" s="421" t="s">
        <v>76</v>
      </c>
      <c r="Q298" s="421" t="s">
        <v>76</v>
      </c>
      <c r="R298" s="422" t="s">
        <v>7369</v>
      </c>
    </row>
    <row r="299" spans="1:18">
      <c r="A299" s="420" t="s">
        <v>7511</v>
      </c>
      <c r="B299" s="421" t="s">
        <v>6768</v>
      </c>
      <c r="C299" s="421" t="s">
        <v>7520</v>
      </c>
      <c r="D299" s="421" t="s">
        <v>7521</v>
      </c>
      <c r="E299" s="421" t="s">
        <v>7369</v>
      </c>
      <c r="F299" s="421" t="s">
        <v>7042</v>
      </c>
      <c r="G299" s="421" t="s">
        <v>7042</v>
      </c>
      <c r="H299" s="421" t="s">
        <v>7042</v>
      </c>
      <c r="I299" s="421" t="s">
        <v>7043</v>
      </c>
      <c r="J299" s="421" t="s">
        <v>76</v>
      </c>
      <c r="K299" s="421" t="s">
        <v>76</v>
      </c>
      <c r="L299" s="421" t="s">
        <v>76</v>
      </c>
      <c r="M299" s="421" t="s">
        <v>76</v>
      </c>
      <c r="N299" s="421" t="s">
        <v>76</v>
      </c>
      <c r="O299" s="421" t="s">
        <v>76</v>
      </c>
      <c r="P299" s="421" t="s">
        <v>7043</v>
      </c>
      <c r="Q299" s="421" t="s">
        <v>7042</v>
      </c>
      <c r="R299" s="422" t="s">
        <v>7042</v>
      </c>
    </row>
    <row r="300" spans="1:18">
      <c r="A300" s="420" t="s">
        <v>7511</v>
      </c>
      <c r="B300" s="421" t="s">
        <v>6768</v>
      </c>
      <c r="C300" s="421" t="s">
        <v>7522</v>
      </c>
      <c r="D300" s="421" t="s">
        <v>7523</v>
      </c>
      <c r="E300" s="421" t="s">
        <v>7369</v>
      </c>
      <c r="F300" s="421" t="s">
        <v>7042</v>
      </c>
      <c r="G300" s="421" t="s">
        <v>7042</v>
      </c>
      <c r="H300" s="421" t="s">
        <v>76</v>
      </c>
      <c r="I300" s="421" t="s">
        <v>76</v>
      </c>
      <c r="J300" s="421" t="s">
        <v>76</v>
      </c>
      <c r="K300" s="421" t="s">
        <v>76</v>
      </c>
      <c r="L300" s="421" t="s">
        <v>76</v>
      </c>
      <c r="M300" s="421" t="s">
        <v>76</v>
      </c>
      <c r="N300" s="421" t="s">
        <v>76</v>
      </c>
      <c r="O300" s="421" t="s">
        <v>76</v>
      </c>
      <c r="P300" s="421" t="s">
        <v>76</v>
      </c>
      <c r="Q300" s="421" t="s">
        <v>7042</v>
      </c>
      <c r="R300" s="422" t="s">
        <v>7042</v>
      </c>
    </row>
    <row r="301" spans="1:18">
      <c r="A301" s="420" t="s">
        <v>7511</v>
      </c>
      <c r="B301" s="421" t="s">
        <v>6768</v>
      </c>
      <c r="C301" s="421" t="s">
        <v>7524</v>
      </c>
      <c r="D301" s="421" t="s">
        <v>7525</v>
      </c>
      <c r="E301" s="421" t="s">
        <v>7369</v>
      </c>
      <c r="F301" s="421" t="s">
        <v>7042</v>
      </c>
      <c r="G301" s="421" t="s">
        <v>7042</v>
      </c>
      <c r="H301" s="421" t="s">
        <v>76</v>
      </c>
      <c r="I301" s="421" t="s">
        <v>76</v>
      </c>
      <c r="J301" s="421" t="s">
        <v>76</v>
      </c>
      <c r="K301" s="421" t="s">
        <v>7043</v>
      </c>
      <c r="L301" s="421" t="s">
        <v>76</v>
      </c>
      <c r="M301" s="421" t="s">
        <v>76</v>
      </c>
      <c r="N301" s="421" t="s">
        <v>76</v>
      </c>
      <c r="O301" s="421" t="s">
        <v>76</v>
      </c>
      <c r="P301" s="421" t="s">
        <v>7043</v>
      </c>
      <c r="Q301" s="421" t="s">
        <v>7042</v>
      </c>
      <c r="R301" s="422" t="s">
        <v>76</v>
      </c>
    </row>
    <row r="302" spans="1:18">
      <c r="A302" s="420" t="s">
        <v>7511</v>
      </c>
      <c r="B302" s="421" t="s">
        <v>6768</v>
      </c>
      <c r="C302" s="421" t="s">
        <v>7526</v>
      </c>
      <c r="D302" s="421" t="s">
        <v>7527</v>
      </c>
      <c r="E302" s="421" t="s">
        <v>76</v>
      </c>
      <c r="F302" s="421" t="s">
        <v>76</v>
      </c>
      <c r="G302" s="421" t="s">
        <v>76</v>
      </c>
      <c r="H302" s="421" t="s">
        <v>76</v>
      </c>
      <c r="I302" s="421" t="s">
        <v>7043</v>
      </c>
      <c r="J302" s="421" t="s">
        <v>76</v>
      </c>
      <c r="K302" s="421" t="s">
        <v>76</v>
      </c>
      <c r="L302" s="421" t="s">
        <v>76</v>
      </c>
      <c r="M302" s="421" t="s">
        <v>76</v>
      </c>
      <c r="N302" s="421" t="s">
        <v>76</v>
      </c>
      <c r="O302" s="421" t="s">
        <v>76</v>
      </c>
      <c r="P302" s="421" t="s">
        <v>76</v>
      </c>
      <c r="Q302" s="421" t="s">
        <v>76</v>
      </c>
      <c r="R302" s="422" t="s">
        <v>76</v>
      </c>
    </row>
    <row r="303" spans="1:18">
      <c r="A303" s="420" t="s">
        <v>7528</v>
      </c>
      <c r="B303" s="421" t="s">
        <v>6774</v>
      </c>
      <c r="C303" s="421" t="s">
        <v>7529</v>
      </c>
      <c r="D303" s="421" t="s">
        <v>7530</v>
      </c>
      <c r="E303" s="421" t="s">
        <v>7369</v>
      </c>
      <c r="F303" s="421" t="s">
        <v>7042</v>
      </c>
      <c r="G303" s="421" t="s">
        <v>7042</v>
      </c>
      <c r="H303" s="421" t="s">
        <v>7042</v>
      </c>
      <c r="I303" s="421" t="s">
        <v>7043</v>
      </c>
      <c r="J303" s="421" t="s">
        <v>76</v>
      </c>
      <c r="K303" s="421" t="s">
        <v>7043</v>
      </c>
      <c r="L303" s="421" t="s">
        <v>7043</v>
      </c>
      <c r="M303" s="421" t="s">
        <v>7043</v>
      </c>
      <c r="N303" s="421" t="s">
        <v>7043</v>
      </c>
      <c r="O303" s="421" t="s">
        <v>7043</v>
      </c>
      <c r="P303" s="421" t="s">
        <v>7043</v>
      </c>
      <c r="Q303" s="421" t="s">
        <v>7042</v>
      </c>
      <c r="R303" s="422" t="s">
        <v>7042</v>
      </c>
    </row>
    <row r="304" spans="1:18">
      <c r="A304" s="420" t="s">
        <v>7528</v>
      </c>
      <c r="B304" s="421" t="s">
        <v>6774</v>
      </c>
      <c r="C304" s="421" t="s">
        <v>7531</v>
      </c>
      <c r="D304" s="421" t="s">
        <v>7532</v>
      </c>
      <c r="E304" s="421" t="s">
        <v>7533</v>
      </c>
      <c r="F304" s="421" t="s">
        <v>76</v>
      </c>
      <c r="G304" s="421" t="s">
        <v>76</v>
      </c>
      <c r="H304" s="421" t="s">
        <v>76</v>
      </c>
      <c r="I304" s="421" t="s">
        <v>76</v>
      </c>
      <c r="J304" s="421" t="s">
        <v>76</v>
      </c>
      <c r="K304" s="421" t="s">
        <v>76</v>
      </c>
      <c r="L304" s="421" t="s">
        <v>76</v>
      </c>
      <c r="M304" s="421" t="s">
        <v>76</v>
      </c>
      <c r="N304" s="421" t="s">
        <v>76</v>
      </c>
      <c r="O304" s="421" t="s">
        <v>76</v>
      </c>
      <c r="P304" s="421" t="s">
        <v>76</v>
      </c>
      <c r="Q304" s="421" t="s">
        <v>7042</v>
      </c>
      <c r="R304" s="422" t="s">
        <v>7042</v>
      </c>
    </row>
    <row r="305" spans="1:18">
      <c r="A305" s="420" t="s">
        <v>7534</v>
      </c>
      <c r="B305" s="421" t="s">
        <v>6779</v>
      </c>
      <c r="C305" s="421" t="s">
        <v>7535</v>
      </c>
      <c r="D305" s="421" t="s">
        <v>7536</v>
      </c>
      <c r="E305" s="421" t="s">
        <v>7042</v>
      </c>
      <c r="F305" s="421" t="s">
        <v>7042</v>
      </c>
      <c r="G305" s="421" t="s">
        <v>7042</v>
      </c>
      <c r="H305" s="421" t="s">
        <v>76</v>
      </c>
      <c r="I305" s="421" t="s">
        <v>7043</v>
      </c>
      <c r="J305" s="421" t="s">
        <v>76</v>
      </c>
      <c r="K305" s="421" t="s">
        <v>76</v>
      </c>
      <c r="L305" s="421" t="s">
        <v>76</v>
      </c>
      <c r="M305" s="421" t="s">
        <v>76</v>
      </c>
      <c r="N305" s="421" t="s">
        <v>76</v>
      </c>
      <c r="O305" s="421" t="s">
        <v>76</v>
      </c>
      <c r="P305" s="421" t="s">
        <v>76</v>
      </c>
      <c r="Q305" s="421" t="s">
        <v>76</v>
      </c>
      <c r="R305" s="422" t="s">
        <v>76</v>
      </c>
    </row>
    <row r="306" spans="1:18">
      <c r="A306" s="420" t="s">
        <v>7534</v>
      </c>
      <c r="B306" s="421" t="s">
        <v>6779</v>
      </c>
      <c r="C306" s="421" t="s">
        <v>7537</v>
      </c>
      <c r="D306" s="421" t="s">
        <v>7538</v>
      </c>
      <c r="E306" s="421" t="s">
        <v>7042</v>
      </c>
      <c r="F306" s="421" t="s">
        <v>7042</v>
      </c>
      <c r="G306" s="421" t="s">
        <v>7042</v>
      </c>
      <c r="H306" s="421" t="s">
        <v>7042</v>
      </c>
      <c r="I306" s="421" t="s">
        <v>76</v>
      </c>
      <c r="J306" s="421" t="s">
        <v>7043</v>
      </c>
      <c r="K306" s="421" t="s">
        <v>76</v>
      </c>
      <c r="L306" s="421" t="s">
        <v>7043</v>
      </c>
      <c r="M306" s="421" t="s">
        <v>7043</v>
      </c>
      <c r="N306" s="421" t="s">
        <v>7043</v>
      </c>
      <c r="O306" s="421" t="s">
        <v>7043</v>
      </c>
      <c r="P306" s="421" t="s">
        <v>76</v>
      </c>
      <c r="Q306" s="421" t="s">
        <v>76</v>
      </c>
      <c r="R306" s="422" t="s">
        <v>76</v>
      </c>
    </row>
    <row r="307" spans="1:18">
      <c r="A307" s="420" t="s">
        <v>7539</v>
      </c>
      <c r="B307" s="421" t="s">
        <v>6786</v>
      </c>
      <c r="C307" s="421" t="s">
        <v>7540</v>
      </c>
      <c r="D307" s="421" t="s">
        <v>7541</v>
      </c>
      <c r="E307" s="421" t="s">
        <v>76</v>
      </c>
      <c r="F307" s="421" t="s">
        <v>76</v>
      </c>
      <c r="G307" s="421" t="s">
        <v>76</v>
      </c>
      <c r="H307" s="421" t="s">
        <v>76</v>
      </c>
      <c r="I307" s="421" t="s">
        <v>76</v>
      </c>
      <c r="J307" s="421" t="s">
        <v>76</v>
      </c>
      <c r="K307" s="421" t="s">
        <v>7043</v>
      </c>
      <c r="L307" s="421" t="s">
        <v>76</v>
      </c>
      <c r="M307" s="421" t="s">
        <v>76</v>
      </c>
      <c r="N307" s="421" t="s">
        <v>76</v>
      </c>
      <c r="O307" s="421" t="s">
        <v>76</v>
      </c>
      <c r="P307" s="421" t="s">
        <v>76</v>
      </c>
      <c r="Q307" s="421" t="s">
        <v>76</v>
      </c>
      <c r="R307" s="422" t="s">
        <v>76</v>
      </c>
    </row>
    <row r="308" spans="1:18">
      <c r="A308" s="420" t="s">
        <v>7539</v>
      </c>
      <c r="B308" s="421" t="s">
        <v>6786</v>
      </c>
      <c r="C308" s="423" t="s">
        <v>7542</v>
      </c>
      <c r="D308" s="423" t="s">
        <v>7543</v>
      </c>
      <c r="E308" s="421" t="s">
        <v>76</v>
      </c>
      <c r="F308" s="421" t="s">
        <v>76</v>
      </c>
      <c r="G308" s="421" t="s">
        <v>76</v>
      </c>
      <c r="H308" s="421" t="s">
        <v>76</v>
      </c>
      <c r="I308" s="421" t="s">
        <v>76</v>
      </c>
      <c r="J308" s="421" t="s">
        <v>76</v>
      </c>
      <c r="K308" s="421" t="s">
        <v>7043</v>
      </c>
      <c r="L308" s="421" t="s">
        <v>76</v>
      </c>
      <c r="M308" s="421" t="s">
        <v>76</v>
      </c>
      <c r="N308" s="421" t="s">
        <v>76</v>
      </c>
      <c r="O308" s="421" t="s">
        <v>76</v>
      </c>
      <c r="P308" s="421" t="s">
        <v>76</v>
      </c>
      <c r="Q308" s="421" t="s">
        <v>76</v>
      </c>
      <c r="R308" s="422" t="s">
        <v>76</v>
      </c>
    </row>
    <row r="309" spans="1:18">
      <c r="A309" s="420" t="s">
        <v>7544</v>
      </c>
      <c r="B309" s="421" t="s">
        <v>7545</v>
      </c>
      <c r="C309" s="421" t="s">
        <v>7546</v>
      </c>
      <c r="D309" s="421" t="s">
        <v>7547</v>
      </c>
      <c r="E309" s="421" t="s">
        <v>7369</v>
      </c>
      <c r="F309" s="421" t="s">
        <v>7042</v>
      </c>
      <c r="G309" s="421" t="s">
        <v>7042</v>
      </c>
      <c r="H309" s="421" t="s">
        <v>7042</v>
      </c>
      <c r="I309" s="421" t="s">
        <v>7043</v>
      </c>
      <c r="J309" s="421" t="s">
        <v>76</v>
      </c>
      <c r="K309" s="421" t="s">
        <v>7043</v>
      </c>
      <c r="L309" s="421" t="s">
        <v>7043</v>
      </c>
      <c r="M309" s="421" t="s">
        <v>7043</v>
      </c>
      <c r="N309" s="421" t="s">
        <v>7043</v>
      </c>
      <c r="O309" s="421" t="s">
        <v>7043</v>
      </c>
      <c r="P309" s="421" t="s">
        <v>76</v>
      </c>
      <c r="Q309" s="421" t="s">
        <v>7042</v>
      </c>
      <c r="R309" s="422" t="s">
        <v>7042</v>
      </c>
    </row>
    <row r="310" spans="1:18">
      <c r="A310" s="420" t="s">
        <v>7544</v>
      </c>
      <c r="B310" s="421" t="s">
        <v>7545</v>
      </c>
      <c r="C310" s="421" t="s">
        <v>7548</v>
      </c>
      <c r="D310" s="421" t="s">
        <v>7549</v>
      </c>
      <c r="E310" s="421" t="s">
        <v>7042</v>
      </c>
      <c r="F310" s="421" t="s">
        <v>7042</v>
      </c>
      <c r="G310" s="421" t="s">
        <v>7042</v>
      </c>
      <c r="H310" s="421" t="s">
        <v>76</v>
      </c>
      <c r="I310" s="421" t="s">
        <v>76</v>
      </c>
      <c r="J310" s="421" t="s">
        <v>76</v>
      </c>
      <c r="K310" s="421" t="s">
        <v>7043</v>
      </c>
      <c r="L310" s="421" t="s">
        <v>76</v>
      </c>
      <c r="M310" s="421" t="s">
        <v>76</v>
      </c>
      <c r="N310" s="421" t="s">
        <v>76</v>
      </c>
      <c r="O310" s="421" t="s">
        <v>76</v>
      </c>
      <c r="P310" s="421" t="s">
        <v>76</v>
      </c>
      <c r="Q310" s="421" t="s">
        <v>7042</v>
      </c>
      <c r="R310" s="422" t="s">
        <v>7042</v>
      </c>
    </row>
    <row r="311" spans="1:18">
      <c r="A311" s="420" t="s">
        <v>7544</v>
      </c>
      <c r="B311" s="421" t="s">
        <v>7545</v>
      </c>
      <c r="C311" s="421" t="s">
        <v>7550</v>
      </c>
      <c r="D311" s="421" t="s">
        <v>7551</v>
      </c>
      <c r="E311" s="421" t="s">
        <v>7042</v>
      </c>
      <c r="F311" s="421" t="s">
        <v>7042</v>
      </c>
      <c r="G311" s="421" t="s">
        <v>7042</v>
      </c>
      <c r="H311" s="421" t="s">
        <v>76</v>
      </c>
      <c r="I311" s="421" t="s">
        <v>76</v>
      </c>
      <c r="J311" s="421" t="s">
        <v>76</v>
      </c>
      <c r="K311" s="421" t="s">
        <v>7043</v>
      </c>
      <c r="L311" s="421" t="s">
        <v>76</v>
      </c>
      <c r="M311" s="421" t="s">
        <v>76</v>
      </c>
      <c r="N311" s="421" t="s">
        <v>76</v>
      </c>
      <c r="O311" s="421" t="s">
        <v>76</v>
      </c>
      <c r="P311" s="421" t="s">
        <v>76</v>
      </c>
      <c r="Q311" s="421" t="s">
        <v>7042</v>
      </c>
      <c r="R311" s="422" t="s">
        <v>7042</v>
      </c>
    </row>
    <row r="312" spans="1:18">
      <c r="A312" s="420" t="s">
        <v>7544</v>
      </c>
      <c r="B312" s="421" t="s">
        <v>7545</v>
      </c>
      <c r="C312" s="421" t="s">
        <v>7552</v>
      </c>
      <c r="D312" s="421" t="s">
        <v>7553</v>
      </c>
      <c r="E312" s="421" t="s">
        <v>7369</v>
      </c>
      <c r="F312" s="421" t="s">
        <v>7042</v>
      </c>
      <c r="G312" s="421" t="s">
        <v>7042</v>
      </c>
      <c r="H312" s="421" t="s">
        <v>7042</v>
      </c>
      <c r="I312" s="421" t="s">
        <v>7043</v>
      </c>
      <c r="J312" s="421" t="s">
        <v>76</v>
      </c>
      <c r="K312" s="421" t="s">
        <v>7043</v>
      </c>
      <c r="L312" s="421" t="s">
        <v>7043</v>
      </c>
      <c r="M312" s="421" t="s">
        <v>7043</v>
      </c>
      <c r="N312" s="421" t="s">
        <v>7043</v>
      </c>
      <c r="O312" s="421" t="s">
        <v>7043</v>
      </c>
      <c r="P312" s="421" t="s">
        <v>76</v>
      </c>
      <c r="Q312" s="421" t="s">
        <v>7042</v>
      </c>
      <c r="R312" s="422" t="s">
        <v>7042</v>
      </c>
    </row>
    <row r="313" spans="1:18">
      <c r="A313" s="420" t="s">
        <v>7554</v>
      </c>
      <c r="B313" s="421" t="s">
        <v>6828</v>
      </c>
      <c r="C313" s="421" t="s">
        <v>7555</v>
      </c>
      <c r="D313" s="421" t="s">
        <v>7556</v>
      </c>
      <c r="E313" s="421" t="s">
        <v>7042</v>
      </c>
      <c r="F313" s="421" t="s">
        <v>7042</v>
      </c>
      <c r="G313" s="421" t="s">
        <v>7042</v>
      </c>
      <c r="H313" s="421" t="s">
        <v>7465</v>
      </c>
      <c r="I313" s="421" t="s">
        <v>76</v>
      </c>
      <c r="J313" s="421" t="s">
        <v>76</v>
      </c>
      <c r="K313" s="421" t="s">
        <v>76</v>
      </c>
      <c r="L313" s="421" t="s">
        <v>7043</v>
      </c>
      <c r="M313" s="421" t="s">
        <v>7043</v>
      </c>
      <c r="N313" s="421" t="s">
        <v>7043</v>
      </c>
      <c r="O313" s="421" t="s">
        <v>7043</v>
      </c>
      <c r="P313" s="421" t="s">
        <v>76</v>
      </c>
      <c r="Q313" s="421" t="s">
        <v>76</v>
      </c>
      <c r="R313" s="422" t="s">
        <v>76</v>
      </c>
    </row>
    <row r="314" spans="1:18">
      <c r="A314" s="420" t="s">
        <v>7554</v>
      </c>
      <c r="B314" s="421" t="s">
        <v>6828</v>
      </c>
      <c r="C314" s="421" t="s">
        <v>7555</v>
      </c>
      <c r="D314" s="421" t="s">
        <v>7557</v>
      </c>
      <c r="E314" s="421" t="s">
        <v>7042</v>
      </c>
      <c r="F314" s="421" t="s">
        <v>7042</v>
      </c>
      <c r="G314" s="421" t="s">
        <v>7042</v>
      </c>
      <c r="H314" s="421" t="s">
        <v>7465</v>
      </c>
      <c r="I314" s="421" t="s">
        <v>76</v>
      </c>
      <c r="J314" s="421" t="s">
        <v>76</v>
      </c>
      <c r="K314" s="421" t="s">
        <v>76</v>
      </c>
      <c r="L314" s="421" t="s">
        <v>7043</v>
      </c>
      <c r="M314" s="421" t="s">
        <v>7043</v>
      </c>
      <c r="N314" s="421" t="s">
        <v>7043</v>
      </c>
      <c r="O314" s="421" t="s">
        <v>7043</v>
      </c>
      <c r="P314" s="421" t="s">
        <v>76</v>
      </c>
      <c r="Q314" s="421" t="s">
        <v>76</v>
      </c>
      <c r="R314" s="422" t="s">
        <v>76</v>
      </c>
    </row>
    <row r="315" spans="1:18">
      <c r="A315" s="420" t="s">
        <v>7554</v>
      </c>
      <c r="B315" s="421" t="s">
        <v>6828</v>
      </c>
      <c r="C315" s="421" t="s">
        <v>7555</v>
      </c>
      <c r="D315" s="421" t="s">
        <v>7558</v>
      </c>
      <c r="E315" s="421" t="s">
        <v>7042</v>
      </c>
      <c r="F315" s="421" t="s">
        <v>7042</v>
      </c>
      <c r="G315" s="421" t="s">
        <v>7042</v>
      </c>
      <c r="H315" s="421" t="s">
        <v>7465</v>
      </c>
      <c r="I315" s="421" t="s">
        <v>76</v>
      </c>
      <c r="J315" s="421" t="s">
        <v>76</v>
      </c>
      <c r="K315" s="421" t="s">
        <v>76</v>
      </c>
      <c r="L315" s="421" t="s">
        <v>7043</v>
      </c>
      <c r="M315" s="421" t="s">
        <v>7043</v>
      </c>
      <c r="N315" s="421" t="s">
        <v>7043</v>
      </c>
      <c r="O315" s="421" t="s">
        <v>7043</v>
      </c>
      <c r="P315" s="421" t="s">
        <v>76</v>
      </c>
      <c r="Q315" s="421" t="s">
        <v>76</v>
      </c>
      <c r="R315" s="422" t="s">
        <v>76</v>
      </c>
    </row>
    <row r="316" spans="1:18">
      <c r="A316" s="420" t="s">
        <v>7554</v>
      </c>
      <c r="B316" s="421" t="s">
        <v>6828</v>
      </c>
      <c r="C316" s="421" t="s">
        <v>7555</v>
      </c>
      <c r="D316" s="421" t="s">
        <v>7559</v>
      </c>
      <c r="E316" s="421" t="s">
        <v>7042</v>
      </c>
      <c r="F316" s="421" t="s">
        <v>7042</v>
      </c>
      <c r="G316" s="421" t="s">
        <v>7042</v>
      </c>
      <c r="H316" s="421" t="s">
        <v>7465</v>
      </c>
      <c r="I316" s="421" t="s">
        <v>76</v>
      </c>
      <c r="J316" s="421" t="s">
        <v>76</v>
      </c>
      <c r="K316" s="421" t="s">
        <v>76</v>
      </c>
      <c r="L316" s="421" t="s">
        <v>7043</v>
      </c>
      <c r="M316" s="421" t="s">
        <v>7043</v>
      </c>
      <c r="N316" s="421" t="s">
        <v>7043</v>
      </c>
      <c r="O316" s="421" t="s">
        <v>7043</v>
      </c>
      <c r="P316" s="421" t="s">
        <v>76</v>
      </c>
      <c r="Q316" s="421" t="s">
        <v>76</v>
      </c>
      <c r="R316" s="422" t="s">
        <v>76</v>
      </c>
    </row>
    <row r="317" spans="1:18">
      <c r="A317" s="420" t="s">
        <v>7554</v>
      </c>
      <c r="B317" s="421" t="s">
        <v>6828</v>
      </c>
      <c r="C317" s="421" t="s">
        <v>7555</v>
      </c>
      <c r="D317" s="421" t="s">
        <v>7560</v>
      </c>
      <c r="E317" s="421" t="s">
        <v>7042</v>
      </c>
      <c r="F317" s="421" t="s">
        <v>7042</v>
      </c>
      <c r="G317" s="421" t="s">
        <v>7042</v>
      </c>
      <c r="H317" s="421" t="s">
        <v>7465</v>
      </c>
      <c r="I317" s="421" t="s">
        <v>76</v>
      </c>
      <c r="J317" s="421" t="s">
        <v>76</v>
      </c>
      <c r="K317" s="421" t="s">
        <v>76</v>
      </c>
      <c r="L317" s="421" t="s">
        <v>7043</v>
      </c>
      <c r="M317" s="421" t="s">
        <v>7043</v>
      </c>
      <c r="N317" s="421" t="s">
        <v>7043</v>
      </c>
      <c r="O317" s="421" t="s">
        <v>7043</v>
      </c>
      <c r="P317" s="421" t="s">
        <v>76</v>
      </c>
      <c r="Q317" s="421" t="s">
        <v>76</v>
      </c>
      <c r="R317" s="422" t="s">
        <v>76</v>
      </c>
    </row>
    <row r="318" spans="1:18">
      <c r="A318" s="420" t="s">
        <v>7554</v>
      </c>
      <c r="B318" s="421" t="s">
        <v>6828</v>
      </c>
      <c r="C318" s="421" t="s">
        <v>7555</v>
      </c>
      <c r="D318" s="421" t="s">
        <v>7561</v>
      </c>
      <c r="E318" s="421" t="s">
        <v>7042</v>
      </c>
      <c r="F318" s="421" t="s">
        <v>7042</v>
      </c>
      <c r="G318" s="421" t="s">
        <v>7042</v>
      </c>
      <c r="H318" s="421" t="s">
        <v>7465</v>
      </c>
      <c r="I318" s="421" t="s">
        <v>76</v>
      </c>
      <c r="J318" s="421" t="s">
        <v>76</v>
      </c>
      <c r="K318" s="421" t="s">
        <v>76</v>
      </c>
      <c r="L318" s="421" t="s">
        <v>7043</v>
      </c>
      <c r="M318" s="421" t="s">
        <v>7043</v>
      </c>
      <c r="N318" s="421" t="s">
        <v>7043</v>
      </c>
      <c r="O318" s="421" t="s">
        <v>7043</v>
      </c>
      <c r="P318" s="421" t="s">
        <v>76</v>
      </c>
      <c r="Q318" s="421" t="s">
        <v>76</v>
      </c>
      <c r="R318" s="422" t="s">
        <v>76</v>
      </c>
    </row>
    <row r="319" spans="1:18">
      <c r="A319" s="420" t="s">
        <v>7554</v>
      </c>
      <c r="B319" s="421" t="s">
        <v>6828</v>
      </c>
      <c r="C319" s="421" t="s">
        <v>7555</v>
      </c>
      <c r="D319" s="421" t="s">
        <v>7562</v>
      </c>
      <c r="E319" s="421" t="s">
        <v>7042</v>
      </c>
      <c r="F319" s="421" t="s">
        <v>7042</v>
      </c>
      <c r="G319" s="421" t="s">
        <v>7042</v>
      </c>
      <c r="H319" s="421" t="s">
        <v>7465</v>
      </c>
      <c r="I319" s="421" t="s">
        <v>76</v>
      </c>
      <c r="J319" s="421" t="s">
        <v>76</v>
      </c>
      <c r="K319" s="421" t="s">
        <v>76</v>
      </c>
      <c r="L319" s="421" t="s">
        <v>7043</v>
      </c>
      <c r="M319" s="421" t="s">
        <v>7043</v>
      </c>
      <c r="N319" s="421" t="s">
        <v>7043</v>
      </c>
      <c r="O319" s="421" t="s">
        <v>7043</v>
      </c>
      <c r="P319" s="421" t="s">
        <v>76</v>
      </c>
      <c r="Q319" s="421" t="s">
        <v>76</v>
      </c>
      <c r="R319" s="422" t="s">
        <v>76</v>
      </c>
    </row>
    <row r="320" spans="1:18">
      <c r="A320" s="420" t="s">
        <v>7554</v>
      </c>
      <c r="B320" s="421" t="s">
        <v>6828</v>
      </c>
      <c r="C320" s="421" t="s">
        <v>7555</v>
      </c>
      <c r="D320" s="421" t="s">
        <v>7563</v>
      </c>
      <c r="E320" s="421" t="s">
        <v>7042</v>
      </c>
      <c r="F320" s="421" t="s">
        <v>7042</v>
      </c>
      <c r="G320" s="421" t="s">
        <v>7042</v>
      </c>
      <c r="H320" s="421" t="s">
        <v>7465</v>
      </c>
      <c r="I320" s="421" t="s">
        <v>76</v>
      </c>
      <c r="J320" s="421" t="s">
        <v>76</v>
      </c>
      <c r="K320" s="421" t="s">
        <v>76</v>
      </c>
      <c r="L320" s="421" t="s">
        <v>7043</v>
      </c>
      <c r="M320" s="421" t="s">
        <v>7043</v>
      </c>
      <c r="N320" s="421" t="s">
        <v>7043</v>
      </c>
      <c r="O320" s="421" t="s">
        <v>7043</v>
      </c>
      <c r="P320" s="421" t="s">
        <v>76</v>
      </c>
      <c r="Q320" s="421" t="s">
        <v>76</v>
      </c>
      <c r="R320" s="422" t="s">
        <v>76</v>
      </c>
    </row>
    <row r="321" spans="1:18">
      <c r="A321" s="420" t="s">
        <v>7554</v>
      </c>
      <c r="B321" s="421" t="s">
        <v>6828</v>
      </c>
      <c r="C321" s="421" t="s">
        <v>7555</v>
      </c>
      <c r="D321" s="421" t="s">
        <v>7564</v>
      </c>
      <c r="E321" s="421" t="s">
        <v>7042</v>
      </c>
      <c r="F321" s="421" t="s">
        <v>7042</v>
      </c>
      <c r="G321" s="421" t="s">
        <v>7042</v>
      </c>
      <c r="H321" s="421" t="s">
        <v>7465</v>
      </c>
      <c r="I321" s="421" t="s">
        <v>76</v>
      </c>
      <c r="J321" s="421" t="s">
        <v>76</v>
      </c>
      <c r="K321" s="421" t="s">
        <v>76</v>
      </c>
      <c r="L321" s="421" t="s">
        <v>7043</v>
      </c>
      <c r="M321" s="421" t="s">
        <v>7043</v>
      </c>
      <c r="N321" s="421" t="s">
        <v>7043</v>
      </c>
      <c r="O321" s="421" t="s">
        <v>7043</v>
      </c>
      <c r="P321" s="421" t="s">
        <v>76</v>
      </c>
      <c r="Q321" s="421" t="s">
        <v>76</v>
      </c>
      <c r="R321" s="422" t="s">
        <v>76</v>
      </c>
    </row>
    <row r="322" spans="1:18">
      <c r="A322" s="420" t="s">
        <v>7554</v>
      </c>
      <c r="B322" s="421" t="s">
        <v>6828</v>
      </c>
      <c r="C322" s="421" t="s">
        <v>7555</v>
      </c>
      <c r="D322" s="421" t="s">
        <v>7565</v>
      </c>
      <c r="E322" s="421" t="s">
        <v>7042</v>
      </c>
      <c r="F322" s="421" t="s">
        <v>7042</v>
      </c>
      <c r="G322" s="421" t="s">
        <v>7042</v>
      </c>
      <c r="H322" s="421" t="s">
        <v>7465</v>
      </c>
      <c r="I322" s="421" t="s">
        <v>76</v>
      </c>
      <c r="J322" s="421" t="s">
        <v>76</v>
      </c>
      <c r="K322" s="421" t="s">
        <v>76</v>
      </c>
      <c r="L322" s="421" t="s">
        <v>7043</v>
      </c>
      <c r="M322" s="421" t="s">
        <v>7043</v>
      </c>
      <c r="N322" s="421" t="s">
        <v>7043</v>
      </c>
      <c r="O322" s="421" t="s">
        <v>7043</v>
      </c>
      <c r="P322" s="421" t="s">
        <v>76</v>
      </c>
      <c r="Q322" s="421" t="s">
        <v>76</v>
      </c>
      <c r="R322" s="422" t="s">
        <v>76</v>
      </c>
    </row>
    <row r="323" spans="1:18">
      <c r="A323" s="420" t="s">
        <v>7554</v>
      </c>
      <c r="B323" s="421" t="s">
        <v>6828</v>
      </c>
      <c r="C323" s="421" t="s">
        <v>7555</v>
      </c>
      <c r="D323" s="421" t="s">
        <v>7566</v>
      </c>
      <c r="E323" s="421" t="s">
        <v>7042</v>
      </c>
      <c r="F323" s="421" t="s">
        <v>7042</v>
      </c>
      <c r="G323" s="421" t="s">
        <v>7042</v>
      </c>
      <c r="H323" s="421" t="s">
        <v>7465</v>
      </c>
      <c r="I323" s="421" t="s">
        <v>76</v>
      </c>
      <c r="J323" s="421" t="s">
        <v>76</v>
      </c>
      <c r="K323" s="421" t="s">
        <v>76</v>
      </c>
      <c r="L323" s="421" t="s">
        <v>7043</v>
      </c>
      <c r="M323" s="421" t="s">
        <v>7043</v>
      </c>
      <c r="N323" s="421" t="s">
        <v>7043</v>
      </c>
      <c r="O323" s="421" t="s">
        <v>7043</v>
      </c>
      <c r="P323" s="421" t="s">
        <v>76</v>
      </c>
      <c r="Q323" s="421" t="s">
        <v>76</v>
      </c>
      <c r="R323" s="422" t="s">
        <v>76</v>
      </c>
    </row>
    <row r="324" spans="1:18">
      <c r="A324" s="420" t="s">
        <v>7554</v>
      </c>
      <c r="B324" s="421" t="s">
        <v>6828</v>
      </c>
      <c r="C324" s="421" t="s">
        <v>7555</v>
      </c>
      <c r="D324" s="421" t="s">
        <v>7567</v>
      </c>
      <c r="E324" s="421" t="s">
        <v>7042</v>
      </c>
      <c r="F324" s="421" t="s">
        <v>7042</v>
      </c>
      <c r="G324" s="421" t="s">
        <v>7042</v>
      </c>
      <c r="H324" s="421" t="s">
        <v>7465</v>
      </c>
      <c r="I324" s="421" t="s">
        <v>76</v>
      </c>
      <c r="J324" s="421" t="s">
        <v>76</v>
      </c>
      <c r="K324" s="421" t="s">
        <v>76</v>
      </c>
      <c r="L324" s="421" t="s">
        <v>7043</v>
      </c>
      <c r="M324" s="421" t="s">
        <v>7043</v>
      </c>
      <c r="N324" s="421" t="s">
        <v>7043</v>
      </c>
      <c r="O324" s="421" t="s">
        <v>7043</v>
      </c>
      <c r="P324" s="421" t="s">
        <v>76</v>
      </c>
      <c r="Q324" s="421" t="s">
        <v>76</v>
      </c>
      <c r="R324" s="422" t="s">
        <v>76</v>
      </c>
    </row>
    <row r="325" spans="1:18">
      <c r="A325" s="420" t="s">
        <v>7554</v>
      </c>
      <c r="B325" s="421" t="s">
        <v>6828</v>
      </c>
      <c r="C325" s="421" t="s">
        <v>7555</v>
      </c>
      <c r="D325" s="421" t="s">
        <v>7568</v>
      </c>
      <c r="E325" s="421" t="s">
        <v>7042</v>
      </c>
      <c r="F325" s="421" t="s">
        <v>7042</v>
      </c>
      <c r="G325" s="421" t="s">
        <v>7042</v>
      </c>
      <c r="H325" s="421" t="s">
        <v>7465</v>
      </c>
      <c r="I325" s="421" t="s">
        <v>76</v>
      </c>
      <c r="J325" s="421" t="s">
        <v>76</v>
      </c>
      <c r="K325" s="421" t="s">
        <v>76</v>
      </c>
      <c r="L325" s="421" t="s">
        <v>7043</v>
      </c>
      <c r="M325" s="421" t="s">
        <v>7043</v>
      </c>
      <c r="N325" s="421" t="s">
        <v>7043</v>
      </c>
      <c r="O325" s="421" t="s">
        <v>7043</v>
      </c>
      <c r="P325" s="421" t="s">
        <v>76</v>
      </c>
      <c r="Q325" s="421" t="s">
        <v>76</v>
      </c>
      <c r="R325" s="422" t="s">
        <v>76</v>
      </c>
    </row>
    <row r="326" spans="1:18">
      <c r="A326" s="420" t="s">
        <v>7554</v>
      </c>
      <c r="B326" s="421" t="s">
        <v>6828</v>
      </c>
      <c r="C326" s="421" t="s">
        <v>7555</v>
      </c>
      <c r="D326" s="421" t="s">
        <v>7569</v>
      </c>
      <c r="E326" s="421" t="s">
        <v>7042</v>
      </c>
      <c r="F326" s="421" t="s">
        <v>7042</v>
      </c>
      <c r="G326" s="421" t="s">
        <v>7042</v>
      </c>
      <c r="H326" s="421" t="s">
        <v>7465</v>
      </c>
      <c r="I326" s="421" t="s">
        <v>76</v>
      </c>
      <c r="J326" s="421" t="s">
        <v>76</v>
      </c>
      <c r="K326" s="421" t="s">
        <v>76</v>
      </c>
      <c r="L326" s="421" t="s">
        <v>7043</v>
      </c>
      <c r="M326" s="421" t="s">
        <v>7043</v>
      </c>
      <c r="N326" s="421" t="s">
        <v>7043</v>
      </c>
      <c r="O326" s="421" t="s">
        <v>7043</v>
      </c>
      <c r="P326" s="421" t="s">
        <v>76</v>
      </c>
      <c r="Q326" s="421" t="s">
        <v>76</v>
      </c>
      <c r="R326" s="422" t="s">
        <v>76</v>
      </c>
    </row>
    <row r="327" spans="1:18">
      <c r="A327" s="420" t="s">
        <v>7554</v>
      </c>
      <c r="B327" s="421" t="s">
        <v>6828</v>
      </c>
      <c r="C327" s="421" t="s">
        <v>7555</v>
      </c>
      <c r="D327" s="421" t="s">
        <v>7570</v>
      </c>
      <c r="E327" s="421" t="s">
        <v>7042</v>
      </c>
      <c r="F327" s="421" t="s">
        <v>7042</v>
      </c>
      <c r="G327" s="421" t="s">
        <v>7042</v>
      </c>
      <c r="H327" s="421" t="s">
        <v>7465</v>
      </c>
      <c r="I327" s="421" t="s">
        <v>76</v>
      </c>
      <c r="J327" s="421" t="s">
        <v>76</v>
      </c>
      <c r="K327" s="421" t="s">
        <v>76</v>
      </c>
      <c r="L327" s="421" t="s">
        <v>7043</v>
      </c>
      <c r="M327" s="421" t="s">
        <v>7043</v>
      </c>
      <c r="N327" s="421" t="s">
        <v>7043</v>
      </c>
      <c r="O327" s="421" t="s">
        <v>7043</v>
      </c>
      <c r="P327" s="421" t="s">
        <v>76</v>
      </c>
      <c r="Q327" s="421" t="s">
        <v>76</v>
      </c>
      <c r="R327" s="422" t="s">
        <v>76</v>
      </c>
    </row>
    <row r="328" spans="1:18">
      <c r="A328" s="420" t="s">
        <v>7554</v>
      </c>
      <c r="B328" s="421" t="s">
        <v>6828</v>
      </c>
      <c r="C328" s="421" t="s">
        <v>7555</v>
      </c>
      <c r="D328" s="421" t="s">
        <v>7571</v>
      </c>
      <c r="E328" s="421" t="s">
        <v>7042</v>
      </c>
      <c r="F328" s="421" t="s">
        <v>7042</v>
      </c>
      <c r="G328" s="421" t="s">
        <v>7042</v>
      </c>
      <c r="H328" s="421" t="s">
        <v>7465</v>
      </c>
      <c r="I328" s="421" t="s">
        <v>76</v>
      </c>
      <c r="J328" s="421" t="s">
        <v>76</v>
      </c>
      <c r="K328" s="421" t="s">
        <v>76</v>
      </c>
      <c r="L328" s="421" t="s">
        <v>7043</v>
      </c>
      <c r="M328" s="421" t="s">
        <v>7043</v>
      </c>
      <c r="N328" s="421" t="s">
        <v>7043</v>
      </c>
      <c r="O328" s="421" t="s">
        <v>7043</v>
      </c>
      <c r="P328" s="421" t="s">
        <v>76</v>
      </c>
      <c r="Q328" s="421" t="s">
        <v>76</v>
      </c>
      <c r="R328" s="422" t="s">
        <v>76</v>
      </c>
    </row>
    <row r="329" spans="1:18">
      <c r="A329" s="420" t="s">
        <v>7572</v>
      </c>
      <c r="B329" s="421" t="s">
        <v>7573</v>
      </c>
      <c r="C329" s="421" t="s">
        <v>7574</v>
      </c>
      <c r="D329" s="421" t="s">
        <v>7575</v>
      </c>
      <c r="E329" s="421" t="s">
        <v>76</v>
      </c>
      <c r="F329" s="421" t="s">
        <v>76</v>
      </c>
      <c r="G329" s="421" t="s">
        <v>76</v>
      </c>
      <c r="H329" s="421" t="s">
        <v>7044</v>
      </c>
      <c r="I329" s="421" t="s">
        <v>76</v>
      </c>
      <c r="J329" s="421" t="s">
        <v>76</v>
      </c>
      <c r="K329" s="421" t="s">
        <v>76</v>
      </c>
      <c r="L329" s="421" t="s">
        <v>76</v>
      </c>
      <c r="M329" s="421" t="s">
        <v>76</v>
      </c>
      <c r="N329" s="421" t="s">
        <v>76</v>
      </c>
      <c r="O329" s="421" t="s">
        <v>76</v>
      </c>
      <c r="P329" s="421" t="s">
        <v>7043</v>
      </c>
      <c r="Q329" s="421" t="s">
        <v>76</v>
      </c>
      <c r="R329" s="422" t="s">
        <v>76</v>
      </c>
    </row>
    <row r="330" spans="1:18">
      <c r="A330" s="420" t="s">
        <v>7572</v>
      </c>
      <c r="B330" s="421" t="s">
        <v>7573</v>
      </c>
      <c r="C330" s="421" t="s">
        <v>7574</v>
      </c>
      <c r="D330" s="421" t="s">
        <v>7576</v>
      </c>
      <c r="E330" s="421" t="s">
        <v>76</v>
      </c>
      <c r="F330" s="421" t="s">
        <v>76</v>
      </c>
      <c r="G330" s="421" t="s">
        <v>76</v>
      </c>
      <c r="H330" s="421" t="s">
        <v>7044</v>
      </c>
      <c r="I330" s="421" t="s">
        <v>76</v>
      </c>
      <c r="J330" s="421" t="s">
        <v>76</v>
      </c>
      <c r="K330" s="421" t="s">
        <v>76</v>
      </c>
      <c r="L330" s="421" t="s">
        <v>76</v>
      </c>
      <c r="M330" s="421" t="s">
        <v>76</v>
      </c>
      <c r="N330" s="421" t="s">
        <v>76</v>
      </c>
      <c r="O330" s="421" t="s">
        <v>76</v>
      </c>
      <c r="P330" s="421" t="s">
        <v>7043</v>
      </c>
      <c r="Q330" s="421" t="s">
        <v>76</v>
      </c>
      <c r="R330" s="422" t="s">
        <v>76</v>
      </c>
    </row>
    <row r="331" spans="1:18">
      <c r="A331" s="420" t="s">
        <v>7572</v>
      </c>
      <c r="B331" s="421" t="s">
        <v>7573</v>
      </c>
      <c r="C331" s="421" t="s">
        <v>7574</v>
      </c>
      <c r="D331" s="421" t="s">
        <v>7577</v>
      </c>
      <c r="E331" s="421" t="s">
        <v>76</v>
      </c>
      <c r="F331" s="421" t="s">
        <v>76</v>
      </c>
      <c r="G331" s="421" t="s">
        <v>76</v>
      </c>
      <c r="H331" s="421" t="s">
        <v>7044</v>
      </c>
      <c r="I331" s="421" t="s">
        <v>76</v>
      </c>
      <c r="J331" s="421" t="s">
        <v>76</v>
      </c>
      <c r="K331" s="421" t="s">
        <v>76</v>
      </c>
      <c r="L331" s="421" t="s">
        <v>76</v>
      </c>
      <c r="M331" s="421" t="s">
        <v>76</v>
      </c>
      <c r="N331" s="421" t="s">
        <v>76</v>
      </c>
      <c r="O331" s="421" t="s">
        <v>76</v>
      </c>
      <c r="P331" s="421" t="s">
        <v>7043</v>
      </c>
      <c r="Q331" s="421" t="s">
        <v>76</v>
      </c>
      <c r="R331" s="422" t="s">
        <v>76</v>
      </c>
    </row>
    <row r="332" spans="1:18">
      <c r="A332" s="420" t="s">
        <v>7572</v>
      </c>
      <c r="B332" s="421" t="s">
        <v>7573</v>
      </c>
      <c r="C332" s="421" t="s">
        <v>7574</v>
      </c>
      <c r="D332" s="421" t="s">
        <v>7578</v>
      </c>
      <c r="E332" s="421" t="s">
        <v>76</v>
      </c>
      <c r="F332" s="421" t="s">
        <v>76</v>
      </c>
      <c r="G332" s="421" t="s">
        <v>76</v>
      </c>
      <c r="H332" s="421" t="s">
        <v>7044</v>
      </c>
      <c r="I332" s="421" t="s">
        <v>76</v>
      </c>
      <c r="J332" s="421" t="s">
        <v>76</v>
      </c>
      <c r="K332" s="421" t="s">
        <v>76</v>
      </c>
      <c r="L332" s="421" t="s">
        <v>76</v>
      </c>
      <c r="M332" s="421" t="s">
        <v>76</v>
      </c>
      <c r="N332" s="421" t="s">
        <v>76</v>
      </c>
      <c r="O332" s="421" t="s">
        <v>76</v>
      </c>
      <c r="P332" s="421" t="s">
        <v>7043</v>
      </c>
      <c r="Q332" s="421" t="s">
        <v>76</v>
      </c>
      <c r="R332" s="422" t="s">
        <v>76</v>
      </c>
    </row>
    <row r="333" spans="1:18">
      <c r="A333" s="420" t="s">
        <v>7572</v>
      </c>
      <c r="B333" s="421" t="s">
        <v>7573</v>
      </c>
      <c r="C333" s="421" t="s">
        <v>7574</v>
      </c>
      <c r="D333" s="421" t="s">
        <v>7579</v>
      </c>
      <c r="E333" s="421" t="s">
        <v>76</v>
      </c>
      <c r="F333" s="421" t="s">
        <v>76</v>
      </c>
      <c r="G333" s="421" t="s">
        <v>76</v>
      </c>
      <c r="H333" s="421" t="s">
        <v>7044</v>
      </c>
      <c r="I333" s="421" t="s">
        <v>76</v>
      </c>
      <c r="J333" s="421" t="s">
        <v>76</v>
      </c>
      <c r="K333" s="421" t="s">
        <v>76</v>
      </c>
      <c r="L333" s="421" t="s">
        <v>76</v>
      </c>
      <c r="M333" s="421" t="s">
        <v>76</v>
      </c>
      <c r="N333" s="421" t="s">
        <v>76</v>
      </c>
      <c r="O333" s="421" t="s">
        <v>76</v>
      </c>
      <c r="P333" s="421" t="s">
        <v>7043</v>
      </c>
      <c r="Q333" s="421" t="s">
        <v>76</v>
      </c>
      <c r="R333" s="422" t="s">
        <v>76</v>
      </c>
    </row>
    <row r="334" spans="1:18">
      <c r="A334" s="420" t="s">
        <v>7572</v>
      </c>
      <c r="B334" s="421" t="s">
        <v>7573</v>
      </c>
      <c r="C334" s="421" t="s">
        <v>7574</v>
      </c>
      <c r="D334" s="421" t="s">
        <v>7580</v>
      </c>
      <c r="E334" s="421" t="s">
        <v>76</v>
      </c>
      <c r="F334" s="421" t="s">
        <v>76</v>
      </c>
      <c r="G334" s="421" t="s">
        <v>76</v>
      </c>
      <c r="H334" s="421" t="s">
        <v>7044</v>
      </c>
      <c r="I334" s="421" t="s">
        <v>76</v>
      </c>
      <c r="J334" s="421" t="s">
        <v>76</v>
      </c>
      <c r="K334" s="421" t="s">
        <v>76</v>
      </c>
      <c r="L334" s="421" t="s">
        <v>76</v>
      </c>
      <c r="M334" s="421" t="s">
        <v>76</v>
      </c>
      <c r="N334" s="421" t="s">
        <v>76</v>
      </c>
      <c r="O334" s="421" t="s">
        <v>76</v>
      </c>
      <c r="P334" s="421" t="s">
        <v>7043</v>
      </c>
      <c r="Q334" s="421" t="s">
        <v>76</v>
      </c>
      <c r="R334" s="422" t="s">
        <v>76</v>
      </c>
    </row>
    <row r="335" spans="1:18">
      <c r="A335" s="420" t="s">
        <v>7572</v>
      </c>
      <c r="B335" s="421" t="s">
        <v>7573</v>
      </c>
      <c r="C335" s="421" t="s">
        <v>7574</v>
      </c>
      <c r="D335" s="421" t="s">
        <v>7581</v>
      </c>
      <c r="E335" s="421" t="s">
        <v>76</v>
      </c>
      <c r="F335" s="421" t="s">
        <v>76</v>
      </c>
      <c r="G335" s="421" t="s">
        <v>76</v>
      </c>
      <c r="H335" s="421" t="s">
        <v>7044</v>
      </c>
      <c r="I335" s="421" t="s">
        <v>76</v>
      </c>
      <c r="J335" s="421" t="s">
        <v>76</v>
      </c>
      <c r="K335" s="421" t="s">
        <v>76</v>
      </c>
      <c r="L335" s="421" t="s">
        <v>76</v>
      </c>
      <c r="M335" s="421" t="s">
        <v>76</v>
      </c>
      <c r="N335" s="421" t="s">
        <v>76</v>
      </c>
      <c r="O335" s="421" t="s">
        <v>76</v>
      </c>
      <c r="P335" s="421" t="s">
        <v>7043</v>
      </c>
      <c r="Q335" s="421" t="s">
        <v>76</v>
      </c>
      <c r="R335" s="422" t="s">
        <v>76</v>
      </c>
    </row>
    <row r="336" spans="1:18">
      <c r="A336" s="420" t="s">
        <v>7572</v>
      </c>
      <c r="B336" s="421" t="s">
        <v>7573</v>
      </c>
      <c r="C336" s="421" t="s">
        <v>7574</v>
      </c>
      <c r="D336" s="421" t="s">
        <v>7582</v>
      </c>
      <c r="E336" s="421" t="s">
        <v>76</v>
      </c>
      <c r="F336" s="421" t="s">
        <v>76</v>
      </c>
      <c r="G336" s="421" t="s">
        <v>76</v>
      </c>
      <c r="H336" s="421" t="s">
        <v>7044</v>
      </c>
      <c r="I336" s="421" t="s">
        <v>76</v>
      </c>
      <c r="J336" s="421" t="s">
        <v>76</v>
      </c>
      <c r="K336" s="421" t="s">
        <v>76</v>
      </c>
      <c r="L336" s="421" t="s">
        <v>76</v>
      </c>
      <c r="M336" s="421" t="s">
        <v>76</v>
      </c>
      <c r="N336" s="421" t="s">
        <v>76</v>
      </c>
      <c r="O336" s="421" t="s">
        <v>76</v>
      </c>
      <c r="P336" s="421" t="s">
        <v>7043</v>
      </c>
      <c r="Q336" s="421" t="s">
        <v>76</v>
      </c>
      <c r="R336" s="422" t="s">
        <v>76</v>
      </c>
    </row>
    <row r="337" spans="1:18">
      <c r="A337" s="420" t="s">
        <v>7572</v>
      </c>
      <c r="B337" s="421" t="s">
        <v>7573</v>
      </c>
      <c r="C337" s="421" t="s">
        <v>7574</v>
      </c>
      <c r="D337" s="421" t="s">
        <v>7583</v>
      </c>
      <c r="E337" s="421" t="s">
        <v>76</v>
      </c>
      <c r="F337" s="421" t="s">
        <v>76</v>
      </c>
      <c r="G337" s="421" t="s">
        <v>76</v>
      </c>
      <c r="H337" s="421" t="s">
        <v>7044</v>
      </c>
      <c r="I337" s="421" t="s">
        <v>76</v>
      </c>
      <c r="J337" s="421" t="s">
        <v>76</v>
      </c>
      <c r="K337" s="421" t="s">
        <v>76</v>
      </c>
      <c r="L337" s="421" t="s">
        <v>76</v>
      </c>
      <c r="M337" s="421" t="s">
        <v>76</v>
      </c>
      <c r="N337" s="421" t="s">
        <v>76</v>
      </c>
      <c r="O337" s="421" t="s">
        <v>76</v>
      </c>
      <c r="P337" s="421" t="s">
        <v>7043</v>
      </c>
      <c r="Q337" s="421" t="s">
        <v>76</v>
      </c>
      <c r="R337" s="422" t="s">
        <v>76</v>
      </c>
    </row>
    <row r="338" spans="1:18">
      <c r="A338" s="420" t="s">
        <v>7572</v>
      </c>
      <c r="B338" s="421" t="s">
        <v>7573</v>
      </c>
      <c r="C338" s="421" t="s">
        <v>7574</v>
      </c>
      <c r="D338" s="421" t="s">
        <v>7584</v>
      </c>
      <c r="E338" s="421" t="s">
        <v>76</v>
      </c>
      <c r="F338" s="421" t="s">
        <v>76</v>
      </c>
      <c r="G338" s="421" t="s">
        <v>76</v>
      </c>
      <c r="H338" s="421" t="s">
        <v>7044</v>
      </c>
      <c r="I338" s="421" t="s">
        <v>76</v>
      </c>
      <c r="J338" s="421" t="s">
        <v>76</v>
      </c>
      <c r="K338" s="421" t="s">
        <v>76</v>
      </c>
      <c r="L338" s="421" t="s">
        <v>76</v>
      </c>
      <c r="M338" s="421" t="s">
        <v>76</v>
      </c>
      <c r="N338" s="421" t="s">
        <v>76</v>
      </c>
      <c r="O338" s="421" t="s">
        <v>76</v>
      </c>
      <c r="P338" s="421" t="s">
        <v>7043</v>
      </c>
      <c r="Q338" s="421" t="s">
        <v>76</v>
      </c>
      <c r="R338" s="422" t="s">
        <v>76</v>
      </c>
    </row>
    <row r="339" spans="1:18">
      <c r="A339" s="420" t="s">
        <v>7572</v>
      </c>
      <c r="B339" s="421" t="s">
        <v>7573</v>
      </c>
      <c r="C339" s="421" t="s">
        <v>7574</v>
      </c>
      <c r="D339" s="421" t="s">
        <v>7585</v>
      </c>
      <c r="E339" s="421" t="s">
        <v>76</v>
      </c>
      <c r="F339" s="421" t="s">
        <v>76</v>
      </c>
      <c r="G339" s="421" t="s">
        <v>76</v>
      </c>
      <c r="H339" s="421" t="s">
        <v>7044</v>
      </c>
      <c r="I339" s="421" t="s">
        <v>76</v>
      </c>
      <c r="J339" s="421" t="s">
        <v>76</v>
      </c>
      <c r="K339" s="421" t="s">
        <v>76</v>
      </c>
      <c r="L339" s="421" t="s">
        <v>76</v>
      </c>
      <c r="M339" s="421" t="s">
        <v>76</v>
      </c>
      <c r="N339" s="421" t="s">
        <v>76</v>
      </c>
      <c r="O339" s="421" t="s">
        <v>76</v>
      </c>
      <c r="P339" s="421" t="s">
        <v>7043</v>
      </c>
      <c r="Q339" s="421" t="s">
        <v>76</v>
      </c>
      <c r="R339" s="422" t="s">
        <v>76</v>
      </c>
    </row>
    <row r="340" spans="1:18">
      <c r="A340" s="420" t="s">
        <v>7572</v>
      </c>
      <c r="B340" s="421" t="s">
        <v>7573</v>
      </c>
      <c r="C340" s="421" t="s">
        <v>7574</v>
      </c>
      <c r="D340" s="421" t="s">
        <v>7586</v>
      </c>
      <c r="E340" s="421" t="s">
        <v>76</v>
      </c>
      <c r="F340" s="421" t="s">
        <v>76</v>
      </c>
      <c r="G340" s="421" t="s">
        <v>76</v>
      </c>
      <c r="H340" s="421" t="s">
        <v>7044</v>
      </c>
      <c r="I340" s="421" t="s">
        <v>76</v>
      </c>
      <c r="J340" s="421" t="s">
        <v>76</v>
      </c>
      <c r="K340" s="421" t="s">
        <v>76</v>
      </c>
      <c r="L340" s="421" t="s">
        <v>76</v>
      </c>
      <c r="M340" s="421" t="s">
        <v>76</v>
      </c>
      <c r="N340" s="421" t="s">
        <v>76</v>
      </c>
      <c r="O340" s="421" t="s">
        <v>76</v>
      </c>
      <c r="P340" s="421" t="s">
        <v>7043</v>
      </c>
      <c r="Q340" s="421" t="s">
        <v>76</v>
      </c>
      <c r="R340" s="422" t="s">
        <v>76</v>
      </c>
    </row>
    <row r="341" spans="1:18">
      <c r="A341" s="420" t="s">
        <v>7572</v>
      </c>
      <c r="B341" s="421" t="s">
        <v>7573</v>
      </c>
      <c r="C341" s="421" t="s">
        <v>7574</v>
      </c>
      <c r="D341" s="421" t="s">
        <v>7587</v>
      </c>
      <c r="E341" s="421" t="s">
        <v>76</v>
      </c>
      <c r="F341" s="421" t="s">
        <v>76</v>
      </c>
      <c r="G341" s="421" t="s">
        <v>76</v>
      </c>
      <c r="H341" s="421" t="s">
        <v>7044</v>
      </c>
      <c r="I341" s="421" t="s">
        <v>76</v>
      </c>
      <c r="J341" s="421" t="s">
        <v>76</v>
      </c>
      <c r="K341" s="421" t="s">
        <v>76</v>
      </c>
      <c r="L341" s="421" t="s">
        <v>76</v>
      </c>
      <c r="M341" s="421" t="s">
        <v>76</v>
      </c>
      <c r="N341" s="421" t="s">
        <v>76</v>
      </c>
      <c r="O341" s="421" t="s">
        <v>76</v>
      </c>
      <c r="P341" s="421" t="s">
        <v>7043</v>
      </c>
      <c r="Q341" s="421" t="s">
        <v>76</v>
      </c>
      <c r="R341" s="422" t="s">
        <v>76</v>
      </c>
    </row>
    <row r="342" spans="1:18">
      <c r="A342" s="420" t="s">
        <v>7572</v>
      </c>
      <c r="B342" s="421" t="s">
        <v>7573</v>
      </c>
      <c r="C342" s="421" t="s">
        <v>7574</v>
      </c>
      <c r="D342" s="421" t="s">
        <v>7588</v>
      </c>
      <c r="E342" s="421" t="s">
        <v>76</v>
      </c>
      <c r="F342" s="421" t="s">
        <v>76</v>
      </c>
      <c r="G342" s="421" t="s">
        <v>76</v>
      </c>
      <c r="H342" s="421" t="s">
        <v>7044</v>
      </c>
      <c r="I342" s="421" t="s">
        <v>76</v>
      </c>
      <c r="J342" s="421" t="s">
        <v>76</v>
      </c>
      <c r="K342" s="421" t="s">
        <v>76</v>
      </c>
      <c r="L342" s="421" t="s">
        <v>76</v>
      </c>
      <c r="M342" s="421" t="s">
        <v>76</v>
      </c>
      <c r="N342" s="421" t="s">
        <v>76</v>
      </c>
      <c r="O342" s="421" t="s">
        <v>76</v>
      </c>
      <c r="P342" s="421" t="s">
        <v>7043</v>
      </c>
      <c r="Q342" s="421" t="s">
        <v>76</v>
      </c>
      <c r="R342" s="422" t="s">
        <v>76</v>
      </c>
    </row>
    <row r="343" spans="1:18">
      <c r="A343" s="420" t="s">
        <v>7572</v>
      </c>
      <c r="B343" s="421" t="s">
        <v>7573</v>
      </c>
      <c r="C343" s="421" t="s">
        <v>7574</v>
      </c>
      <c r="D343" s="421" t="s">
        <v>7589</v>
      </c>
      <c r="E343" s="421" t="s">
        <v>76</v>
      </c>
      <c r="F343" s="421" t="s">
        <v>76</v>
      </c>
      <c r="G343" s="421" t="s">
        <v>76</v>
      </c>
      <c r="H343" s="421" t="s">
        <v>7044</v>
      </c>
      <c r="I343" s="421" t="s">
        <v>76</v>
      </c>
      <c r="J343" s="421" t="s">
        <v>76</v>
      </c>
      <c r="K343" s="421" t="s">
        <v>76</v>
      </c>
      <c r="L343" s="421" t="s">
        <v>76</v>
      </c>
      <c r="M343" s="421" t="s">
        <v>76</v>
      </c>
      <c r="N343" s="421" t="s">
        <v>76</v>
      </c>
      <c r="O343" s="421" t="s">
        <v>76</v>
      </c>
      <c r="P343" s="421" t="s">
        <v>7043</v>
      </c>
      <c r="Q343" s="421" t="s">
        <v>76</v>
      </c>
      <c r="R343" s="422" t="s">
        <v>76</v>
      </c>
    </row>
    <row r="344" spans="1:18">
      <c r="A344" s="420" t="s">
        <v>7572</v>
      </c>
      <c r="B344" s="421" t="s">
        <v>7573</v>
      </c>
      <c r="C344" s="421" t="s">
        <v>7574</v>
      </c>
      <c r="D344" s="421" t="s">
        <v>7590</v>
      </c>
      <c r="E344" s="421" t="s">
        <v>76</v>
      </c>
      <c r="F344" s="421" t="s">
        <v>76</v>
      </c>
      <c r="G344" s="421" t="s">
        <v>76</v>
      </c>
      <c r="H344" s="421" t="s">
        <v>7044</v>
      </c>
      <c r="I344" s="421" t="s">
        <v>76</v>
      </c>
      <c r="J344" s="421" t="s">
        <v>76</v>
      </c>
      <c r="K344" s="421" t="s">
        <v>76</v>
      </c>
      <c r="L344" s="421" t="s">
        <v>76</v>
      </c>
      <c r="M344" s="421" t="s">
        <v>76</v>
      </c>
      <c r="N344" s="421" t="s">
        <v>76</v>
      </c>
      <c r="O344" s="421" t="s">
        <v>76</v>
      </c>
      <c r="P344" s="421" t="s">
        <v>7043</v>
      </c>
      <c r="Q344" s="421" t="s">
        <v>76</v>
      </c>
      <c r="R344" s="422" t="s">
        <v>76</v>
      </c>
    </row>
    <row r="345" spans="1:18">
      <c r="A345" s="420" t="s">
        <v>7572</v>
      </c>
      <c r="B345" s="421" t="s">
        <v>7573</v>
      </c>
      <c r="C345" s="421" t="s">
        <v>7574</v>
      </c>
      <c r="D345" s="421" t="s">
        <v>7591</v>
      </c>
      <c r="E345" s="421" t="s">
        <v>76</v>
      </c>
      <c r="F345" s="421" t="s">
        <v>76</v>
      </c>
      <c r="G345" s="421" t="s">
        <v>76</v>
      </c>
      <c r="H345" s="421" t="s">
        <v>7044</v>
      </c>
      <c r="I345" s="421" t="s">
        <v>76</v>
      </c>
      <c r="J345" s="421" t="s">
        <v>76</v>
      </c>
      <c r="K345" s="421" t="s">
        <v>76</v>
      </c>
      <c r="L345" s="421" t="s">
        <v>76</v>
      </c>
      <c r="M345" s="421" t="s">
        <v>76</v>
      </c>
      <c r="N345" s="421" t="s">
        <v>76</v>
      </c>
      <c r="O345" s="421" t="s">
        <v>76</v>
      </c>
      <c r="P345" s="421" t="s">
        <v>7043</v>
      </c>
      <c r="Q345" s="421" t="s">
        <v>76</v>
      </c>
      <c r="R345" s="422" t="s">
        <v>76</v>
      </c>
    </row>
    <row r="346" spans="1:18">
      <c r="A346" s="420" t="s">
        <v>7572</v>
      </c>
      <c r="B346" s="421" t="s">
        <v>7573</v>
      </c>
      <c r="C346" s="421" t="s">
        <v>7574</v>
      </c>
      <c r="D346" s="421" t="s">
        <v>7592</v>
      </c>
      <c r="E346" s="421" t="s">
        <v>76</v>
      </c>
      <c r="F346" s="421" t="s">
        <v>76</v>
      </c>
      <c r="G346" s="421" t="s">
        <v>76</v>
      </c>
      <c r="H346" s="421" t="s">
        <v>7044</v>
      </c>
      <c r="I346" s="421" t="s">
        <v>76</v>
      </c>
      <c r="J346" s="421" t="s">
        <v>76</v>
      </c>
      <c r="K346" s="421" t="s">
        <v>76</v>
      </c>
      <c r="L346" s="421" t="s">
        <v>76</v>
      </c>
      <c r="M346" s="421" t="s">
        <v>76</v>
      </c>
      <c r="N346" s="421" t="s">
        <v>76</v>
      </c>
      <c r="O346" s="421" t="s">
        <v>76</v>
      </c>
      <c r="P346" s="421" t="s">
        <v>7043</v>
      </c>
      <c r="Q346" s="421" t="s">
        <v>76</v>
      </c>
      <c r="R346" s="422" t="s">
        <v>76</v>
      </c>
    </row>
    <row r="347" spans="1:18">
      <c r="A347" s="420" t="s">
        <v>7572</v>
      </c>
      <c r="B347" s="421" t="s">
        <v>7573</v>
      </c>
      <c r="C347" s="421" t="s">
        <v>7574</v>
      </c>
      <c r="D347" s="421" t="s">
        <v>7593</v>
      </c>
      <c r="E347" s="421" t="s">
        <v>76</v>
      </c>
      <c r="F347" s="421" t="s">
        <v>76</v>
      </c>
      <c r="G347" s="421" t="s">
        <v>76</v>
      </c>
      <c r="H347" s="421" t="s">
        <v>7044</v>
      </c>
      <c r="I347" s="421" t="s">
        <v>76</v>
      </c>
      <c r="J347" s="421" t="s">
        <v>76</v>
      </c>
      <c r="K347" s="421" t="s">
        <v>76</v>
      </c>
      <c r="L347" s="421" t="s">
        <v>76</v>
      </c>
      <c r="M347" s="421" t="s">
        <v>76</v>
      </c>
      <c r="N347" s="421" t="s">
        <v>76</v>
      </c>
      <c r="O347" s="421" t="s">
        <v>76</v>
      </c>
      <c r="P347" s="421" t="s">
        <v>7043</v>
      </c>
      <c r="Q347" s="421" t="s">
        <v>76</v>
      </c>
      <c r="R347" s="422" t="s">
        <v>76</v>
      </c>
    </row>
    <row r="348" spans="1:18">
      <c r="A348" s="420" t="s">
        <v>7572</v>
      </c>
      <c r="B348" s="421" t="s">
        <v>7573</v>
      </c>
      <c r="C348" s="421" t="s">
        <v>7574</v>
      </c>
      <c r="D348" s="421" t="s">
        <v>7594</v>
      </c>
      <c r="E348" s="421" t="s">
        <v>76</v>
      </c>
      <c r="F348" s="421" t="s">
        <v>76</v>
      </c>
      <c r="G348" s="421" t="s">
        <v>76</v>
      </c>
      <c r="H348" s="421" t="s">
        <v>7044</v>
      </c>
      <c r="I348" s="421" t="s">
        <v>76</v>
      </c>
      <c r="J348" s="421" t="s">
        <v>76</v>
      </c>
      <c r="K348" s="421" t="s">
        <v>76</v>
      </c>
      <c r="L348" s="421" t="s">
        <v>76</v>
      </c>
      <c r="M348" s="421" t="s">
        <v>76</v>
      </c>
      <c r="N348" s="421" t="s">
        <v>76</v>
      </c>
      <c r="O348" s="421" t="s">
        <v>76</v>
      </c>
      <c r="P348" s="421" t="s">
        <v>7043</v>
      </c>
      <c r="Q348" s="421" t="s">
        <v>76</v>
      </c>
      <c r="R348" s="422" t="s">
        <v>76</v>
      </c>
    </row>
    <row r="349" spans="1:18">
      <c r="A349" s="420" t="s">
        <v>7572</v>
      </c>
      <c r="B349" s="421" t="s">
        <v>7573</v>
      </c>
      <c r="C349" s="421" t="s">
        <v>7574</v>
      </c>
      <c r="D349" s="421" t="s">
        <v>7595</v>
      </c>
      <c r="E349" s="421" t="s">
        <v>76</v>
      </c>
      <c r="F349" s="421" t="s">
        <v>76</v>
      </c>
      <c r="G349" s="421" t="s">
        <v>76</v>
      </c>
      <c r="H349" s="421" t="s">
        <v>7044</v>
      </c>
      <c r="I349" s="421" t="s">
        <v>76</v>
      </c>
      <c r="J349" s="421" t="s">
        <v>76</v>
      </c>
      <c r="K349" s="421" t="s">
        <v>76</v>
      </c>
      <c r="L349" s="421" t="s">
        <v>76</v>
      </c>
      <c r="M349" s="421" t="s">
        <v>76</v>
      </c>
      <c r="N349" s="421" t="s">
        <v>76</v>
      </c>
      <c r="O349" s="421" t="s">
        <v>76</v>
      </c>
      <c r="P349" s="421" t="s">
        <v>7043</v>
      </c>
      <c r="Q349" s="421" t="s">
        <v>76</v>
      </c>
      <c r="R349" s="422" t="s">
        <v>76</v>
      </c>
    </row>
    <row r="350" spans="1:18">
      <c r="A350" s="420" t="s">
        <v>7572</v>
      </c>
      <c r="B350" s="421" t="s">
        <v>7573</v>
      </c>
      <c r="C350" s="421" t="s">
        <v>7574</v>
      </c>
      <c r="D350" s="421" t="s">
        <v>7596</v>
      </c>
      <c r="E350" s="421" t="s">
        <v>76</v>
      </c>
      <c r="F350" s="421" t="s">
        <v>76</v>
      </c>
      <c r="G350" s="421" t="s">
        <v>76</v>
      </c>
      <c r="H350" s="421" t="s">
        <v>7044</v>
      </c>
      <c r="I350" s="421" t="s">
        <v>76</v>
      </c>
      <c r="J350" s="421" t="s">
        <v>76</v>
      </c>
      <c r="K350" s="421" t="s">
        <v>76</v>
      </c>
      <c r="L350" s="421" t="s">
        <v>76</v>
      </c>
      <c r="M350" s="421" t="s">
        <v>76</v>
      </c>
      <c r="N350" s="421" t="s">
        <v>76</v>
      </c>
      <c r="O350" s="421" t="s">
        <v>76</v>
      </c>
      <c r="P350" s="421" t="s">
        <v>7043</v>
      </c>
      <c r="Q350" s="421" t="s">
        <v>76</v>
      </c>
      <c r="R350" s="422" t="s">
        <v>76</v>
      </c>
    </row>
    <row r="351" spans="1:18">
      <c r="A351" s="420" t="s">
        <v>7572</v>
      </c>
      <c r="B351" s="421" t="s">
        <v>7573</v>
      </c>
      <c r="C351" s="421" t="s">
        <v>7574</v>
      </c>
      <c r="D351" s="421" t="s">
        <v>7597</v>
      </c>
      <c r="E351" s="421" t="s">
        <v>76</v>
      </c>
      <c r="F351" s="421" t="s">
        <v>76</v>
      </c>
      <c r="G351" s="421" t="s">
        <v>76</v>
      </c>
      <c r="H351" s="421" t="s">
        <v>7044</v>
      </c>
      <c r="I351" s="421" t="s">
        <v>76</v>
      </c>
      <c r="J351" s="421" t="s">
        <v>76</v>
      </c>
      <c r="K351" s="421" t="s">
        <v>76</v>
      </c>
      <c r="L351" s="421" t="s">
        <v>76</v>
      </c>
      <c r="M351" s="421" t="s">
        <v>76</v>
      </c>
      <c r="N351" s="421" t="s">
        <v>76</v>
      </c>
      <c r="O351" s="421" t="s">
        <v>76</v>
      </c>
      <c r="P351" s="421" t="s">
        <v>7043</v>
      </c>
      <c r="Q351" s="421" t="s">
        <v>76</v>
      </c>
      <c r="R351" s="422" t="s">
        <v>76</v>
      </c>
    </row>
    <row r="352" spans="1:18">
      <c r="A352" s="420" t="s">
        <v>7572</v>
      </c>
      <c r="B352" s="421" t="s">
        <v>7573</v>
      </c>
      <c r="C352" s="421" t="s">
        <v>7574</v>
      </c>
      <c r="D352" s="421" t="s">
        <v>7598</v>
      </c>
      <c r="E352" s="421" t="s">
        <v>76</v>
      </c>
      <c r="F352" s="421" t="s">
        <v>76</v>
      </c>
      <c r="G352" s="421" t="s">
        <v>76</v>
      </c>
      <c r="H352" s="421" t="s">
        <v>7044</v>
      </c>
      <c r="I352" s="421" t="s">
        <v>76</v>
      </c>
      <c r="J352" s="421" t="s">
        <v>76</v>
      </c>
      <c r="K352" s="421" t="s">
        <v>76</v>
      </c>
      <c r="L352" s="421" t="s">
        <v>76</v>
      </c>
      <c r="M352" s="421" t="s">
        <v>76</v>
      </c>
      <c r="N352" s="421" t="s">
        <v>76</v>
      </c>
      <c r="O352" s="421" t="s">
        <v>76</v>
      </c>
      <c r="P352" s="421" t="s">
        <v>7043</v>
      </c>
      <c r="Q352" s="421" t="s">
        <v>76</v>
      </c>
      <c r="R352" s="422" t="s">
        <v>76</v>
      </c>
    </row>
    <row r="353" spans="1:18">
      <c r="A353" s="420" t="s">
        <v>7572</v>
      </c>
      <c r="B353" s="421" t="s">
        <v>7573</v>
      </c>
      <c r="C353" s="421" t="s">
        <v>7574</v>
      </c>
      <c r="D353" s="421" t="s">
        <v>7599</v>
      </c>
      <c r="E353" s="421" t="s">
        <v>76</v>
      </c>
      <c r="F353" s="421" t="s">
        <v>76</v>
      </c>
      <c r="G353" s="421" t="s">
        <v>76</v>
      </c>
      <c r="H353" s="421" t="s">
        <v>7044</v>
      </c>
      <c r="I353" s="421" t="s">
        <v>76</v>
      </c>
      <c r="J353" s="421" t="s">
        <v>76</v>
      </c>
      <c r="K353" s="421" t="s">
        <v>76</v>
      </c>
      <c r="L353" s="421" t="s">
        <v>76</v>
      </c>
      <c r="M353" s="421" t="s">
        <v>76</v>
      </c>
      <c r="N353" s="421" t="s">
        <v>76</v>
      </c>
      <c r="O353" s="421" t="s">
        <v>76</v>
      </c>
      <c r="P353" s="421" t="s">
        <v>7043</v>
      </c>
      <c r="Q353" s="421" t="s">
        <v>76</v>
      </c>
      <c r="R353" s="422" t="s">
        <v>76</v>
      </c>
    </row>
    <row r="354" spans="1:18">
      <c r="A354" s="420" t="s">
        <v>7572</v>
      </c>
      <c r="B354" s="421" t="s">
        <v>7573</v>
      </c>
      <c r="C354" s="421" t="s">
        <v>7574</v>
      </c>
      <c r="D354" s="421" t="s">
        <v>7600</v>
      </c>
      <c r="E354" s="421" t="s">
        <v>76</v>
      </c>
      <c r="F354" s="421" t="s">
        <v>76</v>
      </c>
      <c r="G354" s="421" t="s">
        <v>76</v>
      </c>
      <c r="H354" s="421" t="s">
        <v>7044</v>
      </c>
      <c r="I354" s="421" t="s">
        <v>76</v>
      </c>
      <c r="J354" s="421" t="s">
        <v>76</v>
      </c>
      <c r="K354" s="421" t="s">
        <v>76</v>
      </c>
      <c r="L354" s="421" t="s">
        <v>76</v>
      </c>
      <c r="M354" s="421" t="s">
        <v>76</v>
      </c>
      <c r="N354" s="421" t="s">
        <v>76</v>
      </c>
      <c r="O354" s="421" t="s">
        <v>76</v>
      </c>
      <c r="P354" s="421" t="s">
        <v>7043</v>
      </c>
      <c r="Q354" s="421" t="s">
        <v>76</v>
      </c>
      <c r="R354" s="422" t="s">
        <v>76</v>
      </c>
    </row>
    <row r="355" spans="1:18">
      <c r="A355" s="420" t="s">
        <v>7572</v>
      </c>
      <c r="B355" s="421" t="s">
        <v>7573</v>
      </c>
      <c r="C355" s="421" t="s">
        <v>7574</v>
      </c>
      <c r="D355" s="421" t="s">
        <v>7601</v>
      </c>
      <c r="E355" s="421" t="s">
        <v>76</v>
      </c>
      <c r="F355" s="421" t="s">
        <v>76</v>
      </c>
      <c r="G355" s="421" t="s">
        <v>76</v>
      </c>
      <c r="H355" s="421" t="s">
        <v>7044</v>
      </c>
      <c r="I355" s="421" t="s">
        <v>76</v>
      </c>
      <c r="J355" s="421" t="s">
        <v>76</v>
      </c>
      <c r="K355" s="421" t="s">
        <v>76</v>
      </c>
      <c r="L355" s="421" t="s">
        <v>76</v>
      </c>
      <c r="M355" s="421" t="s">
        <v>76</v>
      </c>
      <c r="N355" s="421" t="s">
        <v>76</v>
      </c>
      <c r="O355" s="421" t="s">
        <v>76</v>
      </c>
      <c r="P355" s="421" t="s">
        <v>7043</v>
      </c>
      <c r="Q355" s="421" t="s">
        <v>76</v>
      </c>
      <c r="R355" s="422" t="s">
        <v>76</v>
      </c>
    </row>
    <row r="356" spans="1:18">
      <c r="A356" s="420" t="s">
        <v>7572</v>
      </c>
      <c r="B356" s="421" t="s">
        <v>7573</v>
      </c>
      <c r="C356" s="421" t="s">
        <v>7574</v>
      </c>
      <c r="D356" s="421" t="s">
        <v>7602</v>
      </c>
      <c r="E356" s="421" t="s">
        <v>76</v>
      </c>
      <c r="F356" s="421" t="s">
        <v>76</v>
      </c>
      <c r="G356" s="421" t="s">
        <v>76</v>
      </c>
      <c r="H356" s="421" t="s">
        <v>7044</v>
      </c>
      <c r="I356" s="421" t="s">
        <v>76</v>
      </c>
      <c r="J356" s="421" t="s">
        <v>76</v>
      </c>
      <c r="K356" s="421" t="s">
        <v>76</v>
      </c>
      <c r="L356" s="421" t="s">
        <v>76</v>
      </c>
      <c r="M356" s="421" t="s">
        <v>76</v>
      </c>
      <c r="N356" s="421" t="s">
        <v>76</v>
      </c>
      <c r="O356" s="421" t="s">
        <v>76</v>
      </c>
      <c r="P356" s="421" t="s">
        <v>7043</v>
      </c>
      <c r="Q356" s="421" t="s">
        <v>76</v>
      </c>
      <c r="R356" s="422" t="s">
        <v>76</v>
      </c>
    </row>
    <row r="357" spans="1:18">
      <c r="A357" s="420" t="s">
        <v>7572</v>
      </c>
      <c r="B357" s="421" t="s">
        <v>7573</v>
      </c>
      <c r="C357" s="421" t="s">
        <v>7574</v>
      </c>
      <c r="D357" s="421" t="s">
        <v>7603</v>
      </c>
      <c r="E357" s="421" t="s">
        <v>76</v>
      </c>
      <c r="F357" s="421" t="s">
        <v>76</v>
      </c>
      <c r="G357" s="421" t="s">
        <v>76</v>
      </c>
      <c r="H357" s="421" t="s">
        <v>7044</v>
      </c>
      <c r="I357" s="421" t="s">
        <v>76</v>
      </c>
      <c r="J357" s="421" t="s">
        <v>76</v>
      </c>
      <c r="K357" s="421" t="s">
        <v>76</v>
      </c>
      <c r="L357" s="421" t="s">
        <v>76</v>
      </c>
      <c r="M357" s="421" t="s">
        <v>76</v>
      </c>
      <c r="N357" s="421" t="s">
        <v>76</v>
      </c>
      <c r="O357" s="421" t="s">
        <v>76</v>
      </c>
      <c r="P357" s="421" t="s">
        <v>7043</v>
      </c>
      <c r="Q357" s="421" t="s">
        <v>76</v>
      </c>
      <c r="R357" s="422" t="s">
        <v>76</v>
      </c>
    </row>
    <row r="358" spans="1:18">
      <c r="A358" s="420" t="s">
        <v>7572</v>
      </c>
      <c r="B358" s="421" t="s">
        <v>7573</v>
      </c>
      <c r="C358" s="421" t="s">
        <v>7574</v>
      </c>
      <c r="D358" s="421" t="s">
        <v>7604</v>
      </c>
      <c r="E358" s="421" t="s">
        <v>76</v>
      </c>
      <c r="F358" s="421" t="s">
        <v>76</v>
      </c>
      <c r="G358" s="421" t="s">
        <v>76</v>
      </c>
      <c r="H358" s="421" t="s">
        <v>7044</v>
      </c>
      <c r="I358" s="421" t="s">
        <v>76</v>
      </c>
      <c r="J358" s="421" t="s">
        <v>76</v>
      </c>
      <c r="K358" s="421" t="s">
        <v>76</v>
      </c>
      <c r="L358" s="421" t="s">
        <v>76</v>
      </c>
      <c r="M358" s="421" t="s">
        <v>76</v>
      </c>
      <c r="N358" s="421" t="s">
        <v>76</v>
      </c>
      <c r="O358" s="421" t="s">
        <v>76</v>
      </c>
      <c r="P358" s="421" t="s">
        <v>7043</v>
      </c>
      <c r="Q358" s="421" t="s">
        <v>76</v>
      </c>
      <c r="R358" s="422" t="s">
        <v>76</v>
      </c>
    </row>
    <row r="359" spans="1:18">
      <c r="A359" s="420" t="s">
        <v>7572</v>
      </c>
      <c r="B359" s="421" t="s">
        <v>7573</v>
      </c>
      <c r="C359" s="421" t="s">
        <v>7574</v>
      </c>
      <c r="D359" s="421" t="s">
        <v>7605</v>
      </c>
      <c r="E359" s="421" t="s">
        <v>76</v>
      </c>
      <c r="F359" s="421" t="s">
        <v>76</v>
      </c>
      <c r="G359" s="421" t="s">
        <v>76</v>
      </c>
      <c r="H359" s="421" t="s">
        <v>7044</v>
      </c>
      <c r="I359" s="421" t="s">
        <v>76</v>
      </c>
      <c r="J359" s="421" t="s">
        <v>76</v>
      </c>
      <c r="K359" s="421" t="s">
        <v>76</v>
      </c>
      <c r="L359" s="421" t="s">
        <v>76</v>
      </c>
      <c r="M359" s="421" t="s">
        <v>76</v>
      </c>
      <c r="N359" s="421" t="s">
        <v>76</v>
      </c>
      <c r="O359" s="421" t="s">
        <v>76</v>
      </c>
      <c r="P359" s="421" t="s">
        <v>7043</v>
      </c>
      <c r="Q359" s="421" t="s">
        <v>76</v>
      </c>
      <c r="R359" s="422" t="s">
        <v>76</v>
      </c>
    </row>
    <row r="360" spans="1:18">
      <c r="A360" s="420" t="s">
        <v>7572</v>
      </c>
      <c r="B360" s="421" t="s">
        <v>7573</v>
      </c>
      <c r="C360" s="421" t="s">
        <v>7574</v>
      </c>
      <c r="D360" s="421" t="s">
        <v>7606</v>
      </c>
      <c r="E360" s="421" t="s">
        <v>76</v>
      </c>
      <c r="F360" s="421" t="s">
        <v>76</v>
      </c>
      <c r="G360" s="421" t="s">
        <v>76</v>
      </c>
      <c r="H360" s="421" t="s">
        <v>7044</v>
      </c>
      <c r="I360" s="421" t="s">
        <v>76</v>
      </c>
      <c r="J360" s="421" t="s">
        <v>76</v>
      </c>
      <c r="K360" s="421" t="s">
        <v>76</v>
      </c>
      <c r="L360" s="421" t="s">
        <v>76</v>
      </c>
      <c r="M360" s="421" t="s">
        <v>76</v>
      </c>
      <c r="N360" s="421" t="s">
        <v>76</v>
      </c>
      <c r="O360" s="421" t="s">
        <v>76</v>
      </c>
      <c r="P360" s="421" t="s">
        <v>7043</v>
      </c>
      <c r="Q360" s="421" t="s">
        <v>76</v>
      </c>
      <c r="R360" s="422" t="s">
        <v>76</v>
      </c>
    </row>
    <row r="361" spans="1:18">
      <c r="A361" s="420" t="s">
        <v>7607</v>
      </c>
      <c r="B361" s="421" t="s">
        <v>7608</v>
      </c>
      <c r="C361" s="421" t="s">
        <v>7609</v>
      </c>
      <c r="D361" s="421" t="s">
        <v>7610</v>
      </c>
      <c r="E361" s="421" t="s">
        <v>76</v>
      </c>
      <c r="F361" s="421" t="s">
        <v>76</v>
      </c>
      <c r="G361" s="421" t="s">
        <v>76</v>
      </c>
      <c r="H361" s="421" t="s">
        <v>7044</v>
      </c>
      <c r="I361" s="421" t="s">
        <v>76</v>
      </c>
      <c r="J361" s="421" t="s">
        <v>76</v>
      </c>
      <c r="K361" s="421" t="s">
        <v>76</v>
      </c>
      <c r="L361" s="421" t="s">
        <v>76</v>
      </c>
      <c r="M361" s="421" t="s">
        <v>76</v>
      </c>
      <c r="N361" s="421" t="s">
        <v>76</v>
      </c>
      <c r="O361" s="421" t="s">
        <v>76</v>
      </c>
      <c r="P361" s="421" t="s">
        <v>7043</v>
      </c>
      <c r="Q361" s="421" t="s">
        <v>76</v>
      </c>
      <c r="R361" s="422" t="s">
        <v>76</v>
      </c>
    </row>
    <row r="362" spans="1:18">
      <c r="A362" s="420" t="s">
        <v>7607</v>
      </c>
      <c r="B362" s="421" t="s">
        <v>7608</v>
      </c>
      <c r="C362" s="421" t="s">
        <v>7609</v>
      </c>
      <c r="D362" s="421" t="s">
        <v>7611</v>
      </c>
      <c r="E362" s="421" t="s">
        <v>76</v>
      </c>
      <c r="F362" s="421" t="s">
        <v>76</v>
      </c>
      <c r="G362" s="421" t="s">
        <v>76</v>
      </c>
      <c r="H362" s="421" t="s">
        <v>7044</v>
      </c>
      <c r="I362" s="421" t="s">
        <v>76</v>
      </c>
      <c r="J362" s="421" t="s">
        <v>76</v>
      </c>
      <c r="K362" s="421" t="s">
        <v>76</v>
      </c>
      <c r="L362" s="421" t="s">
        <v>76</v>
      </c>
      <c r="M362" s="421" t="s">
        <v>76</v>
      </c>
      <c r="N362" s="421" t="s">
        <v>76</v>
      </c>
      <c r="O362" s="421" t="s">
        <v>76</v>
      </c>
      <c r="P362" s="421" t="s">
        <v>7043</v>
      </c>
      <c r="Q362" s="421" t="s">
        <v>76</v>
      </c>
      <c r="R362" s="422" t="s">
        <v>76</v>
      </c>
    </row>
    <row r="363" spans="1:18">
      <c r="A363" s="420" t="s">
        <v>7607</v>
      </c>
      <c r="B363" s="421" t="s">
        <v>7608</v>
      </c>
      <c r="C363" s="421" t="s">
        <v>7609</v>
      </c>
      <c r="D363" s="421" t="s">
        <v>7612</v>
      </c>
      <c r="E363" s="421" t="s">
        <v>76</v>
      </c>
      <c r="F363" s="421" t="s">
        <v>76</v>
      </c>
      <c r="G363" s="421" t="s">
        <v>76</v>
      </c>
      <c r="H363" s="421" t="s">
        <v>7044</v>
      </c>
      <c r="I363" s="421" t="s">
        <v>76</v>
      </c>
      <c r="J363" s="421" t="s">
        <v>76</v>
      </c>
      <c r="K363" s="421" t="s">
        <v>76</v>
      </c>
      <c r="L363" s="421" t="s">
        <v>76</v>
      </c>
      <c r="M363" s="421" t="s">
        <v>76</v>
      </c>
      <c r="N363" s="421" t="s">
        <v>76</v>
      </c>
      <c r="O363" s="421" t="s">
        <v>76</v>
      </c>
      <c r="P363" s="421" t="s">
        <v>7043</v>
      </c>
      <c r="Q363" s="421" t="s">
        <v>76</v>
      </c>
      <c r="R363" s="422" t="s">
        <v>76</v>
      </c>
    </row>
    <row r="364" spans="1:18">
      <c r="A364" s="420" t="s">
        <v>7607</v>
      </c>
      <c r="B364" s="421" t="s">
        <v>7608</v>
      </c>
      <c r="C364" s="421" t="s">
        <v>7609</v>
      </c>
      <c r="D364" s="421" t="s">
        <v>7613</v>
      </c>
      <c r="E364" s="421" t="s">
        <v>76</v>
      </c>
      <c r="F364" s="421" t="s">
        <v>76</v>
      </c>
      <c r="G364" s="421" t="s">
        <v>76</v>
      </c>
      <c r="H364" s="421" t="s">
        <v>7044</v>
      </c>
      <c r="I364" s="421" t="s">
        <v>76</v>
      </c>
      <c r="J364" s="421" t="s">
        <v>76</v>
      </c>
      <c r="K364" s="421" t="s">
        <v>76</v>
      </c>
      <c r="L364" s="421" t="s">
        <v>76</v>
      </c>
      <c r="M364" s="421" t="s">
        <v>76</v>
      </c>
      <c r="N364" s="421" t="s">
        <v>76</v>
      </c>
      <c r="O364" s="421" t="s">
        <v>76</v>
      </c>
      <c r="P364" s="421" t="s">
        <v>7043</v>
      </c>
      <c r="Q364" s="421" t="s">
        <v>76</v>
      </c>
      <c r="R364" s="422" t="s">
        <v>76</v>
      </c>
    </row>
    <row r="365" spans="1:18">
      <c r="A365" s="420" t="s">
        <v>7607</v>
      </c>
      <c r="B365" s="421" t="s">
        <v>7608</v>
      </c>
      <c r="C365" s="421" t="s">
        <v>7609</v>
      </c>
      <c r="D365" s="421" t="s">
        <v>7614</v>
      </c>
      <c r="E365" s="421" t="s">
        <v>76</v>
      </c>
      <c r="F365" s="421" t="s">
        <v>76</v>
      </c>
      <c r="G365" s="421" t="s">
        <v>76</v>
      </c>
      <c r="H365" s="421" t="s">
        <v>7044</v>
      </c>
      <c r="I365" s="421" t="s">
        <v>76</v>
      </c>
      <c r="J365" s="421" t="s">
        <v>76</v>
      </c>
      <c r="K365" s="421" t="s">
        <v>76</v>
      </c>
      <c r="L365" s="421" t="s">
        <v>76</v>
      </c>
      <c r="M365" s="421" t="s">
        <v>76</v>
      </c>
      <c r="N365" s="421" t="s">
        <v>76</v>
      </c>
      <c r="O365" s="421" t="s">
        <v>76</v>
      </c>
      <c r="P365" s="421" t="s">
        <v>7043</v>
      </c>
      <c r="Q365" s="421" t="s">
        <v>76</v>
      </c>
      <c r="R365" s="422" t="s">
        <v>76</v>
      </c>
    </row>
    <row r="366" spans="1:18">
      <c r="A366" s="420" t="s">
        <v>7607</v>
      </c>
      <c r="B366" s="421" t="s">
        <v>7608</v>
      </c>
      <c r="C366" s="421" t="s">
        <v>7609</v>
      </c>
      <c r="D366" s="421" t="s">
        <v>7615</v>
      </c>
      <c r="E366" s="421" t="s">
        <v>76</v>
      </c>
      <c r="F366" s="421" t="s">
        <v>76</v>
      </c>
      <c r="G366" s="421" t="s">
        <v>76</v>
      </c>
      <c r="H366" s="421" t="s">
        <v>7044</v>
      </c>
      <c r="I366" s="421" t="s">
        <v>76</v>
      </c>
      <c r="J366" s="421" t="s">
        <v>76</v>
      </c>
      <c r="K366" s="421" t="s">
        <v>76</v>
      </c>
      <c r="L366" s="421" t="s">
        <v>76</v>
      </c>
      <c r="M366" s="421" t="s">
        <v>76</v>
      </c>
      <c r="N366" s="421" t="s">
        <v>76</v>
      </c>
      <c r="O366" s="421" t="s">
        <v>76</v>
      </c>
      <c r="P366" s="421" t="s">
        <v>7043</v>
      </c>
      <c r="Q366" s="421" t="s">
        <v>76</v>
      </c>
      <c r="R366" s="422" t="s">
        <v>76</v>
      </c>
    </row>
    <row r="367" spans="1:18">
      <c r="A367" s="420" t="s">
        <v>7607</v>
      </c>
      <c r="B367" s="421" t="s">
        <v>7608</v>
      </c>
      <c r="C367" s="421" t="s">
        <v>7609</v>
      </c>
      <c r="D367" s="421" t="s">
        <v>7616</v>
      </c>
      <c r="E367" s="421" t="s">
        <v>76</v>
      </c>
      <c r="F367" s="421" t="s">
        <v>76</v>
      </c>
      <c r="G367" s="421" t="s">
        <v>76</v>
      </c>
      <c r="H367" s="421" t="s">
        <v>7044</v>
      </c>
      <c r="I367" s="421" t="s">
        <v>76</v>
      </c>
      <c r="J367" s="421" t="s">
        <v>76</v>
      </c>
      <c r="K367" s="421" t="s">
        <v>76</v>
      </c>
      <c r="L367" s="421" t="s">
        <v>76</v>
      </c>
      <c r="M367" s="421" t="s">
        <v>76</v>
      </c>
      <c r="N367" s="421" t="s">
        <v>76</v>
      </c>
      <c r="O367" s="421" t="s">
        <v>76</v>
      </c>
      <c r="P367" s="421" t="s">
        <v>7043</v>
      </c>
      <c r="Q367" s="421" t="s">
        <v>76</v>
      </c>
      <c r="R367" s="422" t="s">
        <v>76</v>
      </c>
    </row>
    <row r="368" spans="1:18">
      <c r="A368" s="420" t="s">
        <v>7607</v>
      </c>
      <c r="B368" s="421" t="s">
        <v>7608</v>
      </c>
      <c r="C368" s="421" t="s">
        <v>7609</v>
      </c>
      <c r="D368" s="421" t="s">
        <v>7617</v>
      </c>
      <c r="E368" s="421" t="s">
        <v>76</v>
      </c>
      <c r="F368" s="421" t="s">
        <v>76</v>
      </c>
      <c r="G368" s="421" t="s">
        <v>76</v>
      </c>
      <c r="H368" s="421" t="s">
        <v>7044</v>
      </c>
      <c r="I368" s="421" t="s">
        <v>76</v>
      </c>
      <c r="J368" s="421" t="s">
        <v>76</v>
      </c>
      <c r="K368" s="421" t="s">
        <v>76</v>
      </c>
      <c r="L368" s="421" t="s">
        <v>76</v>
      </c>
      <c r="M368" s="421" t="s">
        <v>76</v>
      </c>
      <c r="N368" s="421" t="s">
        <v>76</v>
      </c>
      <c r="O368" s="421" t="s">
        <v>76</v>
      </c>
      <c r="P368" s="421" t="s">
        <v>7043</v>
      </c>
      <c r="Q368" s="421" t="s">
        <v>76</v>
      </c>
      <c r="R368" s="422" t="s">
        <v>76</v>
      </c>
    </row>
    <row r="369" spans="1:18">
      <c r="A369" s="420" t="s">
        <v>7607</v>
      </c>
      <c r="B369" s="421" t="s">
        <v>7608</v>
      </c>
      <c r="C369" s="421" t="s">
        <v>7609</v>
      </c>
      <c r="D369" s="421" t="s">
        <v>7618</v>
      </c>
      <c r="E369" s="421" t="s">
        <v>76</v>
      </c>
      <c r="F369" s="421" t="s">
        <v>76</v>
      </c>
      <c r="G369" s="421" t="s">
        <v>76</v>
      </c>
      <c r="H369" s="421" t="s">
        <v>7044</v>
      </c>
      <c r="I369" s="421" t="s">
        <v>76</v>
      </c>
      <c r="J369" s="421" t="s">
        <v>76</v>
      </c>
      <c r="K369" s="421" t="s">
        <v>76</v>
      </c>
      <c r="L369" s="421" t="s">
        <v>76</v>
      </c>
      <c r="M369" s="421" t="s">
        <v>76</v>
      </c>
      <c r="N369" s="421" t="s">
        <v>76</v>
      </c>
      <c r="O369" s="421" t="s">
        <v>76</v>
      </c>
      <c r="P369" s="421" t="s">
        <v>7043</v>
      </c>
      <c r="Q369" s="421" t="s">
        <v>76</v>
      </c>
      <c r="R369" s="422" t="s">
        <v>76</v>
      </c>
    </row>
    <row r="370" spans="1:18">
      <c r="A370" s="420" t="s">
        <v>7607</v>
      </c>
      <c r="B370" s="421" t="s">
        <v>7608</v>
      </c>
      <c r="C370" s="421" t="s">
        <v>7609</v>
      </c>
      <c r="D370" s="421" t="s">
        <v>7619</v>
      </c>
      <c r="E370" s="421" t="s">
        <v>76</v>
      </c>
      <c r="F370" s="421" t="s">
        <v>76</v>
      </c>
      <c r="G370" s="421" t="s">
        <v>76</v>
      </c>
      <c r="H370" s="421" t="s">
        <v>7044</v>
      </c>
      <c r="I370" s="421" t="s">
        <v>76</v>
      </c>
      <c r="J370" s="421" t="s">
        <v>76</v>
      </c>
      <c r="K370" s="421" t="s">
        <v>76</v>
      </c>
      <c r="L370" s="421" t="s">
        <v>76</v>
      </c>
      <c r="M370" s="421" t="s">
        <v>76</v>
      </c>
      <c r="N370" s="421" t="s">
        <v>76</v>
      </c>
      <c r="O370" s="421" t="s">
        <v>76</v>
      </c>
      <c r="P370" s="421" t="s">
        <v>7043</v>
      </c>
      <c r="Q370" s="421" t="s">
        <v>76</v>
      </c>
      <c r="R370" s="422" t="s">
        <v>76</v>
      </c>
    </row>
    <row r="371" spans="1:18">
      <c r="A371" s="420" t="s">
        <v>7607</v>
      </c>
      <c r="B371" s="421" t="s">
        <v>7608</v>
      </c>
      <c r="C371" s="421" t="s">
        <v>7609</v>
      </c>
      <c r="D371" s="421" t="s">
        <v>7620</v>
      </c>
      <c r="E371" s="421" t="s">
        <v>76</v>
      </c>
      <c r="F371" s="421" t="s">
        <v>76</v>
      </c>
      <c r="G371" s="421" t="s">
        <v>76</v>
      </c>
      <c r="H371" s="421" t="s">
        <v>7044</v>
      </c>
      <c r="I371" s="421" t="s">
        <v>76</v>
      </c>
      <c r="J371" s="421" t="s">
        <v>76</v>
      </c>
      <c r="K371" s="421" t="s">
        <v>76</v>
      </c>
      <c r="L371" s="421" t="s">
        <v>76</v>
      </c>
      <c r="M371" s="421" t="s">
        <v>76</v>
      </c>
      <c r="N371" s="421" t="s">
        <v>76</v>
      </c>
      <c r="O371" s="421" t="s">
        <v>76</v>
      </c>
      <c r="P371" s="421" t="s">
        <v>7043</v>
      </c>
      <c r="Q371" s="421" t="s">
        <v>76</v>
      </c>
      <c r="R371" s="422" t="s">
        <v>76</v>
      </c>
    </row>
    <row r="372" spans="1:18">
      <c r="A372" s="420" t="s">
        <v>7607</v>
      </c>
      <c r="B372" s="421" t="s">
        <v>7608</v>
      </c>
      <c r="C372" s="421" t="s">
        <v>7609</v>
      </c>
      <c r="D372" s="421" t="s">
        <v>7621</v>
      </c>
      <c r="E372" s="421" t="s">
        <v>76</v>
      </c>
      <c r="F372" s="421" t="s">
        <v>76</v>
      </c>
      <c r="G372" s="421" t="s">
        <v>76</v>
      </c>
      <c r="H372" s="421" t="s">
        <v>7044</v>
      </c>
      <c r="I372" s="421" t="s">
        <v>76</v>
      </c>
      <c r="J372" s="421" t="s">
        <v>76</v>
      </c>
      <c r="K372" s="421" t="s">
        <v>76</v>
      </c>
      <c r="L372" s="421" t="s">
        <v>76</v>
      </c>
      <c r="M372" s="421" t="s">
        <v>76</v>
      </c>
      <c r="N372" s="421" t="s">
        <v>76</v>
      </c>
      <c r="O372" s="421" t="s">
        <v>76</v>
      </c>
      <c r="P372" s="421" t="s">
        <v>7043</v>
      </c>
      <c r="Q372" s="421" t="s">
        <v>76</v>
      </c>
      <c r="R372" s="422" t="s">
        <v>76</v>
      </c>
    </row>
    <row r="373" spans="1:18">
      <c r="A373" s="420" t="s">
        <v>7607</v>
      </c>
      <c r="B373" s="421" t="s">
        <v>7608</v>
      </c>
      <c r="C373" s="421" t="s">
        <v>7609</v>
      </c>
      <c r="D373" s="421" t="s">
        <v>7622</v>
      </c>
      <c r="E373" s="421" t="s">
        <v>76</v>
      </c>
      <c r="F373" s="421" t="s">
        <v>76</v>
      </c>
      <c r="G373" s="421" t="s">
        <v>76</v>
      </c>
      <c r="H373" s="421" t="s">
        <v>7044</v>
      </c>
      <c r="I373" s="421" t="s">
        <v>76</v>
      </c>
      <c r="J373" s="421" t="s">
        <v>76</v>
      </c>
      <c r="K373" s="421" t="s">
        <v>76</v>
      </c>
      <c r="L373" s="421" t="s">
        <v>76</v>
      </c>
      <c r="M373" s="421" t="s">
        <v>76</v>
      </c>
      <c r="N373" s="421" t="s">
        <v>76</v>
      </c>
      <c r="O373" s="421" t="s">
        <v>76</v>
      </c>
      <c r="P373" s="421" t="s">
        <v>7043</v>
      </c>
      <c r="Q373" s="421" t="s">
        <v>76</v>
      </c>
      <c r="R373" s="422" t="s">
        <v>76</v>
      </c>
    </row>
    <row r="374" spans="1:18">
      <c r="A374" s="420" t="s">
        <v>7607</v>
      </c>
      <c r="B374" s="421" t="s">
        <v>7608</v>
      </c>
      <c r="C374" s="421" t="s">
        <v>7609</v>
      </c>
      <c r="D374" s="421" t="s">
        <v>7623</v>
      </c>
      <c r="E374" s="421" t="s">
        <v>76</v>
      </c>
      <c r="F374" s="421" t="s">
        <v>76</v>
      </c>
      <c r="G374" s="421" t="s">
        <v>76</v>
      </c>
      <c r="H374" s="421" t="s">
        <v>7044</v>
      </c>
      <c r="I374" s="421" t="s">
        <v>76</v>
      </c>
      <c r="J374" s="421" t="s">
        <v>76</v>
      </c>
      <c r="K374" s="421" t="s">
        <v>76</v>
      </c>
      <c r="L374" s="421" t="s">
        <v>76</v>
      </c>
      <c r="M374" s="421" t="s">
        <v>76</v>
      </c>
      <c r="N374" s="421" t="s">
        <v>76</v>
      </c>
      <c r="O374" s="421" t="s">
        <v>76</v>
      </c>
      <c r="P374" s="421" t="s">
        <v>7043</v>
      </c>
      <c r="Q374" s="421" t="s">
        <v>76</v>
      </c>
      <c r="R374" s="422" t="s">
        <v>76</v>
      </c>
    </row>
    <row r="375" spans="1:18">
      <c r="A375" s="420" t="s">
        <v>7607</v>
      </c>
      <c r="B375" s="421" t="s">
        <v>7608</v>
      </c>
      <c r="C375" s="421" t="s">
        <v>7609</v>
      </c>
      <c r="D375" s="421" t="s">
        <v>7624</v>
      </c>
      <c r="E375" s="421" t="s">
        <v>76</v>
      </c>
      <c r="F375" s="421" t="s">
        <v>76</v>
      </c>
      <c r="G375" s="421" t="s">
        <v>76</v>
      </c>
      <c r="H375" s="421" t="s">
        <v>7044</v>
      </c>
      <c r="I375" s="421" t="s">
        <v>76</v>
      </c>
      <c r="J375" s="421" t="s">
        <v>76</v>
      </c>
      <c r="K375" s="421" t="s">
        <v>76</v>
      </c>
      <c r="L375" s="421" t="s">
        <v>76</v>
      </c>
      <c r="M375" s="421" t="s">
        <v>76</v>
      </c>
      <c r="N375" s="421" t="s">
        <v>76</v>
      </c>
      <c r="O375" s="421" t="s">
        <v>76</v>
      </c>
      <c r="P375" s="421" t="s">
        <v>7043</v>
      </c>
      <c r="Q375" s="421" t="s">
        <v>76</v>
      </c>
      <c r="R375" s="422" t="s">
        <v>76</v>
      </c>
    </row>
    <row r="376" spans="1:18">
      <c r="A376" s="420" t="s">
        <v>7607</v>
      </c>
      <c r="B376" s="421" t="s">
        <v>7608</v>
      </c>
      <c r="C376" s="421" t="s">
        <v>7609</v>
      </c>
      <c r="D376" s="421" t="s">
        <v>7625</v>
      </c>
      <c r="E376" s="421" t="s">
        <v>76</v>
      </c>
      <c r="F376" s="421" t="s">
        <v>76</v>
      </c>
      <c r="G376" s="421" t="s">
        <v>76</v>
      </c>
      <c r="H376" s="421" t="s">
        <v>7044</v>
      </c>
      <c r="I376" s="421" t="s">
        <v>76</v>
      </c>
      <c r="J376" s="421" t="s">
        <v>76</v>
      </c>
      <c r="K376" s="421" t="s">
        <v>76</v>
      </c>
      <c r="L376" s="421" t="s">
        <v>76</v>
      </c>
      <c r="M376" s="421" t="s">
        <v>76</v>
      </c>
      <c r="N376" s="421" t="s">
        <v>76</v>
      </c>
      <c r="O376" s="421" t="s">
        <v>76</v>
      </c>
      <c r="P376" s="421" t="s">
        <v>7043</v>
      </c>
      <c r="Q376" s="421" t="s">
        <v>76</v>
      </c>
      <c r="R376" s="422" t="s">
        <v>76</v>
      </c>
    </row>
    <row r="377" spans="1:18">
      <c r="A377" s="420" t="s">
        <v>7607</v>
      </c>
      <c r="B377" s="421" t="s">
        <v>7608</v>
      </c>
      <c r="C377" s="421" t="s">
        <v>7609</v>
      </c>
      <c r="D377" s="421" t="s">
        <v>7626</v>
      </c>
      <c r="E377" s="421" t="s">
        <v>76</v>
      </c>
      <c r="F377" s="421" t="s">
        <v>76</v>
      </c>
      <c r="G377" s="421" t="s">
        <v>76</v>
      </c>
      <c r="H377" s="421" t="s">
        <v>7044</v>
      </c>
      <c r="I377" s="421" t="s">
        <v>76</v>
      </c>
      <c r="J377" s="421" t="s">
        <v>76</v>
      </c>
      <c r="K377" s="421" t="s">
        <v>76</v>
      </c>
      <c r="L377" s="421" t="s">
        <v>76</v>
      </c>
      <c r="M377" s="421" t="s">
        <v>76</v>
      </c>
      <c r="N377" s="421" t="s">
        <v>76</v>
      </c>
      <c r="O377" s="421" t="s">
        <v>76</v>
      </c>
      <c r="P377" s="421" t="s">
        <v>7043</v>
      </c>
      <c r="Q377" s="421" t="s">
        <v>76</v>
      </c>
      <c r="R377" s="422" t="s">
        <v>76</v>
      </c>
    </row>
    <row r="378" spans="1:18">
      <c r="A378" s="420" t="s">
        <v>7607</v>
      </c>
      <c r="B378" s="421" t="s">
        <v>7608</v>
      </c>
      <c r="C378" s="421" t="s">
        <v>7609</v>
      </c>
      <c r="D378" s="421" t="s">
        <v>7627</v>
      </c>
      <c r="E378" s="421" t="s">
        <v>76</v>
      </c>
      <c r="F378" s="421" t="s">
        <v>76</v>
      </c>
      <c r="G378" s="421" t="s">
        <v>76</v>
      </c>
      <c r="H378" s="421" t="s">
        <v>7044</v>
      </c>
      <c r="I378" s="421" t="s">
        <v>76</v>
      </c>
      <c r="J378" s="421" t="s">
        <v>76</v>
      </c>
      <c r="K378" s="421" t="s">
        <v>76</v>
      </c>
      <c r="L378" s="421" t="s">
        <v>76</v>
      </c>
      <c r="M378" s="421" t="s">
        <v>76</v>
      </c>
      <c r="N378" s="421" t="s">
        <v>76</v>
      </c>
      <c r="O378" s="421" t="s">
        <v>76</v>
      </c>
      <c r="P378" s="421" t="s">
        <v>7043</v>
      </c>
      <c r="Q378" s="421" t="s">
        <v>76</v>
      </c>
      <c r="R378" s="422" t="s">
        <v>76</v>
      </c>
    </row>
    <row r="379" spans="1:18">
      <c r="A379" s="420" t="s">
        <v>7607</v>
      </c>
      <c r="B379" s="421" t="s">
        <v>7608</v>
      </c>
      <c r="C379" s="421" t="s">
        <v>7609</v>
      </c>
      <c r="D379" s="421" t="s">
        <v>7628</v>
      </c>
      <c r="E379" s="421" t="s">
        <v>76</v>
      </c>
      <c r="F379" s="421" t="s">
        <v>76</v>
      </c>
      <c r="G379" s="421" t="s">
        <v>76</v>
      </c>
      <c r="H379" s="421" t="s">
        <v>7044</v>
      </c>
      <c r="I379" s="421" t="s">
        <v>76</v>
      </c>
      <c r="J379" s="421" t="s">
        <v>76</v>
      </c>
      <c r="K379" s="421" t="s">
        <v>76</v>
      </c>
      <c r="L379" s="421" t="s">
        <v>76</v>
      </c>
      <c r="M379" s="421" t="s">
        <v>76</v>
      </c>
      <c r="N379" s="421" t="s">
        <v>76</v>
      </c>
      <c r="O379" s="421" t="s">
        <v>76</v>
      </c>
      <c r="P379" s="421" t="s">
        <v>7043</v>
      </c>
      <c r="Q379" s="421" t="s">
        <v>76</v>
      </c>
      <c r="R379" s="422" t="s">
        <v>76</v>
      </c>
    </row>
    <row r="380" spans="1:18">
      <c r="A380" s="420" t="s">
        <v>7607</v>
      </c>
      <c r="B380" s="421" t="s">
        <v>7608</v>
      </c>
      <c r="C380" s="421" t="s">
        <v>7609</v>
      </c>
      <c r="D380" s="421" t="s">
        <v>7629</v>
      </c>
      <c r="E380" s="421" t="s">
        <v>76</v>
      </c>
      <c r="F380" s="421" t="s">
        <v>76</v>
      </c>
      <c r="G380" s="421" t="s">
        <v>76</v>
      </c>
      <c r="H380" s="421" t="s">
        <v>7044</v>
      </c>
      <c r="I380" s="421" t="s">
        <v>76</v>
      </c>
      <c r="J380" s="421" t="s">
        <v>76</v>
      </c>
      <c r="K380" s="421" t="s">
        <v>76</v>
      </c>
      <c r="L380" s="421" t="s">
        <v>76</v>
      </c>
      <c r="M380" s="421" t="s">
        <v>76</v>
      </c>
      <c r="N380" s="421" t="s">
        <v>76</v>
      </c>
      <c r="O380" s="421" t="s">
        <v>76</v>
      </c>
      <c r="P380" s="421" t="s">
        <v>7043</v>
      </c>
      <c r="Q380" s="421" t="s">
        <v>76</v>
      </c>
      <c r="R380" s="422" t="s">
        <v>76</v>
      </c>
    </row>
    <row r="381" spans="1:18">
      <c r="A381" s="420" t="s">
        <v>7607</v>
      </c>
      <c r="B381" s="421" t="s">
        <v>7608</v>
      </c>
      <c r="C381" s="421" t="s">
        <v>7609</v>
      </c>
      <c r="D381" s="421" t="s">
        <v>7630</v>
      </c>
      <c r="E381" s="421" t="s">
        <v>76</v>
      </c>
      <c r="F381" s="421" t="s">
        <v>76</v>
      </c>
      <c r="G381" s="421" t="s">
        <v>76</v>
      </c>
      <c r="H381" s="421" t="s">
        <v>7044</v>
      </c>
      <c r="I381" s="421" t="s">
        <v>76</v>
      </c>
      <c r="J381" s="421" t="s">
        <v>76</v>
      </c>
      <c r="K381" s="421" t="s">
        <v>76</v>
      </c>
      <c r="L381" s="421" t="s">
        <v>76</v>
      </c>
      <c r="M381" s="421" t="s">
        <v>76</v>
      </c>
      <c r="N381" s="421" t="s">
        <v>76</v>
      </c>
      <c r="O381" s="421" t="s">
        <v>76</v>
      </c>
      <c r="P381" s="421" t="s">
        <v>7043</v>
      </c>
      <c r="Q381" s="421" t="s">
        <v>76</v>
      </c>
      <c r="R381" s="422" t="s">
        <v>76</v>
      </c>
    </row>
    <row r="382" spans="1:18">
      <c r="A382" s="420" t="s">
        <v>7607</v>
      </c>
      <c r="B382" s="421" t="s">
        <v>7608</v>
      </c>
      <c r="C382" s="421" t="s">
        <v>7609</v>
      </c>
      <c r="D382" s="421" t="s">
        <v>7631</v>
      </c>
      <c r="E382" s="421" t="s">
        <v>76</v>
      </c>
      <c r="F382" s="421" t="s">
        <v>76</v>
      </c>
      <c r="G382" s="421" t="s">
        <v>76</v>
      </c>
      <c r="H382" s="421" t="s">
        <v>7044</v>
      </c>
      <c r="I382" s="421" t="s">
        <v>76</v>
      </c>
      <c r="J382" s="421" t="s">
        <v>76</v>
      </c>
      <c r="K382" s="421" t="s">
        <v>76</v>
      </c>
      <c r="L382" s="421" t="s">
        <v>76</v>
      </c>
      <c r="M382" s="421" t="s">
        <v>76</v>
      </c>
      <c r="N382" s="421" t="s">
        <v>76</v>
      </c>
      <c r="O382" s="421" t="s">
        <v>76</v>
      </c>
      <c r="P382" s="421" t="s">
        <v>7043</v>
      </c>
      <c r="Q382" s="421" t="s">
        <v>76</v>
      </c>
      <c r="R382" s="422" t="s">
        <v>76</v>
      </c>
    </row>
    <row r="383" spans="1:18">
      <c r="A383" s="420" t="s">
        <v>7607</v>
      </c>
      <c r="B383" s="421" t="s">
        <v>7608</v>
      </c>
      <c r="C383" s="421" t="s">
        <v>7609</v>
      </c>
      <c r="D383" s="421" t="s">
        <v>7632</v>
      </c>
      <c r="E383" s="421" t="s">
        <v>76</v>
      </c>
      <c r="F383" s="421" t="s">
        <v>76</v>
      </c>
      <c r="G383" s="421" t="s">
        <v>76</v>
      </c>
      <c r="H383" s="421" t="s">
        <v>7044</v>
      </c>
      <c r="I383" s="421" t="s">
        <v>76</v>
      </c>
      <c r="J383" s="421" t="s">
        <v>76</v>
      </c>
      <c r="K383" s="421" t="s">
        <v>76</v>
      </c>
      <c r="L383" s="421" t="s">
        <v>76</v>
      </c>
      <c r="M383" s="421" t="s">
        <v>76</v>
      </c>
      <c r="N383" s="421" t="s">
        <v>76</v>
      </c>
      <c r="O383" s="421" t="s">
        <v>76</v>
      </c>
      <c r="P383" s="421" t="s">
        <v>7043</v>
      </c>
      <c r="Q383" s="421" t="s">
        <v>76</v>
      </c>
      <c r="R383" s="422" t="s">
        <v>76</v>
      </c>
    </row>
    <row r="384" spans="1:18">
      <c r="A384" s="420" t="s">
        <v>7607</v>
      </c>
      <c r="B384" s="421" t="s">
        <v>7608</v>
      </c>
      <c r="C384" s="421" t="s">
        <v>7609</v>
      </c>
      <c r="D384" s="421" t="s">
        <v>7633</v>
      </c>
      <c r="E384" s="421" t="s">
        <v>76</v>
      </c>
      <c r="F384" s="421" t="s">
        <v>76</v>
      </c>
      <c r="G384" s="421" t="s">
        <v>76</v>
      </c>
      <c r="H384" s="421" t="s">
        <v>7044</v>
      </c>
      <c r="I384" s="421" t="s">
        <v>76</v>
      </c>
      <c r="J384" s="421" t="s">
        <v>76</v>
      </c>
      <c r="K384" s="421" t="s">
        <v>76</v>
      </c>
      <c r="L384" s="421" t="s">
        <v>76</v>
      </c>
      <c r="M384" s="421" t="s">
        <v>76</v>
      </c>
      <c r="N384" s="421" t="s">
        <v>76</v>
      </c>
      <c r="O384" s="421" t="s">
        <v>76</v>
      </c>
      <c r="P384" s="421" t="s">
        <v>7043</v>
      </c>
      <c r="Q384" s="421" t="s">
        <v>76</v>
      </c>
      <c r="R384" s="422" t="s">
        <v>76</v>
      </c>
    </row>
    <row r="385" spans="1:18">
      <c r="A385" s="420" t="s">
        <v>7607</v>
      </c>
      <c r="B385" s="421" t="s">
        <v>7608</v>
      </c>
      <c r="C385" s="421" t="s">
        <v>7609</v>
      </c>
      <c r="D385" s="421" t="s">
        <v>7634</v>
      </c>
      <c r="E385" s="421" t="s">
        <v>76</v>
      </c>
      <c r="F385" s="421" t="s">
        <v>76</v>
      </c>
      <c r="G385" s="421" t="s">
        <v>76</v>
      </c>
      <c r="H385" s="421" t="s">
        <v>7044</v>
      </c>
      <c r="I385" s="421" t="s">
        <v>76</v>
      </c>
      <c r="J385" s="421" t="s">
        <v>76</v>
      </c>
      <c r="K385" s="421" t="s">
        <v>76</v>
      </c>
      <c r="L385" s="421" t="s">
        <v>76</v>
      </c>
      <c r="M385" s="421" t="s">
        <v>76</v>
      </c>
      <c r="N385" s="421" t="s">
        <v>76</v>
      </c>
      <c r="O385" s="421" t="s">
        <v>76</v>
      </c>
      <c r="P385" s="421" t="s">
        <v>7043</v>
      </c>
      <c r="Q385" s="421" t="s">
        <v>76</v>
      </c>
      <c r="R385" s="422" t="s">
        <v>76</v>
      </c>
    </row>
    <row r="386" spans="1:18">
      <c r="A386" s="420" t="s">
        <v>7607</v>
      </c>
      <c r="B386" s="421" t="s">
        <v>7608</v>
      </c>
      <c r="C386" s="421" t="s">
        <v>7609</v>
      </c>
      <c r="D386" s="421" t="s">
        <v>7635</v>
      </c>
      <c r="E386" s="421" t="s">
        <v>76</v>
      </c>
      <c r="F386" s="421" t="s">
        <v>76</v>
      </c>
      <c r="G386" s="421" t="s">
        <v>76</v>
      </c>
      <c r="H386" s="421" t="s">
        <v>7044</v>
      </c>
      <c r="I386" s="421" t="s">
        <v>76</v>
      </c>
      <c r="J386" s="421" t="s">
        <v>76</v>
      </c>
      <c r="K386" s="421" t="s">
        <v>76</v>
      </c>
      <c r="L386" s="421" t="s">
        <v>76</v>
      </c>
      <c r="M386" s="421" t="s">
        <v>76</v>
      </c>
      <c r="N386" s="421" t="s">
        <v>76</v>
      </c>
      <c r="O386" s="421" t="s">
        <v>76</v>
      </c>
      <c r="P386" s="421" t="s">
        <v>7043</v>
      </c>
      <c r="Q386" s="421" t="s">
        <v>76</v>
      </c>
      <c r="R386" s="422" t="s">
        <v>76</v>
      </c>
    </row>
    <row r="387" spans="1:18">
      <c r="A387" s="420" t="s">
        <v>7607</v>
      </c>
      <c r="B387" s="421" t="s">
        <v>7608</v>
      </c>
      <c r="C387" s="421" t="s">
        <v>7609</v>
      </c>
      <c r="D387" s="421" t="s">
        <v>7636</v>
      </c>
      <c r="E387" s="421" t="s">
        <v>76</v>
      </c>
      <c r="F387" s="421" t="s">
        <v>76</v>
      </c>
      <c r="G387" s="421" t="s">
        <v>76</v>
      </c>
      <c r="H387" s="421" t="s">
        <v>7044</v>
      </c>
      <c r="I387" s="421" t="s">
        <v>76</v>
      </c>
      <c r="J387" s="421" t="s">
        <v>76</v>
      </c>
      <c r="K387" s="421" t="s">
        <v>76</v>
      </c>
      <c r="L387" s="421" t="s">
        <v>76</v>
      </c>
      <c r="M387" s="421" t="s">
        <v>76</v>
      </c>
      <c r="N387" s="421" t="s">
        <v>76</v>
      </c>
      <c r="O387" s="421" t="s">
        <v>76</v>
      </c>
      <c r="P387" s="421" t="s">
        <v>7043</v>
      </c>
      <c r="Q387" s="421" t="s">
        <v>76</v>
      </c>
      <c r="R387" s="422" t="s">
        <v>76</v>
      </c>
    </row>
    <row r="388" spans="1:18">
      <c r="A388" s="420" t="s">
        <v>7607</v>
      </c>
      <c r="B388" s="421" t="s">
        <v>7608</v>
      </c>
      <c r="C388" s="421" t="s">
        <v>7609</v>
      </c>
      <c r="D388" s="421" t="s">
        <v>7637</v>
      </c>
      <c r="E388" s="421" t="s">
        <v>76</v>
      </c>
      <c r="F388" s="421" t="s">
        <v>76</v>
      </c>
      <c r="G388" s="421" t="s">
        <v>76</v>
      </c>
      <c r="H388" s="421" t="s">
        <v>7044</v>
      </c>
      <c r="I388" s="421" t="s">
        <v>76</v>
      </c>
      <c r="J388" s="421" t="s">
        <v>76</v>
      </c>
      <c r="K388" s="421" t="s">
        <v>76</v>
      </c>
      <c r="L388" s="421" t="s">
        <v>76</v>
      </c>
      <c r="M388" s="421" t="s">
        <v>76</v>
      </c>
      <c r="N388" s="421" t="s">
        <v>76</v>
      </c>
      <c r="O388" s="421" t="s">
        <v>76</v>
      </c>
      <c r="P388" s="421" t="s">
        <v>7043</v>
      </c>
      <c r="Q388" s="421" t="s">
        <v>76</v>
      </c>
      <c r="R388" s="422" t="s">
        <v>76</v>
      </c>
    </row>
    <row r="389" spans="1:18">
      <c r="A389" s="420" t="s">
        <v>7607</v>
      </c>
      <c r="B389" s="421" t="s">
        <v>7608</v>
      </c>
      <c r="C389" s="421" t="s">
        <v>7609</v>
      </c>
      <c r="D389" s="421" t="s">
        <v>7638</v>
      </c>
      <c r="E389" s="421" t="s">
        <v>76</v>
      </c>
      <c r="F389" s="421" t="s">
        <v>76</v>
      </c>
      <c r="G389" s="421" t="s">
        <v>76</v>
      </c>
      <c r="H389" s="421" t="s">
        <v>7044</v>
      </c>
      <c r="I389" s="421" t="s">
        <v>76</v>
      </c>
      <c r="J389" s="421" t="s">
        <v>76</v>
      </c>
      <c r="K389" s="421" t="s">
        <v>76</v>
      </c>
      <c r="L389" s="421" t="s">
        <v>76</v>
      </c>
      <c r="M389" s="421" t="s">
        <v>76</v>
      </c>
      <c r="N389" s="421" t="s">
        <v>76</v>
      </c>
      <c r="O389" s="421" t="s">
        <v>76</v>
      </c>
      <c r="P389" s="421" t="s">
        <v>7043</v>
      </c>
      <c r="Q389" s="421" t="s">
        <v>76</v>
      </c>
      <c r="R389" s="422" t="s">
        <v>76</v>
      </c>
    </row>
    <row r="390" spans="1:18">
      <c r="A390" s="420" t="s">
        <v>7607</v>
      </c>
      <c r="B390" s="421" t="s">
        <v>7608</v>
      </c>
      <c r="C390" s="421" t="s">
        <v>7609</v>
      </c>
      <c r="D390" s="421" t="s">
        <v>7639</v>
      </c>
      <c r="E390" s="421" t="s">
        <v>76</v>
      </c>
      <c r="F390" s="421" t="s">
        <v>76</v>
      </c>
      <c r="G390" s="421" t="s">
        <v>76</v>
      </c>
      <c r="H390" s="421" t="s">
        <v>7044</v>
      </c>
      <c r="I390" s="421" t="s">
        <v>76</v>
      </c>
      <c r="J390" s="421" t="s">
        <v>76</v>
      </c>
      <c r="K390" s="421" t="s">
        <v>76</v>
      </c>
      <c r="L390" s="421" t="s">
        <v>76</v>
      </c>
      <c r="M390" s="421" t="s">
        <v>76</v>
      </c>
      <c r="N390" s="421" t="s">
        <v>76</v>
      </c>
      <c r="O390" s="421" t="s">
        <v>76</v>
      </c>
      <c r="P390" s="421" t="s">
        <v>7043</v>
      </c>
      <c r="Q390" s="421" t="s">
        <v>76</v>
      </c>
      <c r="R390" s="422" t="s">
        <v>76</v>
      </c>
    </row>
    <row r="391" spans="1:18">
      <c r="A391" s="420" t="s">
        <v>7607</v>
      </c>
      <c r="B391" s="421" t="s">
        <v>7608</v>
      </c>
      <c r="C391" s="421" t="s">
        <v>7609</v>
      </c>
      <c r="D391" s="421" t="s">
        <v>7640</v>
      </c>
      <c r="E391" s="421" t="s">
        <v>76</v>
      </c>
      <c r="F391" s="421" t="s">
        <v>76</v>
      </c>
      <c r="G391" s="421" t="s">
        <v>76</v>
      </c>
      <c r="H391" s="421" t="s">
        <v>7044</v>
      </c>
      <c r="I391" s="421" t="s">
        <v>76</v>
      </c>
      <c r="J391" s="421" t="s">
        <v>76</v>
      </c>
      <c r="K391" s="421" t="s">
        <v>76</v>
      </c>
      <c r="L391" s="421" t="s">
        <v>76</v>
      </c>
      <c r="M391" s="421" t="s">
        <v>76</v>
      </c>
      <c r="N391" s="421" t="s">
        <v>76</v>
      </c>
      <c r="O391" s="421" t="s">
        <v>76</v>
      </c>
      <c r="P391" s="421" t="s">
        <v>7043</v>
      </c>
      <c r="Q391" s="421" t="s">
        <v>76</v>
      </c>
      <c r="R391" s="422" t="s">
        <v>76</v>
      </c>
    </row>
    <row r="392" spans="1:18">
      <c r="A392" s="420" t="s">
        <v>7607</v>
      </c>
      <c r="B392" s="421" t="s">
        <v>7608</v>
      </c>
      <c r="C392" s="421" t="s">
        <v>7609</v>
      </c>
      <c r="D392" s="421" t="s">
        <v>7641</v>
      </c>
      <c r="E392" s="421" t="s">
        <v>76</v>
      </c>
      <c r="F392" s="421" t="s">
        <v>76</v>
      </c>
      <c r="G392" s="421" t="s">
        <v>76</v>
      </c>
      <c r="H392" s="421" t="s">
        <v>7044</v>
      </c>
      <c r="I392" s="421" t="s">
        <v>76</v>
      </c>
      <c r="J392" s="421" t="s">
        <v>76</v>
      </c>
      <c r="K392" s="421" t="s">
        <v>76</v>
      </c>
      <c r="L392" s="421" t="s">
        <v>76</v>
      </c>
      <c r="M392" s="421" t="s">
        <v>76</v>
      </c>
      <c r="N392" s="421" t="s">
        <v>76</v>
      </c>
      <c r="O392" s="421" t="s">
        <v>76</v>
      </c>
      <c r="P392" s="421" t="s">
        <v>7043</v>
      </c>
      <c r="Q392" s="421" t="s">
        <v>76</v>
      </c>
      <c r="R392" s="422" t="s">
        <v>76</v>
      </c>
    </row>
    <row r="393" spans="1:18">
      <c r="A393" s="420" t="s">
        <v>7642</v>
      </c>
      <c r="B393" s="421" t="s">
        <v>7643</v>
      </c>
      <c r="C393" s="421" t="s">
        <v>7644</v>
      </c>
      <c r="D393" s="421" t="s">
        <v>7645</v>
      </c>
      <c r="E393" s="421" t="s">
        <v>76</v>
      </c>
      <c r="F393" s="421" t="s">
        <v>76</v>
      </c>
      <c r="G393" s="421" t="s">
        <v>76</v>
      </c>
      <c r="H393" s="421" t="s">
        <v>76</v>
      </c>
      <c r="I393" s="421" t="s">
        <v>76</v>
      </c>
      <c r="J393" s="421" t="s">
        <v>76</v>
      </c>
      <c r="K393" s="421" t="s">
        <v>76</v>
      </c>
      <c r="L393" s="421" t="s">
        <v>76</v>
      </c>
      <c r="M393" s="421" t="s">
        <v>76</v>
      </c>
      <c r="N393" s="421" t="s">
        <v>7043</v>
      </c>
      <c r="O393" s="421" t="s">
        <v>76</v>
      </c>
      <c r="P393" s="421" t="s">
        <v>76</v>
      </c>
      <c r="Q393" s="421" t="s">
        <v>76</v>
      </c>
      <c r="R393" s="422" t="s">
        <v>76</v>
      </c>
    </row>
    <row r="394" spans="1:18">
      <c r="A394" s="420" t="s">
        <v>7642</v>
      </c>
      <c r="B394" s="421" t="s">
        <v>7643</v>
      </c>
      <c r="C394" s="421" t="s">
        <v>7644</v>
      </c>
      <c r="D394" s="421" t="s">
        <v>7646</v>
      </c>
      <c r="E394" s="421" t="s">
        <v>76</v>
      </c>
      <c r="F394" s="421" t="s">
        <v>76</v>
      </c>
      <c r="G394" s="421" t="s">
        <v>76</v>
      </c>
      <c r="H394" s="421" t="s">
        <v>76</v>
      </c>
      <c r="I394" s="421" t="s">
        <v>76</v>
      </c>
      <c r="J394" s="421" t="s">
        <v>76</v>
      </c>
      <c r="K394" s="421" t="s">
        <v>76</v>
      </c>
      <c r="L394" s="421" t="s">
        <v>76</v>
      </c>
      <c r="M394" s="421" t="s">
        <v>76</v>
      </c>
      <c r="N394" s="421" t="s">
        <v>7043</v>
      </c>
      <c r="O394" s="421" t="s">
        <v>76</v>
      </c>
      <c r="P394" s="421" t="s">
        <v>76</v>
      </c>
      <c r="Q394" s="421" t="s">
        <v>76</v>
      </c>
      <c r="R394" s="422" t="s">
        <v>76</v>
      </c>
    </row>
    <row r="395" spans="1:18">
      <c r="A395" s="420" t="s">
        <v>7642</v>
      </c>
      <c r="B395" s="421" t="s">
        <v>7643</v>
      </c>
      <c r="C395" s="421" t="s">
        <v>7644</v>
      </c>
      <c r="D395" s="421" t="s">
        <v>7647</v>
      </c>
      <c r="E395" s="421" t="s">
        <v>76</v>
      </c>
      <c r="F395" s="421" t="s">
        <v>76</v>
      </c>
      <c r="G395" s="421" t="s">
        <v>76</v>
      </c>
      <c r="H395" s="421" t="s">
        <v>76</v>
      </c>
      <c r="I395" s="421" t="s">
        <v>76</v>
      </c>
      <c r="J395" s="421" t="s">
        <v>76</v>
      </c>
      <c r="K395" s="421" t="s">
        <v>76</v>
      </c>
      <c r="L395" s="421" t="s">
        <v>76</v>
      </c>
      <c r="M395" s="421" t="s">
        <v>76</v>
      </c>
      <c r="N395" s="421" t="s">
        <v>7043</v>
      </c>
      <c r="O395" s="421" t="s">
        <v>76</v>
      </c>
      <c r="P395" s="421" t="s">
        <v>76</v>
      </c>
      <c r="Q395" s="421" t="s">
        <v>76</v>
      </c>
      <c r="R395" s="422" t="s">
        <v>76</v>
      </c>
    </row>
    <row r="396" spans="1:18">
      <c r="A396" s="420" t="s">
        <v>7642</v>
      </c>
      <c r="B396" s="421" t="s">
        <v>7643</v>
      </c>
      <c r="C396" s="421" t="s">
        <v>7644</v>
      </c>
      <c r="D396" s="421" t="s">
        <v>7648</v>
      </c>
      <c r="E396" s="421" t="s">
        <v>76</v>
      </c>
      <c r="F396" s="421" t="s">
        <v>76</v>
      </c>
      <c r="G396" s="421" t="s">
        <v>76</v>
      </c>
      <c r="H396" s="421" t="s">
        <v>76</v>
      </c>
      <c r="I396" s="421" t="s">
        <v>76</v>
      </c>
      <c r="J396" s="421" t="s">
        <v>76</v>
      </c>
      <c r="K396" s="421" t="s">
        <v>76</v>
      </c>
      <c r="L396" s="421" t="s">
        <v>76</v>
      </c>
      <c r="M396" s="421" t="s">
        <v>76</v>
      </c>
      <c r="N396" s="421" t="s">
        <v>7043</v>
      </c>
      <c r="O396" s="421" t="s">
        <v>76</v>
      </c>
      <c r="P396" s="421" t="s">
        <v>76</v>
      </c>
      <c r="Q396" s="421" t="s">
        <v>76</v>
      </c>
      <c r="R396" s="422" t="s">
        <v>76</v>
      </c>
    </row>
    <row r="397" spans="1:18">
      <c r="A397" s="420" t="s">
        <v>7642</v>
      </c>
      <c r="B397" s="421" t="s">
        <v>7643</v>
      </c>
      <c r="C397" s="421" t="s">
        <v>7644</v>
      </c>
      <c r="D397" s="421" t="s">
        <v>7649</v>
      </c>
      <c r="E397" s="421" t="s">
        <v>76</v>
      </c>
      <c r="F397" s="421" t="s">
        <v>76</v>
      </c>
      <c r="G397" s="421" t="s">
        <v>76</v>
      </c>
      <c r="H397" s="421" t="s">
        <v>76</v>
      </c>
      <c r="I397" s="421" t="s">
        <v>76</v>
      </c>
      <c r="J397" s="421" t="s">
        <v>76</v>
      </c>
      <c r="K397" s="421" t="s">
        <v>76</v>
      </c>
      <c r="L397" s="421" t="s">
        <v>76</v>
      </c>
      <c r="M397" s="421" t="s">
        <v>76</v>
      </c>
      <c r="N397" s="421" t="s">
        <v>7043</v>
      </c>
      <c r="O397" s="421" t="s">
        <v>76</v>
      </c>
      <c r="P397" s="421" t="s">
        <v>76</v>
      </c>
      <c r="Q397" s="421" t="s">
        <v>76</v>
      </c>
      <c r="R397" s="422" t="s">
        <v>76</v>
      </c>
    </row>
    <row r="398" spans="1:18">
      <c r="A398" s="420" t="s">
        <v>7642</v>
      </c>
      <c r="B398" s="421" t="s">
        <v>7643</v>
      </c>
      <c r="C398" s="421" t="s">
        <v>7644</v>
      </c>
      <c r="D398" s="421" t="s">
        <v>7650</v>
      </c>
      <c r="E398" s="421" t="s">
        <v>76</v>
      </c>
      <c r="F398" s="421" t="s">
        <v>76</v>
      </c>
      <c r="G398" s="421" t="s">
        <v>76</v>
      </c>
      <c r="H398" s="421" t="s">
        <v>76</v>
      </c>
      <c r="I398" s="421" t="s">
        <v>76</v>
      </c>
      <c r="J398" s="421" t="s">
        <v>76</v>
      </c>
      <c r="K398" s="421" t="s">
        <v>76</v>
      </c>
      <c r="L398" s="421" t="s">
        <v>76</v>
      </c>
      <c r="M398" s="421" t="s">
        <v>76</v>
      </c>
      <c r="N398" s="421" t="s">
        <v>7043</v>
      </c>
      <c r="O398" s="421" t="s">
        <v>76</v>
      </c>
      <c r="P398" s="421" t="s">
        <v>76</v>
      </c>
      <c r="Q398" s="421" t="s">
        <v>76</v>
      </c>
      <c r="R398" s="422" t="s">
        <v>76</v>
      </c>
    </row>
    <row r="399" spans="1:18">
      <c r="A399" s="420" t="s">
        <v>7642</v>
      </c>
      <c r="B399" s="421" t="s">
        <v>7643</v>
      </c>
      <c r="C399" s="421" t="s">
        <v>7644</v>
      </c>
      <c r="D399" s="421" t="s">
        <v>7651</v>
      </c>
      <c r="E399" s="421" t="s">
        <v>76</v>
      </c>
      <c r="F399" s="421" t="s">
        <v>76</v>
      </c>
      <c r="G399" s="421" t="s">
        <v>76</v>
      </c>
      <c r="H399" s="421" t="s">
        <v>76</v>
      </c>
      <c r="I399" s="421" t="s">
        <v>76</v>
      </c>
      <c r="J399" s="421" t="s">
        <v>76</v>
      </c>
      <c r="K399" s="421" t="s">
        <v>76</v>
      </c>
      <c r="L399" s="421" t="s">
        <v>76</v>
      </c>
      <c r="M399" s="421" t="s">
        <v>76</v>
      </c>
      <c r="N399" s="421" t="s">
        <v>7043</v>
      </c>
      <c r="O399" s="421" t="s">
        <v>76</v>
      </c>
      <c r="P399" s="421" t="s">
        <v>76</v>
      </c>
      <c r="Q399" s="421" t="s">
        <v>76</v>
      </c>
      <c r="R399" s="422" t="s">
        <v>76</v>
      </c>
    </row>
    <row r="400" spans="1:18">
      <c r="A400" s="420" t="s">
        <v>7642</v>
      </c>
      <c r="B400" s="421" t="s">
        <v>7643</v>
      </c>
      <c r="C400" s="421" t="s">
        <v>7644</v>
      </c>
      <c r="D400" s="421" t="s">
        <v>7652</v>
      </c>
      <c r="E400" s="421" t="s">
        <v>76</v>
      </c>
      <c r="F400" s="421" t="s">
        <v>76</v>
      </c>
      <c r="G400" s="421" t="s">
        <v>76</v>
      </c>
      <c r="H400" s="421" t="s">
        <v>76</v>
      </c>
      <c r="I400" s="421" t="s">
        <v>76</v>
      </c>
      <c r="J400" s="421" t="s">
        <v>76</v>
      </c>
      <c r="K400" s="421" t="s">
        <v>76</v>
      </c>
      <c r="L400" s="421" t="s">
        <v>76</v>
      </c>
      <c r="M400" s="421" t="s">
        <v>76</v>
      </c>
      <c r="N400" s="421" t="s">
        <v>7043</v>
      </c>
      <c r="O400" s="421" t="s">
        <v>76</v>
      </c>
      <c r="P400" s="421" t="s">
        <v>76</v>
      </c>
      <c r="Q400" s="421" t="s">
        <v>76</v>
      </c>
      <c r="R400" s="422" t="s">
        <v>76</v>
      </c>
    </row>
    <row r="401" spans="1:18">
      <c r="A401" s="420" t="s">
        <v>7642</v>
      </c>
      <c r="B401" s="421" t="s">
        <v>7643</v>
      </c>
      <c r="C401" s="421" t="s">
        <v>7644</v>
      </c>
      <c r="D401" s="421" t="s">
        <v>7653</v>
      </c>
      <c r="E401" s="421" t="s">
        <v>76</v>
      </c>
      <c r="F401" s="421" t="s">
        <v>76</v>
      </c>
      <c r="G401" s="421" t="s">
        <v>76</v>
      </c>
      <c r="H401" s="421" t="s">
        <v>76</v>
      </c>
      <c r="I401" s="421" t="s">
        <v>76</v>
      </c>
      <c r="J401" s="421" t="s">
        <v>76</v>
      </c>
      <c r="K401" s="421" t="s">
        <v>76</v>
      </c>
      <c r="L401" s="421" t="s">
        <v>76</v>
      </c>
      <c r="M401" s="421" t="s">
        <v>76</v>
      </c>
      <c r="N401" s="421" t="s">
        <v>7043</v>
      </c>
      <c r="O401" s="421" t="s">
        <v>76</v>
      </c>
      <c r="P401" s="421" t="s">
        <v>76</v>
      </c>
      <c r="Q401" s="421" t="s">
        <v>76</v>
      </c>
      <c r="R401" s="422" t="s">
        <v>76</v>
      </c>
    </row>
    <row r="402" spans="1:18">
      <c r="A402" s="420" t="s">
        <v>7642</v>
      </c>
      <c r="B402" s="421" t="s">
        <v>7643</v>
      </c>
      <c r="C402" s="421" t="s">
        <v>7644</v>
      </c>
      <c r="D402" s="421" t="s">
        <v>7654</v>
      </c>
      <c r="E402" s="421" t="s">
        <v>76</v>
      </c>
      <c r="F402" s="421" t="s">
        <v>76</v>
      </c>
      <c r="G402" s="421" t="s">
        <v>76</v>
      </c>
      <c r="H402" s="421" t="s">
        <v>76</v>
      </c>
      <c r="I402" s="421" t="s">
        <v>76</v>
      </c>
      <c r="J402" s="421" t="s">
        <v>76</v>
      </c>
      <c r="K402" s="421" t="s">
        <v>76</v>
      </c>
      <c r="L402" s="421" t="s">
        <v>76</v>
      </c>
      <c r="M402" s="421" t="s">
        <v>76</v>
      </c>
      <c r="N402" s="421" t="s">
        <v>7043</v>
      </c>
      <c r="O402" s="421" t="s">
        <v>76</v>
      </c>
      <c r="P402" s="421" t="s">
        <v>76</v>
      </c>
      <c r="Q402" s="421" t="s">
        <v>76</v>
      </c>
      <c r="R402" s="422" t="s">
        <v>76</v>
      </c>
    </row>
    <row r="403" spans="1:18">
      <c r="A403" s="420" t="s">
        <v>7642</v>
      </c>
      <c r="B403" s="421" t="s">
        <v>7643</v>
      </c>
      <c r="C403" s="421" t="s">
        <v>7644</v>
      </c>
      <c r="D403" s="421" t="s">
        <v>7655</v>
      </c>
      <c r="E403" s="421" t="s">
        <v>76</v>
      </c>
      <c r="F403" s="421" t="s">
        <v>76</v>
      </c>
      <c r="G403" s="421" t="s">
        <v>76</v>
      </c>
      <c r="H403" s="421" t="s">
        <v>76</v>
      </c>
      <c r="I403" s="421" t="s">
        <v>76</v>
      </c>
      <c r="J403" s="421" t="s">
        <v>76</v>
      </c>
      <c r="K403" s="421" t="s">
        <v>76</v>
      </c>
      <c r="L403" s="421" t="s">
        <v>76</v>
      </c>
      <c r="M403" s="421" t="s">
        <v>76</v>
      </c>
      <c r="N403" s="421" t="s">
        <v>7043</v>
      </c>
      <c r="O403" s="421" t="s">
        <v>76</v>
      </c>
      <c r="P403" s="421" t="s">
        <v>76</v>
      </c>
      <c r="Q403" s="421" t="s">
        <v>76</v>
      </c>
      <c r="R403" s="422" t="s">
        <v>76</v>
      </c>
    </row>
    <row r="404" spans="1:18">
      <c r="A404" s="420" t="s">
        <v>7642</v>
      </c>
      <c r="B404" s="421" t="s">
        <v>7643</v>
      </c>
      <c r="C404" s="421" t="s">
        <v>7644</v>
      </c>
      <c r="D404" s="421" t="s">
        <v>7656</v>
      </c>
      <c r="E404" s="421" t="s">
        <v>76</v>
      </c>
      <c r="F404" s="421" t="s">
        <v>76</v>
      </c>
      <c r="G404" s="421" t="s">
        <v>76</v>
      </c>
      <c r="H404" s="421" t="s">
        <v>76</v>
      </c>
      <c r="I404" s="421" t="s">
        <v>76</v>
      </c>
      <c r="J404" s="421" t="s">
        <v>76</v>
      </c>
      <c r="K404" s="421" t="s">
        <v>76</v>
      </c>
      <c r="L404" s="421" t="s">
        <v>76</v>
      </c>
      <c r="M404" s="421" t="s">
        <v>76</v>
      </c>
      <c r="N404" s="421" t="s">
        <v>7043</v>
      </c>
      <c r="O404" s="421" t="s">
        <v>76</v>
      </c>
      <c r="P404" s="421" t="s">
        <v>76</v>
      </c>
      <c r="Q404" s="421" t="s">
        <v>76</v>
      </c>
      <c r="R404" s="422" t="s">
        <v>76</v>
      </c>
    </row>
    <row r="405" spans="1:18">
      <c r="A405" s="420" t="s">
        <v>7642</v>
      </c>
      <c r="B405" s="421" t="s">
        <v>7643</v>
      </c>
      <c r="C405" s="421" t="s">
        <v>7644</v>
      </c>
      <c r="D405" s="421" t="s">
        <v>7657</v>
      </c>
      <c r="E405" s="421" t="s">
        <v>76</v>
      </c>
      <c r="F405" s="421" t="s">
        <v>76</v>
      </c>
      <c r="G405" s="421" t="s">
        <v>76</v>
      </c>
      <c r="H405" s="421" t="s">
        <v>76</v>
      </c>
      <c r="I405" s="421" t="s">
        <v>76</v>
      </c>
      <c r="J405" s="421" t="s">
        <v>76</v>
      </c>
      <c r="K405" s="421" t="s">
        <v>76</v>
      </c>
      <c r="L405" s="421" t="s">
        <v>76</v>
      </c>
      <c r="M405" s="421" t="s">
        <v>76</v>
      </c>
      <c r="N405" s="421" t="s">
        <v>7043</v>
      </c>
      <c r="O405" s="421" t="s">
        <v>76</v>
      </c>
      <c r="P405" s="421" t="s">
        <v>76</v>
      </c>
      <c r="Q405" s="421" t="s">
        <v>76</v>
      </c>
      <c r="R405" s="422" t="s">
        <v>76</v>
      </c>
    </row>
    <row r="406" spans="1:18">
      <c r="A406" s="420" t="s">
        <v>7642</v>
      </c>
      <c r="B406" s="421" t="s">
        <v>7643</v>
      </c>
      <c r="C406" s="421" t="s">
        <v>7644</v>
      </c>
      <c r="D406" s="421" t="s">
        <v>7658</v>
      </c>
      <c r="E406" s="421" t="s">
        <v>76</v>
      </c>
      <c r="F406" s="421" t="s">
        <v>76</v>
      </c>
      <c r="G406" s="421" t="s">
        <v>76</v>
      </c>
      <c r="H406" s="421" t="s">
        <v>76</v>
      </c>
      <c r="I406" s="421" t="s">
        <v>76</v>
      </c>
      <c r="J406" s="421" t="s">
        <v>76</v>
      </c>
      <c r="K406" s="421" t="s">
        <v>76</v>
      </c>
      <c r="L406" s="421" t="s">
        <v>76</v>
      </c>
      <c r="M406" s="421" t="s">
        <v>76</v>
      </c>
      <c r="N406" s="421" t="s">
        <v>7043</v>
      </c>
      <c r="O406" s="421" t="s">
        <v>76</v>
      </c>
      <c r="P406" s="421" t="s">
        <v>76</v>
      </c>
      <c r="Q406" s="421" t="s">
        <v>76</v>
      </c>
      <c r="R406" s="422" t="s">
        <v>76</v>
      </c>
    </row>
    <row r="407" spans="1:18">
      <c r="A407" s="420" t="s">
        <v>7642</v>
      </c>
      <c r="B407" s="421" t="s">
        <v>7643</v>
      </c>
      <c r="C407" s="421" t="s">
        <v>7644</v>
      </c>
      <c r="D407" s="421" t="s">
        <v>7659</v>
      </c>
      <c r="E407" s="421" t="s">
        <v>76</v>
      </c>
      <c r="F407" s="421" t="s">
        <v>76</v>
      </c>
      <c r="G407" s="421" t="s">
        <v>76</v>
      </c>
      <c r="H407" s="421" t="s">
        <v>76</v>
      </c>
      <c r="I407" s="421" t="s">
        <v>76</v>
      </c>
      <c r="J407" s="421" t="s">
        <v>76</v>
      </c>
      <c r="K407" s="421" t="s">
        <v>76</v>
      </c>
      <c r="L407" s="421" t="s">
        <v>76</v>
      </c>
      <c r="M407" s="421" t="s">
        <v>76</v>
      </c>
      <c r="N407" s="421" t="s">
        <v>7043</v>
      </c>
      <c r="O407" s="421" t="s">
        <v>76</v>
      </c>
      <c r="P407" s="421" t="s">
        <v>76</v>
      </c>
      <c r="Q407" s="421" t="s">
        <v>76</v>
      </c>
      <c r="R407" s="422" t="s">
        <v>76</v>
      </c>
    </row>
    <row r="408" spans="1:18">
      <c r="A408" s="420" t="s">
        <v>7642</v>
      </c>
      <c r="B408" s="421" t="s">
        <v>7643</v>
      </c>
      <c r="C408" s="421" t="s">
        <v>7644</v>
      </c>
      <c r="D408" s="421" t="s">
        <v>7660</v>
      </c>
      <c r="E408" s="421" t="s">
        <v>76</v>
      </c>
      <c r="F408" s="421" t="s">
        <v>76</v>
      </c>
      <c r="G408" s="421" t="s">
        <v>76</v>
      </c>
      <c r="H408" s="421" t="s">
        <v>76</v>
      </c>
      <c r="I408" s="421" t="s">
        <v>76</v>
      </c>
      <c r="J408" s="421" t="s">
        <v>76</v>
      </c>
      <c r="K408" s="421" t="s">
        <v>76</v>
      </c>
      <c r="L408" s="421" t="s">
        <v>76</v>
      </c>
      <c r="M408" s="421" t="s">
        <v>76</v>
      </c>
      <c r="N408" s="421" t="s">
        <v>7043</v>
      </c>
      <c r="O408" s="421" t="s">
        <v>76</v>
      </c>
      <c r="P408" s="421" t="s">
        <v>76</v>
      </c>
      <c r="Q408" s="421" t="s">
        <v>76</v>
      </c>
      <c r="R408" s="422" t="s">
        <v>76</v>
      </c>
    </row>
    <row r="409" spans="1:18">
      <c r="A409" s="420" t="s">
        <v>7642</v>
      </c>
      <c r="B409" s="421" t="s">
        <v>7643</v>
      </c>
      <c r="C409" s="421" t="s">
        <v>7644</v>
      </c>
      <c r="D409" s="421" t="s">
        <v>7661</v>
      </c>
      <c r="E409" s="421" t="s">
        <v>76</v>
      </c>
      <c r="F409" s="421" t="s">
        <v>76</v>
      </c>
      <c r="G409" s="421" t="s">
        <v>76</v>
      </c>
      <c r="H409" s="421" t="s">
        <v>76</v>
      </c>
      <c r="I409" s="421" t="s">
        <v>76</v>
      </c>
      <c r="J409" s="421" t="s">
        <v>76</v>
      </c>
      <c r="K409" s="421" t="s">
        <v>76</v>
      </c>
      <c r="L409" s="421" t="s">
        <v>76</v>
      </c>
      <c r="M409" s="421" t="s">
        <v>76</v>
      </c>
      <c r="N409" s="421" t="s">
        <v>7043</v>
      </c>
      <c r="O409" s="421" t="s">
        <v>76</v>
      </c>
      <c r="P409" s="421" t="s">
        <v>76</v>
      </c>
      <c r="Q409" s="421" t="s">
        <v>76</v>
      </c>
      <c r="R409" s="422" t="s">
        <v>76</v>
      </c>
    </row>
    <row r="410" spans="1:18">
      <c r="A410" s="420" t="s">
        <v>7642</v>
      </c>
      <c r="B410" s="421" t="s">
        <v>7643</v>
      </c>
      <c r="C410" s="421" t="s">
        <v>7644</v>
      </c>
      <c r="D410" s="421" t="s">
        <v>7662</v>
      </c>
      <c r="E410" s="421" t="s">
        <v>76</v>
      </c>
      <c r="F410" s="421" t="s">
        <v>76</v>
      </c>
      <c r="G410" s="421" t="s">
        <v>76</v>
      </c>
      <c r="H410" s="421" t="s">
        <v>76</v>
      </c>
      <c r="I410" s="421" t="s">
        <v>76</v>
      </c>
      <c r="J410" s="421" t="s">
        <v>76</v>
      </c>
      <c r="K410" s="421" t="s">
        <v>76</v>
      </c>
      <c r="L410" s="421" t="s">
        <v>76</v>
      </c>
      <c r="M410" s="421" t="s">
        <v>76</v>
      </c>
      <c r="N410" s="421" t="s">
        <v>7043</v>
      </c>
      <c r="O410" s="421" t="s">
        <v>76</v>
      </c>
      <c r="P410" s="421" t="s">
        <v>76</v>
      </c>
      <c r="Q410" s="421" t="s">
        <v>76</v>
      </c>
      <c r="R410" s="422" t="s">
        <v>76</v>
      </c>
    </row>
    <row r="411" spans="1:18">
      <c r="A411" s="420" t="s">
        <v>7642</v>
      </c>
      <c r="B411" s="421" t="s">
        <v>7643</v>
      </c>
      <c r="C411" s="421" t="s">
        <v>7644</v>
      </c>
      <c r="D411" s="421" t="s">
        <v>7663</v>
      </c>
      <c r="E411" s="421" t="s">
        <v>76</v>
      </c>
      <c r="F411" s="421" t="s">
        <v>76</v>
      </c>
      <c r="G411" s="421" t="s">
        <v>76</v>
      </c>
      <c r="H411" s="421" t="s">
        <v>76</v>
      </c>
      <c r="I411" s="421" t="s">
        <v>76</v>
      </c>
      <c r="J411" s="421" t="s">
        <v>76</v>
      </c>
      <c r="K411" s="421" t="s">
        <v>76</v>
      </c>
      <c r="L411" s="421" t="s">
        <v>76</v>
      </c>
      <c r="M411" s="421" t="s">
        <v>76</v>
      </c>
      <c r="N411" s="421" t="s">
        <v>7043</v>
      </c>
      <c r="O411" s="421" t="s">
        <v>76</v>
      </c>
      <c r="P411" s="421" t="s">
        <v>76</v>
      </c>
      <c r="Q411" s="421" t="s">
        <v>76</v>
      </c>
      <c r="R411" s="422" t="s">
        <v>76</v>
      </c>
    </row>
    <row r="412" spans="1:18">
      <c r="A412" s="420" t="s">
        <v>7642</v>
      </c>
      <c r="B412" s="421" t="s">
        <v>7643</v>
      </c>
      <c r="C412" s="421" t="s">
        <v>7644</v>
      </c>
      <c r="D412" s="421" t="s">
        <v>7664</v>
      </c>
      <c r="E412" s="421" t="s">
        <v>76</v>
      </c>
      <c r="F412" s="421" t="s">
        <v>76</v>
      </c>
      <c r="G412" s="421" t="s">
        <v>76</v>
      </c>
      <c r="H412" s="421" t="s">
        <v>76</v>
      </c>
      <c r="I412" s="421" t="s">
        <v>76</v>
      </c>
      <c r="J412" s="421" t="s">
        <v>76</v>
      </c>
      <c r="K412" s="421" t="s">
        <v>76</v>
      </c>
      <c r="L412" s="421" t="s">
        <v>76</v>
      </c>
      <c r="M412" s="421" t="s">
        <v>76</v>
      </c>
      <c r="N412" s="421" t="s">
        <v>7043</v>
      </c>
      <c r="O412" s="421" t="s">
        <v>76</v>
      </c>
      <c r="P412" s="421" t="s">
        <v>76</v>
      </c>
      <c r="Q412" s="421" t="s">
        <v>76</v>
      </c>
      <c r="R412" s="422" t="s">
        <v>76</v>
      </c>
    </row>
    <row r="413" spans="1:18">
      <c r="A413" s="420" t="s">
        <v>7642</v>
      </c>
      <c r="B413" s="421" t="s">
        <v>7643</v>
      </c>
      <c r="C413" s="421" t="s">
        <v>7644</v>
      </c>
      <c r="D413" s="421" t="s">
        <v>7665</v>
      </c>
      <c r="E413" s="421" t="s">
        <v>76</v>
      </c>
      <c r="F413" s="421" t="s">
        <v>76</v>
      </c>
      <c r="G413" s="421" t="s">
        <v>76</v>
      </c>
      <c r="H413" s="421" t="s">
        <v>76</v>
      </c>
      <c r="I413" s="421" t="s">
        <v>76</v>
      </c>
      <c r="J413" s="421" t="s">
        <v>76</v>
      </c>
      <c r="K413" s="421" t="s">
        <v>76</v>
      </c>
      <c r="L413" s="421" t="s">
        <v>76</v>
      </c>
      <c r="M413" s="421" t="s">
        <v>76</v>
      </c>
      <c r="N413" s="421" t="s">
        <v>7043</v>
      </c>
      <c r="O413" s="421" t="s">
        <v>76</v>
      </c>
      <c r="P413" s="421" t="s">
        <v>76</v>
      </c>
      <c r="Q413" s="421" t="s">
        <v>76</v>
      </c>
      <c r="R413" s="422" t="s">
        <v>76</v>
      </c>
    </row>
    <row r="414" spans="1:18">
      <c r="A414" s="420" t="s">
        <v>7642</v>
      </c>
      <c r="B414" s="421" t="s">
        <v>7643</v>
      </c>
      <c r="C414" s="421" t="s">
        <v>7644</v>
      </c>
      <c r="D414" s="421" t="s">
        <v>7666</v>
      </c>
      <c r="E414" s="421" t="s">
        <v>76</v>
      </c>
      <c r="F414" s="421" t="s">
        <v>76</v>
      </c>
      <c r="G414" s="421" t="s">
        <v>76</v>
      </c>
      <c r="H414" s="421" t="s">
        <v>76</v>
      </c>
      <c r="I414" s="421" t="s">
        <v>76</v>
      </c>
      <c r="J414" s="421" t="s">
        <v>76</v>
      </c>
      <c r="K414" s="421" t="s">
        <v>76</v>
      </c>
      <c r="L414" s="421" t="s">
        <v>76</v>
      </c>
      <c r="M414" s="421" t="s">
        <v>76</v>
      </c>
      <c r="N414" s="421" t="s">
        <v>7043</v>
      </c>
      <c r="O414" s="421" t="s">
        <v>76</v>
      </c>
      <c r="P414" s="421" t="s">
        <v>76</v>
      </c>
      <c r="Q414" s="421" t="s">
        <v>76</v>
      </c>
      <c r="R414" s="422" t="s">
        <v>76</v>
      </c>
    </row>
    <row r="415" spans="1:18">
      <c r="A415" s="420" t="s">
        <v>7642</v>
      </c>
      <c r="B415" s="421" t="s">
        <v>7643</v>
      </c>
      <c r="C415" s="421" t="s">
        <v>7644</v>
      </c>
      <c r="D415" s="421" t="s">
        <v>7667</v>
      </c>
      <c r="E415" s="421" t="s">
        <v>76</v>
      </c>
      <c r="F415" s="421" t="s">
        <v>76</v>
      </c>
      <c r="G415" s="421" t="s">
        <v>76</v>
      </c>
      <c r="H415" s="421" t="s">
        <v>76</v>
      </c>
      <c r="I415" s="421" t="s">
        <v>76</v>
      </c>
      <c r="J415" s="421" t="s">
        <v>76</v>
      </c>
      <c r="K415" s="421" t="s">
        <v>76</v>
      </c>
      <c r="L415" s="421" t="s">
        <v>76</v>
      </c>
      <c r="M415" s="421" t="s">
        <v>76</v>
      </c>
      <c r="N415" s="421" t="s">
        <v>7043</v>
      </c>
      <c r="O415" s="421" t="s">
        <v>76</v>
      </c>
      <c r="P415" s="421" t="s">
        <v>76</v>
      </c>
      <c r="Q415" s="421" t="s">
        <v>76</v>
      </c>
      <c r="R415" s="422" t="s">
        <v>76</v>
      </c>
    </row>
    <row r="416" spans="1:18">
      <c r="A416" s="420" t="s">
        <v>7642</v>
      </c>
      <c r="B416" s="421" t="s">
        <v>7643</v>
      </c>
      <c r="C416" s="421" t="s">
        <v>7644</v>
      </c>
      <c r="D416" s="421" t="s">
        <v>7668</v>
      </c>
      <c r="E416" s="421" t="s">
        <v>76</v>
      </c>
      <c r="F416" s="421" t="s">
        <v>76</v>
      </c>
      <c r="G416" s="421" t="s">
        <v>76</v>
      </c>
      <c r="H416" s="421" t="s">
        <v>76</v>
      </c>
      <c r="I416" s="421" t="s">
        <v>76</v>
      </c>
      <c r="J416" s="421" t="s">
        <v>76</v>
      </c>
      <c r="K416" s="421" t="s">
        <v>76</v>
      </c>
      <c r="L416" s="421" t="s">
        <v>76</v>
      </c>
      <c r="M416" s="421" t="s">
        <v>76</v>
      </c>
      <c r="N416" s="421" t="s">
        <v>7043</v>
      </c>
      <c r="O416" s="421" t="s">
        <v>76</v>
      </c>
      <c r="P416" s="421" t="s">
        <v>76</v>
      </c>
      <c r="Q416" s="421" t="s">
        <v>76</v>
      </c>
      <c r="R416" s="422" t="s">
        <v>76</v>
      </c>
    </row>
    <row r="417" spans="1:18">
      <c r="A417" s="420" t="s">
        <v>7642</v>
      </c>
      <c r="B417" s="421" t="s">
        <v>7643</v>
      </c>
      <c r="C417" s="421" t="s">
        <v>7644</v>
      </c>
      <c r="D417" s="421" t="s">
        <v>7669</v>
      </c>
      <c r="E417" s="421" t="s">
        <v>76</v>
      </c>
      <c r="F417" s="421" t="s">
        <v>76</v>
      </c>
      <c r="G417" s="421" t="s">
        <v>76</v>
      </c>
      <c r="H417" s="421" t="s">
        <v>76</v>
      </c>
      <c r="I417" s="421" t="s">
        <v>76</v>
      </c>
      <c r="J417" s="421" t="s">
        <v>76</v>
      </c>
      <c r="K417" s="421" t="s">
        <v>76</v>
      </c>
      <c r="L417" s="421" t="s">
        <v>76</v>
      </c>
      <c r="M417" s="421" t="s">
        <v>76</v>
      </c>
      <c r="N417" s="421" t="s">
        <v>7043</v>
      </c>
      <c r="O417" s="421" t="s">
        <v>76</v>
      </c>
      <c r="P417" s="421" t="s">
        <v>76</v>
      </c>
      <c r="Q417" s="421" t="s">
        <v>76</v>
      </c>
      <c r="R417" s="422" t="s">
        <v>76</v>
      </c>
    </row>
    <row r="418" spans="1:18">
      <c r="A418" s="420" t="s">
        <v>7642</v>
      </c>
      <c r="B418" s="421" t="s">
        <v>7643</v>
      </c>
      <c r="C418" s="421" t="s">
        <v>7644</v>
      </c>
      <c r="D418" s="421" t="s">
        <v>7670</v>
      </c>
      <c r="E418" s="421" t="s">
        <v>76</v>
      </c>
      <c r="F418" s="421" t="s">
        <v>76</v>
      </c>
      <c r="G418" s="421" t="s">
        <v>76</v>
      </c>
      <c r="H418" s="421" t="s">
        <v>76</v>
      </c>
      <c r="I418" s="421" t="s">
        <v>76</v>
      </c>
      <c r="J418" s="421" t="s">
        <v>76</v>
      </c>
      <c r="K418" s="421" t="s">
        <v>76</v>
      </c>
      <c r="L418" s="421" t="s">
        <v>76</v>
      </c>
      <c r="M418" s="421" t="s">
        <v>76</v>
      </c>
      <c r="N418" s="421" t="s">
        <v>7043</v>
      </c>
      <c r="O418" s="421" t="s">
        <v>76</v>
      </c>
      <c r="P418" s="421" t="s">
        <v>76</v>
      </c>
      <c r="Q418" s="421" t="s">
        <v>76</v>
      </c>
      <c r="R418" s="422" t="s">
        <v>76</v>
      </c>
    </row>
    <row r="419" spans="1:18">
      <c r="A419" s="420" t="s">
        <v>7642</v>
      </c>
      <c r="B419" s="421" t="s">
        <v>7643</v>
      </c>
      <c r="C419" s="421" t="s">
        <v>7644</v>
      </c>
      <c r="D419" s="421" t="s">
        <v>7671</v>
      </c>
      <c r="E419" s="421" t="s">
        <v>76</v>
      </c>
      <c r="F419" s="421" t="s">
        <v>76</v>
      </c>
      <c r="G419" s="421" t="s">
        <v>76</v>
      </c>
      <c r="H419" s="421" t="s">
        <v>76</v>
      </c>
      <c r="I419" s="421" t="s">
        <v>76</v>
      </c>
      <c r="J419" s="421" t="s">
        <v>76</v>
      </c>
      <c r="K419" s="421" t="s">
        <v>76</v>
      </c>
      <c r="L419" s="421" t="s">
        <v>76</v>
      </c>
      <c r="M419" s="421" t="s">
        <v>76</v>
      </c>
      <c r="N419" s="421" t="s">
        <v>7043</v>
      </c>
      <c r="O419" s="421" t="s">
        <v>76</v>
      </c>
      <c r="P419" s="421" t="s">
        <v>76</v>
      </c>
      <c r="Q419" s="421" t="s">
        <v>76</v>
      </c>
      <c r="R419" s="422" t="s">
        <v>76</v>
      </c>
    </row>
    <row r="420" spans="1:18">
      <c r="A420" s="420" t="s">
        <v>7642</v>
      </c>
      <c r="B420" s="421" t="s">
        <v>7643</v>
      </c>
      <c r="C420" s="421" t="s">
        <v>7644</v>
      </c>
      <c r="D420" s="421" t="s">
        <v>7672</v>
      </c>
      <c r="E420" s="421" t="s">
        <v>76</v>
      </c>
      <c r="F420" s="421" t="s">
        <v>76</v>
      </c>
      <c r="G420" s="421" t="s">
        <v>76</v>
      </c>
      <c r="H420" s="421" t="s">
        <v>76</v>
      </c>
      <c r="I420" s="421" t="s">
        <v>76</v>
      </c>
      <c r="J420" s="421" t="s">
        <v>76</v>
      </c>
      <c r="K420" s="421" t="s">
        <v>76</v>
      </c>
      <c r="L420" s="421" t="s">
        <v>76</v>
      </c>
      <c r="M420" s="421" t="s">
        <v>76</v>
      </c>
      <c r="N420" s="421" t="s">
        <v>7043</v>
      </c>
      <c r="O420" s="421" t="s">
        <v>76</v>
      </c>
      <c r="P420" s="421" t="s">
        <v>76</v>
      </c>
      <c r="Q420" s="421" t="s">
        <v>76</v>
      </c>
      <c r="R420" s="422" t="s">
        <v>76</v>
      </c>
    </row>
    <row r="421" spans="1:18">
      <c r="A421" s="420" t="s">
        <v>7642</v>
      </c>
      <c r="B421" s="421" t="s">
        <v>7643</v>
      </c>
      <c r="C421" s="421" t="s">
        <v>7644</v>
      </c>
      <c r="D421" s="421" t="s">
        <v>7673</v>
      </c>
      <c r="E421" s="421" t="s">
        <v>76</v>
      </c>
      <c r="F421" s="421" t="s">
        <v>76</v>
      </c>
      <c r="G421" s="421" t="s">
        <v>76</v>
      </c>
      <c r="H421" s="421" t="s">
        <v>76</v>
      </c>
      <c r="I421" s="421" t="s">
        <v>76</v>
      </c>
      <c r="J421" s="421" t="s">
        <v>76</v>
      </c>
      <c r="K421" s="421" t="s">
        <v>76</v>
      </c>
      <c r="L421" s="421" t="s">
        <v>76</v>
      </c>
      <c r="M421" s="421" t="s">
        <v>76</v>
      </c>
      <c r="N421" s="421" t="s">
        <v>7043</v>
      </c>
      <c r="O421" s="421" t="s">
        <v>76</v>
      </c>
      <c r="P421" s="421" t="s">
        <v>76</v>
      </c>
      <c r="Q421" s="421" t="s">
        <v>76</v>
      </c>
      <c r="R421" s="422" t="s">
        <v>76</v>
      </c>
    </row>
    <row r="422" spans="1:18">
      <c r="A422" s="420" t="s">
        <v>7642</v>
      </c>
      <c r="B422" s="421" t="s">
        <v>7643</v>
      </c>
      <c r="C422" s="421" t="s">
        <v>7644</v>
      </c>
      <c r="D422" s="421" t="s">
        <v>7674</v>
      </c>
      <c r="E422" s="421" t="s">
        <v>76</v>
      </c>
      <c r="F422" s="421" t="s">
        <v>76</v>
      </c>
      <c r="G422" s="421" t="s">
        <v>76</v>
      </c>
      <c r="H422" s="421" t="s">
        <v>76</v>
      </c>
      <c r="I422" s="421" t="s">
        <v>76</v>
      </c>
      <c r="J422" s="421" t="s">
        <v>76</v>
      </c>
      <c r="K422" s="421" t="s">
        <v>76</v>
      </c>
      <c r="L422" s="421" t="s">
        <v>76</v>
      </c>
      <c r="M422" s="421" t="s">
        <v>76</v>
      </c>
      <c r="N422" s="421" t="s">
        <v>7043</v>
      </c>
      <c r="O422" s="421" t="s">
        <v>76</v>
      </c>
      <c r="P422" s="421" t="s">
        <v>76</v>
      </c>
      <c r="Q422" s="421" t="s">
        <v>76</v>
      </c>
      <c r="R422" s="422" t="s">
        <v>76</v>
      </c>
    </row>
    <row r="423" spans="1:18">
      <c r="A423" s="420" t="s">
        <v>7642</v>
      </c>
      <c r="B423" s="421" t="s">
        <v>7643</v>
      </c>
      <c r="C423" s="421" t="s">
        <v>7644</v>
      </c>
      <c r="D423" s="421" t="s">
        <v>7675</v>
      </c>
      <c r="E423" s="421" t="s">
        <v>76</v>
      </c>
      <c r="F423" s="421" t="s">
        <v>76</v>
      </c>
      <c r="G423" s="421" t="s">
        <v>76</v>
      </c>
      <c r="H423" s="421" t="s">
        <v>76</v>
      </c>
      <c r="I423" s="421" t="s">
        <v>76</v>
      </c>
      <c r="J423" s="421" t="s">
        <v>76</v>
      </c>
      <c r="K423" s="421" t="s">
        <v>76</v>
      </c>
      <c r="L423" s="421" t="s">
        <v>76</v>
      </c>
      <c r="M423" s="421" t="s">
        <v>76</v>
      </c>
      <c r="N423" s="421" t="s">
        <v>7043</v>
      </c>
      <c r="O423" s="421" t="s">
        <v>76</v>
      </c>
      <c r="P423" s="421" t="s">
        <v>76</v>
      </c>
      <c r="Q423" s="421" t="s">
        <v>76</v>
      </c>
      <c r="R423" s="422" t="s">
        <v>76</v>
      </c>
    </row>
    <row r="424" spans="1:18">
      <c r="A424" s="420" t="s">
        <v>7642</v>
      </c>
      <c r="B424" s="421" t="s">
        <v>7643</v>
      </c>
      <c r="C424" s="421" t="s">
        <v>7644</v>
      </c>
      <c r="D424" s="421" t="s">
        <v>7676</v>
      </c>
      <c r="E424" s="421" t="s">
        <v>76</v>
      </c>
      <c r="F424" s="421" t="s">
        <v>76</v>
      </c>
      <c r="G424" s="421" t="s">
        <v>76</v>
      </c>
      <c r="H424" s="421" t="s">
        <v>76</v>
      </c>
      <c r="I424" s="421" t="s">
        <v>76</v>
      </c>
      <c r="J424" s="421" t="s">
        <v>76</v>
      </c>
      <c r="K424" s="421" t="s">
        <v>76</v>
      </c>
      <c r="L424" s="421" t="s">
        <v>76</v>
      </c>
      <c r="M424" s="421" t="s">
        <v>76</v>
      </c>
      <c r="N424" s="421" t="s">
        <v>7043</v>
      </c>
      <c r="O424" s="421" t="s">
        <v>76</v>
      </c>
      <c r="P424" s="421" t="s">
        <v>76</v>
      </c>
      <c r="Q424" s="421" t="s">
        <v>76</v>
      </c>
      <c r="R424" s="422" t="s">
        <v>76</v>
      </c>
    </row>
    <row r="425" spans="1:18">
      <c r="A425" s="420" t="s">
        <v>7677</v>
      </c>
      <c r="B425" s="421" t="s">
        <v>7678</v>
      </c>
      <c r="C425" s="421" t="s">
        <v>7679</v>
      </c>
      <c r="D425" s="421" t="s">
        <v>7680</v>
      </c>
      <c r="E425" s="421" t="s">
        <v>76</v>
      </c>
      <c r="F425" s="421" t="s">
        <v>76</v>
      </c>
      <c r="G425" s="421" t="s">
        <v>76</v>
      </c>
      <c r="H425" s="421" t="s">
        <v>76</v>
      </c>
      <c r="I425" s="421" t="s">
        <v>76</v>
      </c>
      <c r="J425" s="421" t="s">
        <v>76</v>
      </c>
      <c r="K425" s="421" t="s">
        <v>76</v>
      </c>
      <c r="L425" s="421" t="s">
        <v>76</v>
      </c>
      <c r="M425" s="421" t="s">
        <v>76</v>
      </c>
      <c r="N425" s="421" t="s">
        <v>7043</v>
      </c>
      <c r="O425" s="421" t="s">
        <v>76</v>
      </c>
      <c r="P425" s="421" t="s">
        <v>76</v>
      </c>
      <c r="Q425" s="421" t="s">
        <v>76</v>
      </c>
      <c r="R425" s="422" t="s">
        <v>76</v>
      </c>
    </row>
    <row r="426" spans="1:18">
      <c r="A426" s="420" t="s">
        <v>7677</v>
      </c>
      <c r="B426" s="421" t="s">
        <v>7678</v>
      </c>
      <c r="C426" s="421" t="s">
        <v>7679</v>
      </c>
      <c r="D426" s="421" t="s">
        <v>7681</v>
      </c>
      <c r="E426" s="421" t="s">
        <v>76</v>
      </c>
      <c r="F426" s="421" t="s">
        <v>76</v>
      </c>
      <c r="G426" s="421" t="s">
        <v>76</v>
      </c>
      <c r="H426" s="421" t="s">
        <v>76</v>
      </c>
      <c r="I426" s="421" t="s">
        <v>76</v>
      </c>
      <c r="J426" s="421" t="s">
        <v>76</v>
      </c>
      <c r="K426" s="421" t="s">
        <v>76</v>
      </c>
      <c r="L426" s="421" t="s">
        <v>76</v>
      </c>
      <c r="M426" s="421" t="s">
        <v>76</v>
      </c>
      <c r="N426" s="421" t="s">
        <v>7043</v>
      </c>
      <c r="O426" s="421" t="s">
        <v>76</v>
      </c>
      <c r="P426" s="421" t="s">
        <v>76</v>
      </c>
      <c r="Q426" s="421" t="s">
        <v>76</v>
      </c>
      <c r="R426" s="422" t="s">
        <v>76</v>
      </c>
    </row>
    <row r="427" spans="1:18">
      <c r="A427" s="420" t="s">
        <v>7677</v>
      </c>
      <c r="B427" s="421" t="s">
        <v>7678</v>
      </c>
      <c r="C427" s="421" t="s">
        <v>7679</v>
      </c>
      <c r="D427" s="421" t="s">
        <v>7682</v>
      </c>
      <c r="E427" s="421" t="s">
        <v>76</v>
      </c>
      <c r="F427" s="421" t="s">
        <v>76</v>
      </c>
      <c r="G427" s="421" t="s">
        <v>76</v>
      </c>
      <c r="H427" s="421" t="s">
        <v>76</v>
      </c>
      <c r="I427" s="421" t="s">
        <v>76</v>
      </c>
      <c r="J427" s="421" t="s">
        <v>76</v>
      </c>
      <c r="K427" s="421" t="s">
        <v>76</v>
      </c>
      <c r="L427" s="421" t="s">
        <v>76</v>
      </c>
      <c r="M427" s="421" t="s">
        <v>76</v>
      </c>
      <c r="N427" s="421" t="s">
        <v>7043</v>
      </c>
      <c r="O427" s="421" t="s">
        <v>76</v>
      </c>
      <c r="P427" s="421" t="s">
        <v>76</v>
      </c>
      <c r="Q427" s="421" t="s">
        <v>76</v>
      </c>
      <c r="R427" s="422" t="s">
        <v>76</v>
      </c>
    </row>
    <row r="428" spans="1:18">
      <c r="A428" s="420" t="s">
        <v>7677</v>
      </c>
      <c r="B428" s="421" t="s">
        <v>7678</v>
      </c>
      <c r="C428" s="421" t="s">
        <v>7679</v>
      </c>
      <c r="D428" s="421" t="s">
        <v>7683</v>
      </c>
      <c r="E428" s="421" t="s">
        <v>76</v>
      </c>
      <c r="F428" s="421" t="s">
        <v>76</v>
      </c>
      <c r="G428" s="421" t="s">
        <v>76</v>
      </c>
      <c r="H428" s="421" t="s">
        <v>76</v>
      </c>
      <c r="I428" s="421" t="s">
        <v>76</v>
      </c>
      <c r="J428" s="421" t="s">
        <v>76</v>
      </c>
      <c r="K428" s="421" t="s">
        <v>76</v>
      </c>
      <c r="L428" s="421" t="s">
        <v>76</v>
      </c>
      <c r="M428" s="421" t="s">
        <v>76</v>
      </c>
      <c r="N428" s="421" t="s">
        <v>7043</v>
      </c>
      <c r="O428" s="421" t="s">
        <v>76</v>
      </c>
      <c r="P428" s="421" t="s">
        <v>76</v>
      </c>
      <c r="Q428" s="421" t="s">
        <v>76</v>
      </c>
      <c r="R428" s="422" t="s">
        <v>76</v>
      </c>
    </row>
    <row r="429" spans="1:18">
      <c r="A429" s="420" t="s">
        <v>7677</v>
      </c>
      <c r="B429" s="421" t="s">
        <v>7678</v>
      </c>
      <c r="C429" s="421" t="s">
        <v>7679</v>
      </c>
      <c r="D429" s="421" t="s">
        <v>7684</v>
      </c>
      <c r="E429" s="421" t="s">
        <v>76</v>
      </c>
      <c r="F429" s="421" t="s">
        <v>76</v>
      </c>
      <c r="G429" s="421" t="s">
        <v>76</v>
      </c>
      <c r="H429" s="421" t="s">
        <v>76</v>
      </c>
      <c r="I429" s="421" t="s">
        <v>76</v>
      </c>
      <c r="J429" s="421" t="s">
        <v>76</v>
      </c>
      <c r="K429" s="421" t="s">
        <v>76</v>
      </c>
      <c r="L429" s="421" t="s">
        <v>76</v>
      </c>
      <c r="M429" s="421" t="s">
        <v>76</v>
      </c>
      <c r="N429" s="421" t="s">
        <v>7043</v>
      </c>
      <c r="O429" s="421" t="s">
        <v>76</v>
      </c>
      <c r="P429" s="421" t="s">
        <v>76</v>
      </c>
      <c r="Q429" s="421" t="s">
        <v>76</v>
      </c>
      <c r="R429" s="422" t="s">
        <v>76</v>
      </c>
    </row>
    <row r="430" spans="1:18">
      <c r="A430" s="420" t="s">
        <v>7677</v>
      </c>
      <c r="B430" s="421" t="s">
        <v>7678</v>
      </c>
      <c r="C430" s="421" t="s">
        <v>7679</v>
      </c>
      <c r="D430" s="421" t="s">
        <v>7685</v>
      </c>
      <c r="E430" s="421" t="s">
        <v>76</v>
      </c>
      <c r="F430" s="421" t="s">
        <v>76</v>
      </c>
      <c r="G430" s="421" t="s">
        <v>76</v>
      </c>
      <c r="H430" s="421" t="s">
        <v>76</v>
      </c>
      <c r="I430" s="421" t="s">
        <v>76</v>
      </c>
      <c r="J430" s="421" t="s">
        <v>76</v>
      </c>
      <c r="K430" s="421" t="s">
        <v>76</v>
      </c>
      <c r="L430" s="421" t="s">
        <v>76</v>
      </c>
      <c r="M430" s="421" t="s">
        <v>76</v>
      </c>
      <c r="N430" s="421" t="s">
        <v>7043</v>
      </c>
      <c r="O430" s="421" t="s">
        <v>76</v>
      </c>
      <c r="P430" s="421" t="s">
        <v>76</v>
      </c>
      <c r="Q430" s="421" t="s">
        <v>76</v>
      </c>
      <c r="R430" s="422" t="s">
        <v>76</v>
      </c>
    </row>
    <row r="431" spans="1:18">
      <c r="A431" s="420" t="s">
        <v>7677</v>
      </c>
      <c r="B431" s="421" t="s">
        <v>7678</v>
      </c>
      <c r="C431" s="421" t="s">
        <v>7679</v>
      </c>
      <c r="D431" s="421" t="s">
        <v>7686</v>
      </c>
      <c r="E431" s="421" t="s">
        <v>76</v>
      </c>
      <c r="F431" s="421" t="s">
        <v>76</v>
      </c>
      <c r="G431" s="421" t="s">
        <v>76</v>
      </c>
      <c r="H431" s="421" t="s">
        <v>76</v>
      </c>
      <c r="I431" s="421" t="s">
        <v>76</v>
      </c>
      <c r="J431" s="421" t="s">
        <v>76</v>
      </c>
      <c r="K431" s="421" t="s">
        <v>76</v>
      </c>
      <c r="L431" s="421" t="s">
        <v>76</v>
      </c>
      <c r="M431" s="421" t="s">
        <v>76</v>
      </c>
      <c r="N431" s="421" t="s">
        <v>7043</v>
      </c>
      <c r="O431" s="421" t="s">
        <v>76</v>
      </c>
      <c r="P431" s="421" t="s">
        <v>76</v>
      </c>
      <c r="Q431" s="421" t="s">
        <v>76</v>
      </c>
      <c r="R431" s="422" t="s">
        <v>76</v>
      </c>
    </row>
    <row r="432" spans="1:18">
      <c r="A432" s="420" t="s">
        <v>7677</v>
      </c>
      <c r="B432" s="421" t="s">
        <v>7678</v>
      </c>
      <c r="C432" s="421" t="s">
        <v>7679</v>
      </c>
      <c r="D432" s="421" t="s">
        <v>7687</v>
      </c>
      <c r="E432" s="421" t="s">
        <v>76</v>
      </c>
      <c r="F432" s="421" t="s">
        <v>76</v>
      </c>
      <c r="G432" s="421" t="s">
        <v>76</v>
      </c>
      <c r="H432" s="421" t="s">
        <v>76</v>
      </c>
      <c r="I432" s="421" t="s">
        <v>76</v>
      </c>
      <c r="J432" s="421" t="s">
        <v>76</v>
      </c>
      <c r="K432" s="421" t="s">
        <v>76</v>
      </c>
      <c r="L432" s="421" t="s">
        <v>76</v>
      </c>
      <c r="M432" s="421" t="s">
        <v>76</v>
      </c>
      <c r="N432" s="421" t="s">
        <v>7043</v>
      </c>
      <c r="O432" s="421" t="s">
        <v>76</v>
      </c>
      <c r="P432" s="421" t="s">
        <v>76</v>
      </c>
      <c r="Q432" s="421" t="s">
        <v>76</v>
      </c>
      <c r="R432" s="422" t="s">
        <v>76</v>
      </c>
    </row>
    <row r="433" spans="1:18">
      <c r="A433" s="420" t="s">
        <v>7677</v>
      </c>
      <c r="B433" s="421" t="s">
        <v>7678</v>
      </c>
      <c r="C433" s="421" t="s">
        <v>7679</v>
      </c>
      <c r="D433" s="421" t="s">
        <v>7688</v>
      </c>
      <c r="E433" s="421" t="s">
        <v>76</v>
      </c>
      <c r="F433" s="421" t="s">
        <v>76</v>
      </c>
      <c r="G433" s="421" t="s">
        <v>76</v>
      </c>
      <c r="H433" s="421" t="s">
        <v>76</v>
      </c>
      <c r="I433" s="421" t="s">
        <v>76</v>
      </c>
      <c r="J433" s="421" t="s">
        <v>76</v>
      </c>
      <c r="K433" s="421" t="s">
        <v>76</v>
      </c>
      <c r="L433" s="421" t="s">
        <v>76</v>
      </c>
      <c r="M433" s="421" t="s">
        <v>76</v>
      </c>
      <c r="N433" s="421" t="s">
        <v>7043</v>
      </c>
      <c r="O433" s="421" t="s">
        <v>76</v>
      </c>
      <c r="P433" s="421" t="s">
        <v>76</v>
      </c>
      <c r="Q433" s="421" t="s">
        <v>76</v>
      </c>
      <c r="R433" s="422" t="s">
        <v>76</v>
      </c>
    </row>
    <row r="434" spans="1:18">
      <c r="A434" s="420" t="s">
        <v>7677</v>
      </c>
      <c r="B434" s="421" t="s">
        <v>7678</v>
      </c>
      <c r="C434" s="421" t="s">
        <v>7679</v>
      </c>
      <c r="D434" s="421" t="s">
        <v>7689</v>
      </c>
      <c r="E434" s="421" t="s">
        <v>76</v>
      </c>
      <c r="F434" s="421" t="s">
        <v>76</v>
      </c>
      <c r="G434" s="421" t="s">
        <v>76</v>
      </c>
      <c r="H434" s="421" t="s">
        <v>76</v>
      </c>
      <c r="I434" s="421" t="s">
        <v>76</v>
      </c>
      <c r="J434" s="421" t="s">
        <v>76</v>
      </c>
      <c r="K434" s="421" t="s">
        <v>76</v>
      </c>
      <c r="L434" s="421" t="s">
        <v>76</v>
      </c>
      <c r="M434" s="421" t="s">
        <v>76</v>
      </c>
      <c r="N434" s="421" t="s">
        <v>7043</v>
      </c>
      <c r="O434" s="421" t="s">
        <v>76</v>
      </c>
      <c r="P434" s="421" t="s">
        <v>76</v>
      </c>
      <c r="Q434" s="421" t="s">
        <v>76</v>
      </c>
      <c r="R434" s="422" t="s">
        <v>76</v>
      </c>
    </row>
    <row r="435" spans="1:18">
      <c r="A435" s="420" t="s">
        <v>7677</v>
      </c>
      <c r="B435" s="421" t="s">
        <v>7678</v>
      </c>
      <c r="C435" s="421" t="s">
        <v>7679</v>
      </c>
      <c r="D435" s="421" t="s">
        <v>7690</v>
      </c>
      <c r="E435" s="421" t="s">
        <v>76</v>
      </c>
      <c r="F435" s="421" t="s">
        <v>76</v>
      </c>
      <c r="G435" s="421" t="s">
        <v>76</v>
      </c>
      <c r="H435" s="421" t="s">
        <v>76</v>
      </c>
      <c r="I435" s="421" t="s">
        <v>76</v>
      </c>
      <c r="J435" s="421" t="s">
        <v>76</v>
      </c>
      <c r="K435" s="421" t="s">
        <v>76</v>
      </c>
      <c r="L435" s="421" t="s">
        <v>76</v>
      </c>
      <c r="M435" s="421" t="s">
        <v>76</v>
      </c>
      <c r="N435" s="421" t="s">
        <v>7043</v>
      </c>
      <c r="O435" s="421" t="s">
        <v>76</v>
      </c>
      <c r="P435" s="421" t="s">
        <v>76</v>
      </c>
      <c r="Q435" s="421" t="s">
        <v>76</v>
      </c>
      <c r="R435" s="422" t="s">
        <v>76</v>
      </c>
    </row>
    <row r="436" spans="1:18">
      <c r="A436" s="420" t="s">
        <v>7677</v>
      </c>
      <c r="B436" s="421" t="s">
        <v>7678</v>
      </c>
      <c r="C436" s="421" t="s">
        <v>7679</v>
      </c>
      <c r="D436" s="421" t="s">
        <v>7691</v>
      </c>
      <c r="E436" s="421" t="s">
        <v>76</v>
      </c>
      <c r="F436" s="421" t="s">
        <v>76</v>
      </c>
      <c r="G436" s="421" t="s">
        <v>76</v>
      </c>
      <c r="H436" s="421" t="s">
        <v>76</v>
      </c>
      <c r="I436" s="421" t="s">
        <v>76</v>
      </c>
      <c r="J436" s="421" t="s">
        <v>76</v>
      </c>
      <c r="K436" s="421" t="s">
        <v>76</v>
      </c>
      <c r="L436" s="421" t="s">
        <v>76</v>
      </c>
      <c r="M436" s="421" t="s">
        <v>76</v>
      </c>
      <c r="N436" s="421" t="s">
        <v>7043</v>
      </c>
      <c r="O436" s="421" t="s">
        <v>76</v>
      </c>
      <c r="P436" s="421" t="s">
        <v>76</v>
      </c>
      <c r="Q436" s="421" t="s">
        <v>76</v>
      </c>
      <c r="R436" s="422" t="s">
        <v>76</v>
      </c>
    </row>
    <row r="437" spans="1:18">
      <c r="A437" s="420" t="s">
        <v>7677</v>
      </c>
      <c r="B437" s="421" t="s">
        <v>7678</v>
      </c>
      <c r="C437" s="421" t="s">
        <v>7679</v>
      </c>
      <c r="D437" s="421" t="s">
        <v>7692</v>
      </c>
      <c r="E437" s="421" t="s">
        <v>76</v>
      </c>
      <c r="F437" s="421" t="s">
        <v>76</v>
      </c>
      <c r="G437" s="421" t="s">
        <v>76</v>
      </c>
      <c r="H437" s="421" t="s">
        <v>76</v>
      </c>
      <c r="I437" s="421" t="s">
        <v>76</v>
      </c>
      <c r="J437" s="421" t="s">
        <v>76</v>
      </c>
      <c r="K437" s="421" t="s">
        <v>76</v>
      </c>
      <c r="L437" s="421" t="s">
        <v>76</v>
      </c>
      <c r="M437" s="421" t="s">
        <v>76</v>
      </c>
      <c r="N437" s="421" t="s">
        <v>7043</v>
      </c>
      <c r="O437" s="421" t="s">
        <v>76</v>
      </c>
      <c r="P437" s="421" t="s">
        <v>76</v>
      </c>
      <c r="Q437" s="421" t="s">
        <v>76</v>
      </c>
      <c r="R437" s="422" t="s">
        <v>76</v>
      </c>
    </row>
    <row r="438" spans="1:18">
      <c r="A438" s="420" t="s">
        <v>7677</v>
      </c>
      <c r="B438" s="421" t="s">
        <v>7678</v>
      </c>
      <c r="C438" s="421" t="s">
        <v>7679</v>
      </c>
      <c r="D438" s="421" t="s">
        <v>7693</v>
      </c>
      <c r="E438" s="421" t="s">
        <v>76</v>
      </c>
      <c r="F438" s="421" t="s">
        <v>76</v>
      </c>
      <c r="G438" s="421" t="s">
        <v>76</v>
      </c>
      <c r="H438" s="421" t="s">
        <v>76</v>
      </c>
      <c r="I438" s="421" t="s">
        <v>76</v>
      </c>
      <c r="J438" s="421" t="s">
        <v>76</v>
      </c>
      <c r="K438" s="421" t="s">
        <v>76</v>
      </c>
      <c r="L438" s="421" t="s">
        <v>76</v>
      </c>
      <c r="M438" s="421" t="s">
        <v>76</v>
      </c>
      <c r="N438" s="421" t="s">
        <v>7043</v>
      </c>
      <c r="O438" s="421" t="s">
        <v>76</v>
      </c>
      <c r="P438" s="421" t="s">
        <v>76</v>
      </c>
      <c r="Q438" s="421" t="s">
        <v>76</v>
      </c>
      <c r="R438" s="422" t="s">
        <v>76</v>
      </c>
    </row>
    <row r="439" spans="1:18">
      <c r="A439" s="420" t="s">
        <v>7677</v>
      </c>
      <c r="B439" s="421" t="s">
        <v>7678</v>
      </c>
      <c r="C439" s="421" t="s">
        <v>7679</v>
      </c>
      <c r="D439" s="421" t="s">
        <v>7694</v>
      </c>
      <c r="E439" s="421" t="s">
        <v>76</v>
      </c>
      <c r="F439" s="421" t="s">
        <v>76</v>
      </c>
      <c r="G439" s="421" t="s">
        <v>76</v>
      </c>
      <c r="H439" s="421" t="s">
        <v>76</v>
      </c>
      <c r="I439" s="421" t="s">
        <v>76</v>
      </c>
      <c r="J439" s="421" t="s">
        <v>76</v>
      </c>
      <c r="K439" s="421" t="s">
        <v>76</v>
      </c>
      <c r="L439" s="421" t="s">
        <v>76</v>
      </c>
      <c r="M439" s="421" t="s">
        <v>76</v>
      </c>
      <c r="N439" s="421" t="s">
        <v>7043</v>
      </c>
      <c r="O439" s="421" t="s">
        <v>76</v>
      </c>
      <c r="P439" s="421" t="s">
        <v>76</v>
      </c>
      <c r="Q439" s="421" t="s">
        <v>76</v>
      </c>
      <c r="R439" s="422" t="s">
        <v>76</v>
      </c>
    </row>
    <row r="440" spans="1:18">
      <c r="A440" s="420" t="s">
        <v>7677</v>
      </c>
      <c r="B440" s="421" t="s">
        <v>7678</v>
      </c>
      <c r="C440" s="421" t="s">
        <v>7679</v>
      </c>
      <c r="D440" s="421" t="s">
        <v>7695</v>
      </c>
      <c r="E440" s="421" t="s">
        <v>76</v>
      </c>
      <c r="F440" s="421" t="s">
        <v>76</v>
      </c>
      <c r="G440" s="421" t="s">
        <v>76</v>
      </c>
      <c r="H440" s="421" t="s">
        <v>76</v>
      </c>
      <c r="I440" s="421" t="s">
        <v>76</v>
      </c>
      <c r="J440" s="421" t="s">
        <v>76</v>
      </c>
      <c r="K440" s="421" t="s">
        <v>76</v>
      </c>
      <c r="L440" s="421" t="s">
        <v>76</v>
      </c>
      <c r="M440" s="421" t="s">
        <v>76</v>
      </c>
      <c r="N440" s="421" t="s">
        <v>7043</v>
      </c>
      <c r="O440" s="421" t="s">
        <v>76</v>
      </c>
      <c r="P440" s="421" t="s">
        <v>76</v>
      </c>
      <c r="Q440" s="421" t="s">
        <v>76</v>
      </c>
      <c r="R440" s="422" t="s">
        <v>76</v>
      </c>
    </row>
    <row r="441" spans="1:18">
      <c r="A441" s="420" t="s">
        <v>7677</v>
      </c>
      <c r="B441" s="421" t="s">
        <v>7678</v>
      </c>
      <c r="C441" s="421" t="s">
        <v>7679</v>
      </c>
      <c r="D441" s="421" t="s">
        <v>7696</v>
      </c>
      <c r="E441" s="421" t="s">
        <v>76</v>
      </c>
      <c r="F441" s="421" t="s">
        <v>76</v>
      </c>
      <c r="G441" s="421" t="s">
        <v>76</v>
      </c>
      <c r="H441" s="421" t="s">
        <v>76</v>
      </c>
      <c r="I441" s="421" t="s">
        <v>76</v>
      </c>
      <c r="J441" s="421" t="s">
        <v>76</v>
      </c>
      <c r="K441" s="421" t="s">
        <v>76</v>
      </c>
      <c r="L441" s="421" t="s">
        <v>76</v>
      </c>
      <c r="M441" s="421" t="s">
        <v>76</v>
      </c>
      <c r="N441" s="421" t="s">
        <v>7043</v>
      </c>
      <c r="O441" s="421" t="s">
        <v>76</v>
      </c>
      <c r="P441" s="421" t="s">
        <v>76</v>
      </c>
      <c r="Q441" s="421" t="s">
        <v>76</v>
      </c>
      <c r="R441" s="422" t="s">
        <v>76</v>
      </c>
    </row>
    <row r="442" spans="1:18">
      <c r="A442" s="420" t="s">
        <v>7677</v>
      </c>
      <c r="B442" s="421" t="s">
        <v>7678</v>
      </c>
      <c r="C442" s="421" t="s">
        <v>7679</v>
      </c>
      <c r="D442" s="421" t="s">
        <v>7697</v>
      </c>
      <c r="E442" s="421" t="s">
        <v>76</v>
      </c>
      <c r="F442" s="421" t="s">
        <v>76</v>
      </c>
      <c r="G442" s="421" t="s">
        <v>76</v>
      </c>
      <c r="H442" s="421" t="s">
        <v>76</v>
      </c>
      <c r="I442" s="421" t="s">
        <v>76</v>
      </c>
      <c r="J442" s="421" t="s">
        <v>76</v>
      </c>
      <c r="K442" s="421" t="s">
        <v>76</v>
      </c>
      <c r="L442" s="421" t="s">
        <v>76</v>
      </c>
      <c r="M442" s="421" t="s">
        <v>76</v>
      </c>
      <c r="N442" s="421" t="s">
        <v>7043</v>
      </c>
      <c r="O442" s="421" t="s">
        <v>76</v>
      </c>
      <c r="P442" s="421" t="s">
        <v>76</v>
      </c>
      <c r="Q442" s="421" t="s">
        <v>76</v>
      </c>
      <c r="R442" s="422" t="s">
        <v>76</v>
      </c>
    </row>
    <row r="443" spans="1:18">
      <c r="A443" s="420" t="s">
        <v>7677</v>
      </c>
      <c r="B443" s="421" t="s">
        <v>7678</v>
      </c>
      <c r="C443" s="421" t="s">
        <v>7679</v>
      </c>
      <c r="D443" s="421" t="s">
        <v>7698</v>
      </c>
      <c r="E443" s="421" t="s">
        <v>76</v>
      </c>
      <c r="F443" s="421" t="s">
        <v>76</v>
      </c>
      <c r="G443" s="421" t="s">
        <v>76</v>
      </c>
      <c r="H443" s="421" t="s">
        <v>76</v>
      </c>
      <c r="I443" s="421" t="s">
        <v>76</v>
      </c>
      <c r="J443" s="421" t="s">
        <v>76</v>
      </c>
      <c r="K443" s="421" t="s">
        <v>76</v>
      </c>
      <c r="L443" s="421" t="s">
        <v>76</v>
      </c>
      <c r="M443" s="421" t="s">
        <v>76</v>
      </c>
      <c r="N443" s="421" t="s">
        <v>7043</v>
      </c>
      <c r="O443" s="421" t="s">
        <v>76</v>
      </c>
      <c r="P443" s="421" t="s">
        <v>76</v>
      </c>
      <c r="Q443" s="421" t="s">
        <v>76</v>
      </c>
      <c r="R443" s="422" t="s">
        <v>76</v>
      </c>
    </row>
    <row r="444" spans="1:18">
      <c r="A444" s="420" t="s">
        <v>7677</v>
      </c>
      <c r="B444" s="421" t="s">
        <v>7678</v>
      </c>
      <c r="C444" s="421" t="s">
        <v>7679</v>
      </c>
      <c r="D444" s="421" t="s">
        <v>7699</v>
      </c>
      <c r="E444" s="421" t="s">
        <v>76</v>
      </c>
      <c r="F444" s="421" t="s">
        <v>76</v>
      </c>
      <c r="G444" s="421" t="s">
        <v>76</v>
      </c>
      <c r="H444" s="421" t="s">
        <v>76</v>
      </c>
      <c r="I444" s="421" t="s">
        <v>76</v>
      </c>
      <c r="J444" s="421" t="s">
        <v>76</v>
      </c>
      <c r="K444" s="421" t="s">
        <v>76</v>
      </c>
      <c r="L444" s="421" t="s">
        <v>76</v>
      </c>
      <c r="M444" s="421" t="s">
        <v>76</v>
      </c>
      <c r="N444" s="421" t="s">
        <v>7043</v>
      </c>
      <c r="O444" s="421" t="s">
        <v>76</v>
      </c>
      <c r="P444" s="421" t="s">
        <v>76</v>
      </c>
      <c r="Q444" s="421" t="s">
        <v>76</v>
      </c>
      <c r="R444" s="422" t="s">
        <v>76</v>
      </c>
    </row>
    <row r="445" spans="1:18">
      <c r="A445" s="420" t="s">
        <v>7677</v>
      </c>
      <c r="B445" s="421" t="s">
        <v>7678</v>
      </c>
      <c r="C445" s="421" t="s">
        <v>7679</v>
      </c>
      <c r="D445" s="421" t="s">
        <v>7700</v>
      </c>
      <c r="E445" s="421" t="s">
        <v>76</v>
      </c>
      <c r="F445" s="421" t="s">
        <v>76</v>
      </c>
      <c r="G445" s="421" t="s">
        <v>76</v>
      </c>
      <c r="H445" s="421" t="s">
        <v>76</v>
      </c>
      <c r="I445" s="421" t="s">
        <v>76</v>
      </c>
      <c r="J445" s="421" t="s">
        <v>76</v>
      </c>
      <c r="K445" s="421" t="s">
        <v>76</v>
      </c>
      <c r="L445" s="421" t="s">
        <v>76</v>
      </c>
      <c r="M445" s="421" t="s">
        <v>76</v>
      </c>
      <c r="N445" s="421" t="s">
        <v>7043</v>
      </c>
      <c r="O445" s="421" t="s">
        <v>76</v>
      </c>
      <c r="P445" s="421" t="s">
        <v>76</v>
      </c>
      <c r="Q445" s="421" t="s">
        <v>76</v>
      </c>
      <c r="R445" s="422" t="s">
        <v>76</v>
      </c>
    </row>
    <row r="446" spans="1:18">
      <c r="A446" s="420" t="s">
        <v>7677</v>
      </c>
      <c r="B446" s="421" t="s">
        <v>7678</v>
      </c>
      <c r="C446" s="421" t="s">
        <v>7679</v>
      </c>
      <c r="D446" s="421" t="s">
        <v>7701</v>
      </c>
      <c r="E446" s="421" t="s">
        <v>76</v>
      </c>
      <c r="F446" s="421" t="s">
        <v>76</v>
      </c>
      <c r="G446" s="421" t="s">
        <v>76</v>
      </c>
      <c r="H446" s="421" t="s">
        <v>76</v>
      </c>
      <c r="I446" s="421" t="s">
        <v>76</v>
      </c>
      <c r="J446" s="421" t="s">
        <v>76</v>
      </c>
      <c r="K446" s="421" t="s">
        <v>76</v>
      </c>
      <c r="L446" s="421" t="s">
        <v>76</v>
      </c>
      <c r="M446" s="421" t="s">
        <v>76</v>
      </c>
      <c r="N446" s="421" t="s">
        <v>7043</v>
      </c>
      <c r="O446" s="421" t="s">
        <v>76</v>
      </c>
      <c r="P446" s="421" t="s">
        <v>76</v>
      </c>
      <c r="Q446" s="421" t="s">
        <v>76</v>
      </c>
      <c r="R446" s="422" t="s">
        <v>76</v>
      </c>
    </row>
    <row r="447" spans="1:18">
      <c r="A447" s="420" t="s">
        <v>7677</v>
      </c>
      <c r="B447" s="421" t="s">
        <v>7678</v>
      </c>
      <c r="C447" s="421" t="s">
        <v>7679</v>
      </c>
      <c r="D447" s="421" t="s">
        <v>7702</v>
      </c>
      <c r="E447" s="421" t="s">
        <v>76</v>
      </c>
      <c r="F447" s="421" t="s">
        <v>76</v>
      </c>
      <c r="G447" s="421" t="s">
        <v>76</v>
      </c>
      <c r="H447" s="421" t="s">
        <v>76</v>
      </c>
      <c r="I447" s="421" t="s">
        <v>76</v>
      </c>
      <c r="J447" s="421" t="s">
        <v>76</v>
      </c>
      <c r="K447" s="421" t="s">
        <v>76</v>
      </c>
      <c r="L447" s="421" t="s">
        <v>76</v>
      </c>
      <c r="M447" s="421" t="s">
        <v>76</v>
      </c>
      <c r="N447" s="421" t="s">
        <v>7043</v>
      </c>
      <c r="O447" s="421" t="s">
        <v>76</v>
      </c>
      <c r="P447" s="421" t="s">
        <v>76</v>
      </c>
      <c r="Q447" s="421" t="s">
        <v>76</v>
      </c>
      <c r="R447" s="422" t="s">
        <v>76</v>
      </c>
    </row>
    <row r="448" spans="1:18">
      <c r="A448" s="420" t="s">
        <v>7677</v>
      </c>
      <c r="B448" s="421" t="s">
        <v>7678</v>
      </c>
      <c r="C448" s="421" t="s">
        <v>7679</v>
      </c>
      <c r="D448" s="421" t="s">
        <v>7703</v>
      </c>
      <c r="E448" s="421" t="s">
        <v>76</v>
      </c>
      <c r="F448" s="421" t="s">
        <v>76</v>
      </c>
      <c r="G448" s="421" t="s">
        <v>76</v>
      </c>
      <c r="H448" s="421" t="s">
        <v>76</v>
      </c>
      <c r="I448" s="421" t="s">
        <v>76</v>
      </c>
      <c r="J448" s="421" t="s">
        <v>76</v>
      </c>
      <c r="K448" s="421" t="s">
        <v>76</v>
      </c>
      <c r="L448" s="421" t="s">
        <v>76</v>
      </c>
      <c r="M448" s="421" t="s">
        <v>76</v>
      </c>
      <c r="N448" s="421" t="s">
        <v>7043</v>
      </c>
      <c r="O448" s="421" t="s">
        <v>76</v>
      </c>
      <c r="P448" s="421" t="s">
        <v>76</v>
      </c>
      <c r="Q448" s="421" t="s">
        <v>76</v>
      </c>
      <c r="R448" s="422" t="s">
        <v>76</v>
      </c>
    </row>
    <row r="449" spans="1:18">
      <c r="A449" s="420" t="s">
        <v>7677</v>
      </c>
      <c r="B449" s="421" t="s">
        <v>7678</v>
      </c>
      <c r="C449" s="421" t="s">
        <v>7679</v>
      </c>
      <c r="D449" s="421" t="s">
        <v>7704</v>
      </c>
      <c r="E449" s="421" t="s">
        <v>76</v>
      </c>
      <c r="F449" s="421" t="s">
        <v>76</v>
      </c>
      <c r="G449" s="421" t="s">
        <v>76</v>
      </c>
      <c r="H449" s="421" t="s">
        <v>76</v>
      </c>
      <c r="I449" s="421" t="s">
        <v>76</v>
      </c>
      <c r="J449" s="421" t="s">
        <v>76</v>
      </c>
      <c r="K449" s="421" t="s">
        <v>76</v>
      </c>
      <c r="L449" s="421" t="s">
        <v>76</v>
      </c>
      <c r="M449" s="421" t="s">
        <v>76</v>
      </c>
      <c r="N449" s="421" t="s">
        <v>7043</v>
      </c>
      <c r="O449" s="421" t="s">
        <v>76</v>
      </c>
      <c r="P449" s="421" t="s">
        <v>76</v>
      </c>
      <c r="Q449" s="421" t="s">
        <v>76</v>
      </c>
      <c r="R449" s="422" t="s">
        <v>76</v>
      </c>
    </row>
    <row r="450" spans="1:18">
      <c r="A450" s="420" t="s">
        <v>7677</v>
      </c>
      <c r="B450" s="421" t="s">
        <v>7678</v>
      </c>
      <c r="C450" s="421" t="s">
        <v>7679</v>
      </c>
      <c r="D450" s="421" t="s">
        <v>7705</v>
      </c>
      <c r="E450" s="421" t="s">
        <v>76</v>
      </c>
      <c r="F450" s="421" t="s">
        <v>76</v>
      </c>
      <c r="G450" s="421" t="s">
        <v>76</v>
      </c>
      <c r="H450" s="421" t="s">
        <v>76</v>
      </c>
      <c r="I450" s="421" t="s">
        <v>76</v>
      </c>
      <c r="J450" s="421" t="s">
        <v>76</v>
      </c>
      <c r="K450" s="421" t="s">
        <v>76</v>
      </c>
      <c r="L450" s="421" t="s">
        <v>76</v>
      </c>
      <c r="M450" s="421" t="s">
        <v>76</v>
      </c>
      <c r="N450" s="421" t="s">
        <v>7043</v>
      </c>
      <c r="O450" s="421" t="s">
        <v>76</v>
      </c>
      <c r="P450" s="421" t="s">
        <v>76</v>
      </c>
      <c r="Q450" s="421" t="s">
        <v>76</v>
      </c>
      <c r="R450" s="422" t="s">
        <v>76</v>
      </c>
    </row>
    <row r="451" spans="1:18">
      <c r="A451" s="420" t="s">
        <v>7677</v>
      </c>
      <c r="B451" s="421" t="s">
        <v>7678</v>
      </c>
      <c r="C451" s="421" t="s">
        <v>7679</v>
      </c>
      <c r="D451" s="421" t="s">
        <v>7706</v>
      </c>
      <c r="E451" s="421" t="s">
        <v>76</v>
      </c>
      <c r="F451" s="421" t="s">
        <v>76</v>
      </c>
      <c r="G451" s="421" t="s">
        <v>76</v>
      </c>
      <c r="H451" s="421" t="s">
        <v>76</v>
      </c>
      <c r="I451" s="421" t="s">
        <v>76</v>
      </c>
      <c r="J451" s="421" t="s">
        <v>76</v>
      </c>
      <c r="K451" s="421" t="s">
        <v>76</v>
      </c>
      <c r="L451" s="421" t="s">
        <v>76</v>
      </c>
      <c r="M451" s="421" t="s">
        <v>76</v>
      </c>
      <c r="N451" s="421" t="s">
        <v>7043</v>
      </c>
      <c r="O451" s="421" t="s">
        <v>76</v>
      </c>
      <c r="P451" s="421" t="s">
        <v>76</v>
      </c>
      <c r="Q451" s="421" t="s">
        <v>76</v>
      </c>
      <c r="R451" s="422" t="s">
        <v>76</v>
      </c>
    </row>
    <row r="452" spans="1:18">
      <c r="A452" s="420" t="s">
        <v>7677</v>
      </c>
      <c r="B452" s="421" t="s">
        <v>7678</v>
      </c>
      <c r="C452" s="421" t="s">
        <v>7679</v>
      </c>
      <c r="D452" s="421" t="s">
        <v>7707</v>
      </c>
      <c r="E452" s="421" t="s">
        <v>76</v>
      </c>
      <c r="F452" s="421" t="s">
        <v>76</v>
      </c>
      <c r="G452" s="421" t="s">
        <v>76</v>
      </c>
      <c r="H452" s="421" t="s">
        <v>76</v>
      </c>
      <c r="I452" s="421" t="s">
        <v>76</v>
      </c>
      <c r="J452" s="421" t="s">
        <v>76</v>
      </c>
      <c r="K452" s="421" t="s">
        <v>76</v>
      </c>
      <c r="L452" s="421" t="s">
        <v>76</v>
      </c>
      <c r="M452" s="421" t="s">
        <v>76</v>
      </c>
      <c r="N452" s="421" t="s">
        <v>7043</v>
      </c>
      <c r="O452" s="421" t="s">
        <v>76</v>
      </c>
      <c r="P452" s="421" t="s">
        <v>76</v>
      </c>
      <c r="Q452" s="421" t="s">
        <v>76</v>
      </c>
      <c r="R452" s="422" t="s">
        <v>76</v>
      </c>
    </row>
    <row r="453" spans="1:18">
      <c r="A453" s="420" t="s">
        <v>7677</v>
      </c>
      <c r="B453" s="421" t="s">
        <v>7678</v>
      </c>
      <c r="C453" s="421" t="s">
        <v>7679</v>
      </c>
      <c r="D453" s="421" t="s">
        <v>7708</v>
      </c>
      <c r="E453" s="421" t="s">
        <v>76</v>
      </c>
      <c r="F453" s="421" t="s">
        <v>76</v>
      </c>
      <c r="G453" s="421" t="s">
        <v>76</v>
      </c>
      <c r="H453" s="421" t="s">
        <v>76</v>
      </c>
      <c r="I453" s="421" t="s">
        <v>76</v>
      </c>
      <c r="J453" s="421" t="s">
        <v>76</v>
      </c>
      <c r="K453" s="421" t="s">
        <v>76</v>
      </c>
      <c r="L453" s="421" t="s">
        <v>76</v>
      </c>
      <c r="M453" s="421" t="s">
        <v>76</v>
      </c>
      <c r="N453" s="421" t="s">
        <v>7043</v>
      </c>
      <c r="O453" s="421" t="s">
        <v>76</v>
      </c>
      <c r="P453" s="421" t="s">
        <v>76</v>
      </c>
      <c r="Q453" s="421" t="s">
        <v>76</v>
      </c>
      <c r="R453" s="422" t="s">
        <v>76</v>
      </c>
    </row>
    <row r="454" spans="1:18">
      <c r="A454" s="420" t="s">
        <v>7677</v>
      </c>
      <c r="B454" s="421" t="s">
        <v>7678</v>
      </c>
      <c r="C454" s="421" t="s">
        <v>7679</v>
      </c>
      <c r="D454" s="421" t="s">
        <v>7709</v>
      </c>
      <c r="E454" s="421" t="s">
        <v>76</v>
      </c>
      <c r="F454" s="421" t="s">
        <v>76</v>
      </c>
      <c r="G454" s="421" t="s">
        <v>76</v>
      </c>
      <c r="H454" s="421" t="s">
        <v>76</v>
      </c>
      <c r="I454" s="421" t="s">
        <v>76</v>
      </c>
      <c r="J454" s="421" t="s">
        <v>76</v>
      </c>
      <c r="K454" s="421" t="s">
        <v>76</v>
      </c>
      <c r="L454" s="421" t="s">
        <v>76</v>
      </c>
      <c r="M454" s="421" t="s">
        <v>76</v>
      </c>
      <c r="N454" s="421" t="s">
        <v>7043</v>
      </c>
      <c r="O454" s="421" t="s">
        <v>76</v>
      </c>
      <c r="P454" s="421" t="s">
        <v>76</v>
      </c>
      <c r="Q454" s="421" t="s">
        <v>76</v>
      </c>
      <c r="R454" s="422" t="s">
        <v>76</v>
      </c>
    </row>
    <row r="455" spans="1:18">
      <c r="A455" s="420" t="s">
        <v>7677</v>
      </c>
      <c r="B455" s="421" t="s">
        <v>7678</v>
      </c>
      <c r="C455" s="421" t="s">
        <v>7679</v>
      </c>
      <c r="D455" s="421" t="s">
        <v>7710</v>
      </c>
      <c r="E455" s="421" t="s">
        <v>76</v>
      </c>
      <c r="F455" s="421" t="s">
        <v>76</v>
      </c>
      <c r="G455" s="421" t="s">
        <v>76</v>
      </c>
      <c r="H455" s="421" t="s">
        <v>76</v>
      </c>
      <c r="I455" s="421" t="s">
        <v>76</v>
      </c>
      <c r="J455" s="421" t="s">
        <v>76</v>
      </c>
      <c r="K455" s="421" t="s">
        <v>76</v>
      </c>
      <c r="L455" s="421" t="s">
        <v>76</v>
      </c>
      <c r="M455" s="421" t="s">
        <v>76</v>
      </c>
      <c r="N455" s="421" t="s">
        <v>7043</v>
      </c>
      <c r="O455" s="421" t="s">
        <v>76</v>
      </c>
      <c r="P455" s="421" t="s">
        <v>76</v>
      </c>
      <c r="Q455" s="421" t="s">
        <v>76</v>
      </c>
      <c r="R455" s="422" t="s">
        <v>76</v>
      </c>
    </row>
    <row r="456" spans="1:18">
      <c r="A456" s="420" t="s">
        <v>7677</v>
      </c>
      <c r="B456" s="421" t="s">
        <v>7678</v>
      </c>
      <c r="C456" s="421" t="s">
        <v>7679</v>
      </c>
      <c r="D456" s="421" t="s">
        <v>7711</v>
      </c>
      <c r="E456" s="421" t="s">
        <v>76</v>
      </c>
      <c r="F456" s="421" t="s">
        <v>76</v>
      </c>
      <c r="G456" s="421" t="s">
        <v>76</v>
      </c>
      <c r="H456" s="421" t="s">
        <v>76</v>
      </c>
      <c r="I456" s="421" t="s">
        <v>76</v>
      </c>
      <c r="J456" s="421" t="s">
        <v>76</v>
      </c>
      <c r="K456" s="421" t="s">
        <v>76</v>
      </c>
      <c r="L456" s="421" t="s">
        <v>76</v>
      </c>
      <c r="M456" s="421" t="s">
        <v>76</v>
      </c>
      <c r="N456" s="421" t="s">
        <v>7043</v>
      </c>
      <c r="O456" s="421" t="s">
        <v>76</v>
      </c>
      <c r="P456" s="421" t="s">
        <v>76</v>
      </c>
      <c r="Q456" s="421" t="s">
        <v>76</v>
      </c>
      <c r="R456" s="422" t="s">
        <v>76</v>
      </c>
    </row>
    <row r="457" spans="1:18">
      <c r="A457" s="420" t="s">
        <v>7712</v>
      </c>
      <c r="B457" s="421" t="s">
        <v>7713</v>
      </c>
      <c r="C457" s="421" t="s">
        <v>7714</v>
      </c>
      <c r="D457" s="421" t="s">
        <v>7715</v>
      </c>
      <c r="E457" s="421" t="s">
        <v>7044</v>
      </c>
      <c r="F457" s="421" t="s">
        <v>76</v>
      </c>
      <c r="G457" s="421" t="s">
        <v>76</v>
      </c>
      <c r="H457" s="421" t="s">
        <v>76</v>
      </c>
      <c r="I457" s="421" t="s">
        <v>76</v>
      </c>
      <c r="J457" s="421" t="s">
        <v>76</v>
      </c>
      <c r="K457" s="421" t="s">
        <v>76</v>
      </c>
      <c r="L457" s="421" t="s">
        <v>76</v>
      </c>
      <c r="M457" s="421" t="s">
        <v>76</v>
      </c>
      <c r="N457" s="421" t="s">
        <v>76</v>
      </c>
      <c r="O457" s="421" t="s">
        <v>76</v>
      </c>
      <c r="P457" s="421" t="s">
        <v>76</v>
      </c>
      <c r="Q457" s="421" t="s">
        <v>76</v>
      </c>
      <c r="R457" s="422" t="s">
        <v>7044</v>
      </c>
    </row>
    <row r="458" spans="1:18">
      <c r="A458" s="420" t="s">
        <v>7712</v>
      </c>
      <c r="B458" s="421" t="s">
        <v>7713</v>
      </c>
      <c r="C458" s="421" t="s">
        <v>7716</v>
      </c>
      <c r="D458" s="421" t="s">
        <v>7717</v>
      </c>
      <c r="E458" s="421" t="s">
        <v>7044</v>
      </c>
      <c r="F458" s="421" t="s">
        <v>76</v>
      </c>
      <c r="G458" s="421" t="s">
        <v>76</v>
      </c>
      <c r="H458" s="421" t="s">
        <v>76</v>
      </c>
      <c r="I458" s="421" t="s">
        <v>76</v>
      </c>
      <c r="J458" s="421" t="s">
        <v>76</v>
      </c>
      <c r="K458" s="421" t="s">
        <v>76</v>
      </c>
      <c r="L458" s="421" t="s">
        <v>76</v>
      </c>
      <c r="M458" s="421" t="s">
        <v>76</v>
      </c>
      <c r="N458" s="421" t="s">
        <v>76</v>
      </c>
      <c r="O458" s="421" t="s">
        <v>76</v>
      </c>
      <c r="P458" s="421" t="s">
        <v>76</v>
      </c>
      <c r="Q458" s="421" t="s">
        <v>76</v>
      </c>
      <c r="R458" s="422" t="s">
        <v>7044</v>
      </c>
    </row>
    <row r="459" spans="1:18">
      <c r="A459" s="420" t="s">
        <v>7712</v>
      </c>
      <c r="B459" s="421" t="s">
        <v>7713</v>
      </c>
      <c r="C459" s="421" t="s">
        <v>7718</v>
      </c>
      <c r="D459" s="421" t="s">
        <v>7719</v>
      </c>
      <c r="E459" s="421" t="s">
        <v>7044</v>
      </c>
      <c r="F459" s="421" t="s">
        <v>76</v>
      </c>
      <c r="G459" s="421" t="s">
        <v>76</v>
      </c>
      <c r="H459" s="421" t="s">
        <v>76</v>
      </c>
      <c r="I459" s="421" t="s">
        <v>76</v>
      </c>
      <c r="J459" s="421" t="s">
        <v>76</v>
      </c>
      <c r="K459" s="421" t="s">
        <v>76</v>
      </c>
      <c r="L459" s="421" t="s">
        <v>76</v>
      </c>
      <c r="M459" s="421" t="s">
        <v>76</v>
      </c>
      <c r="N459" s="421" t="s">
        <v>76</v>
      </c>
      <c r="O459" s="421" t="s">
        <v>76</v>
      </c>
      <c r="P459" s="421" t="s">
        <v>76</v>
      </c>
      <c r="Q459" s="421" t="s">
        <v>76</v>
      </c>
      <c r="R459" s="422" t="s">
        <v>7044</v>
      </c>
    </row>
    <row r="460" spans="1:18">
      <c r="A460" s="420" t="s">
        <v>7712</v>
      </c>
      <c r="B460" s="421" t="s">
        <v>7713</v>
      </c>
      <c r="C460" s="421" t="s">
        <v>7720</v>
      </c>
      <c r="D460" s="421" t="s">
        <v>7721</v>
      </c>
      <c r="E460" s="421" t="s">
        <v>7044</v>
      </c>
      <c r="F460" s="421" t="s">
        <v>76</v>
      </c>
      <c r="G460" s="421" t="s">
        <v>76</v>
      </c>
      <c r="H460" s="421" t="s">
        <v>76</v>
      </c>
      <c r="I460" s="421" t="s">
        <v>76</v>
      </c>
      <c r="J460" s="421" t="s">
        <v>76</v>
      </c>
      <c r="K460" s="421" t="s">
        <v>76</v>
      </c>
      <c r="L460" s="421" t="s">
        <v>76</v>
      </c>
      <c r="M460" s="421" t="s">
        <v>76</v>
      </c>
      <c r="N460" s="421" t="s">
        <v>76</v>
      </c>
      <c r="O460" s="421" t="s">
        <v>76</v>
      </c>
      <c r="P460" s="421" t="s">
        <v>76</v>
      </c>
      <c r="Q460" s="421" t="s">
        <v>76</v>
      </c>
      <c r="R460" s="422" t="s">
        <v>7044</v>
      </c>
    </row>
    <row r="461" spans="1:18">
      <c r="A461" s="420" t="s">
        <v>7712</v>
      </c>
      <c r="B461" s="421" t="s">
        <v>7713</v>
      </c>
      <c r="C461" s="421" t="s">
        <v>7722</v>
      </c>
      <c r="D461" s="421" t="s">
        <v>7723</v>
      </c>
      <c r="E461" s="421" t="s">
        <v>7044</v>
      </c>
      <c r="F461" s="421" t="s">
        <v>76</v>
      </c>
      <c r="G461" s="421" t="s">
        <v>76</v>
      </c>
      <c r="H461" s="421" t="s">
        <v>76</v>
      </c>
      <c r="I461" s="421" t="s">
        <v>76</v>
      </c>
      <c r="J461" s="421" t="s">
        <v>76</v>
      </c>
      <c r="K461" s="421" t="s">
        <v>76</v>
      </c>
      <c r="L461" s="421" t="s">
        <v>76</v>
      </c>
      <c r="M461" s="421" t="s">
        <v>76</v>
      </c>
      <c r="N461" s="421" t="s">
        <v>76</v>
      </c>
      <c r="O461" s="421" t="s">
        <v>76</v>
      </c>
      <c r="P461" s="421" t="s">
        <v>76</v>
      </c>
      <c r="Q461" s="421" t="s">
        <v>76</v>
      </c>
      <c r="R461" s="422" t="s">
        <v>7044</v>
      </c>
    </row>
    <row r="462" spans="1:18">
      <c r="A462" s="420" t="s">
        <v>7712</v>
      </c>
      <c r="B462" s="421" t="s">
        <v>7713</v>
      </c>
      <c r="C462" s="421" t="s">
        <v>7724</v>
      </c>
      <c r="D462" s="421" t="s">
        <v>7725</v>
      </c>
      <c r="E462" s="421" t="s">
        <v>7044</v>
      </c>
      <c r="F462" s="421" t="s">
        <v>76</v>
      </c>
      <c r="G462" s="421" t="s">
        <v>76</v>
      </c>
      <c r="H462" s="421" t="s">
        <v>76</v>
      </c>
      <c r="I462" s="421" t="s">
        <v>76</v>
      </c>
      <c r="J462" s="421" t="s">
        <v>76</v>
      </c>
      <c r="K462" s="421" t="s">
        <v>76</v>
      </c>
      <c r="L462" s="421" t="s">
        <v>76</v>
      </c>
      <c r="M462" s="421" t="s">
        <v>76</v>
      </c>
      <c r="N462" s="421" t="s">
        <v>76</v>
      </c>
      <c r="O462" s="421" t="s">
        <v>76</v>
      </c>
      <c r="P462" s="421" t="s">
        <v>76</v>
      </c>
      <c r="Q462" s="421" t="s">
        <v>76</v>
      </c>
      <c r="R462" s="422" t="s">
        <v>7044</v>
      </c>
    </row>
    <row r="463" spans="1:18">
      <c r="A463" s="420" t="s">
        <v>7712</v>
      </c>
      <c r="B463" s="421" t="s">
        <v>7713</v>
      </c>
      <c r="C463" s="421" t="s">
        <v>7726</v>
      </c>
      <c r="D463" s="421" t="s">
        <v>7727</v>
      </c>
      <c r="E463" s="421" t="s">
        <v>7044</v>
      </c>
      <c r="F463" s="421" t="s">
        <v>76</v>
      </c>
      <c r="G463" s="421" t="s">
        <v>76</v>
      </c>
      <c r="H463" s="421" t="s">
        <v>76</v>
      </c>
      <c r="I463" s="421" t="s">
        <v>76</v>
      </c>
      <c r="J463" s="421" t="s">
        <v>76</v>
      </c>
      <c r="K463" s="421" t="s">
        <v>76</v>
      </c>
      <c r="L463" s="421" t="s">
        <v>76</v>
      </c>
      <c r="M463" s="421" t="s">
        <v>76</v>
      </c>
      <c r="N463" s="421" t="s">
        <v>76</v>
      </c>
      <c r="O463" s="421" t="s">
        <v>76</v>
      </c>
      <c r="P463" s="421" t="s">
        <v>76</v>
      </c>
      <c r="Q463" s="421" t="s">
        <v>76</v>
      </c>
      <c r="R463" s="422" t="s">
        <v>7044</v>
      </c>
    </row>
    <row r="464" spans="1:18">
      <c r="A464" s="420" t="s">
        <v>7712</v>
      </c>
      <c r="B464" s="421" t="s">
        <v>7713</v>
      </c>
      <c r="C464" s="421" t="s">
        <v>7728</v>
      </c>
      <c r="D464" s="421" t="s">
        <v>7729</v>
      </c>
      <c r="E464" s="421" t="s">
        <v>7044</v>
      </c>
      <c r="F464" s="421" t="s">
        <v>76</v>
      </c>
      <c r="G464" s="421" t="s">
        <v>76</v>
      </c>
      <c r="H464" s="421" t="s">
        <v>76</v>
      </c>
      <c r="I464" s="421" t="s">
        <v>76</v>
      </c>
      <c r="J464" s="421" t="s">
        <v>76</v>
      </c>
      <c r="K464" s="421" t="s">
        <v>76</v>
      </c>
      <c r="L464" s="421" t="s">
        <v>76</v>
      </c>
      <c r="M464" s="421" t="s">
        <v>76</v>
      </c>
      <c r="N464" s="421" t="s">
        <v>76</v>
      </c>
      <c r="O464" s="421" t="s">
        <v>76</v>
      </c>
      <c r="P464" s="421" t="s">
        <v>76</v>
      </c>
      <c r="Q464" s="421" t="s">
        <v>76</v>
      </c>
      <c r="R464" s="422" t="s">
        <v>7044</v>
      </c>
    </row>
    <row r="465" spans="1:18">
      <c r="A465" s="420" t="s">
        <v>7712</v>
      </c>
      <c r="B465" s="421" t="s">
        <v>7713</v>
      </c>
      <c r="C465" s="421" t="s">
        <v>7730</v>
      </c>
      <c r="D465" s="421" t="s">
        <v>7731</v>
      </c>
      <c r="E465" s="421" t="s">
        <v>7044</v>
      </c>
      <c r="F465" s="421" t="s">
        <v>76</v>
      </c>
      <c r="G465" s="421" t="s">
        <v>76</v>
      </c>
      <c r="H465" s="421" t="s">
        <v>76</v>
      </c>
      <c r="I465" s="421" t="s">
        <v>76</v>
      </c>
      <c r="J465" s="421" t="s">
        <v>76</v>
      </c>
      <c r="K465" s="421" t="s">
        <v>76</v>
      </c>
      <c r="L465" s="421" t="s">
        <v>76</v>
      </c>
      <c r="M465" s="421" t="s">
        <v>76</v>
      </c>
      <c r="N465" s="421" t="s">
        <v>76</v>
      </c>
      <c r="O465" s="421" t="s">
        <v>76</v>
      </c>
      <c r="P465" s="421" t="s">
        <v>76</v>
      </c>
      <c r="Q465" s="421" t="s">
        <v>76</v>
      </c>
      <c r="R465" s="422" t="s">
        <v>7044</v>
      </c>
    </row>
    <row r="466" spans="1:18">
      <c r="A466" s="420" t="s">
        <v>7712</v>
      </c>
      <c r="B466" s="421" t="s">
        <v>7713</v>
      </c>
      <c r="C466" s="423" t="s">
        <v>7732</v>
      </c>
      <c r="D466" s="423" t="s">
        <v>7733</v>
      </c>
      <c r="E466" s="421" t="s">
        <v>7044</v>
      </c>
      <c r="F466" s="421" t="s">
        <v>76</v>
      </c>
      <c r="G466" s="421" t="s">
        <v>76</v>
      </c>
      <c r="H466" s="421" t="s">
        <v>76</v>
      </c>
      <c r="I466" s="421" t="s">
        <v>76</v>
      </c>
      <c r="J466" s="421" t="s">
        <v>76</v>
      </c>
      <c r="K466" s="421" t="s">
        <v>76</v>
      </c>
      <c r="L466" s="421" t="s">
        <v>76</v>
      </c>
      <c r="M466" s="421" t="s">
        <v>76</v>
      </c>
      <c r="N466" s="421" t="s">
        <v>76</v>
      </c>
      <c r="O466" s="421" t="s">
        <v>76</v>
      </c>
      <c r="P466" s="421" t="s">
        <v>76</v>
      </c>
      <c r="Q466" s="421" t="s">
        <v>76</v>
      </c>
      <c r="R466" s="422" t="s">
        <v>7044</v>
      </c>
    </row>
    <row r="467" spans="1:18">
      <c r="A467" s="420" t="s">
        <v>7712</v>
      </c>
      <c r="B467" s="421" t="s">
        <v>7713</v>
      </c>
      <c r="C467" s="421" t="s">
        <v>7734</v>
      </c>
      <c r="D467" s="421" t="s">
        <v>7735</v>
      </c>
      <c r="E467" s="421" t="s">
        <v>7044</v>
      </c>
      <c r="F467" s="421" t="s">
        <v>76</v>
      </c>
      <c r="G467" s="421" t="s">
        <v>76</v>
      </c>
      <c r="H467" s="421" t="s">
        <v>76</v>
      </c>
      <c r="I467" s="421" t="s">
        <v>76</v>
      </c>
      <c r="J467" s="421" t="s">
        <v>76</v>
      </c>
      <c r="K467" s="421" t="s">
        <v>76</v>
      </c>
      <c r="L467" s="421" t="s">
        <v>76</v>
      </c>
      <c r="M467" s="421" t="s">
        <v>76</v>
      </c>
      <c r="N467" s="421" t="s">
        <v>76</v>
      </c>
      <c r="O467" s="421" t="s">
        <v>76</v>
      </c>
      <c r="P467" s="421" t="s">
        <v>76</v>
      </c>
      <c r="Q467" s="421" t="s">
        <v>76</v>
      </c>
      <c r="R467" s="422" t="s">
        <v>7044</v>
      </c>
    </row>
    <row r="468" spans="1:18">
      <c r="A468" s="420" t="s">
        <v>7712</v>
      </c>
      <c r="B468" s="421" t="s">
        <v>7713</v>
      </c>
      <c r="C468" s="421" t="s">
        <v>7736</v>
      </c>
      <c r="D468" s="421" t="s">
        <v>7737</v>
      </c>
      <c r="E468" s="421" t="s">
        <v>7044</v>
      </c>
      <c r="F468" s="421" t="s">
        <v>76</v>
      </c>
      <c r="G468" s="421" t="s">
        <v>76</v>
      </c>
      <c r="H468" s="421" t="s">
        <v>76</v>
      </c>
      <c r="I468" s="421" t="s">
        <v>76</v>
      </c>
      <c r="J468" s="421" t="s">
        <v>76</v>
      </c>
      <c r="K468" s="421" t="s">
        <v>76</v>
      </c>
      <c r="L468" s="421" t="s">
        <v>76</v>
      </c>
      <c r="M468" s="421" t="s">
        <v>76</v>
      </c>
      <c r="N468" s="421" t="s">
        <v>76</v>
      </c>
      <c r="O468" s="421" t="s">
        <v>76</v>
      </c>
      <c r="P468" s="421" t="s">
        <v>76</v>
      </c>
      <c r="Q468" s="421" t="s">
        <v>76</v>
      </c>
      <c r="R468" s="422" t="s">
        <v>7044</v>
      </c>
    </row>
    <row r="469" spans="1:18">
      <c r="A469" s="420" t="s">
        <v>7712</v>
      </c>
      <c r="B469" s="421" t="s">
        <v>7713</v>
      </c>
      <c r="C469" s="421" t="s">
        <v>7738</v>
      </c>
      <c r="D469" s="421" t="s">
        <v>7739</v>
      </c>
      <c r="E469" s="421" t="s">
        <v>7042</v>
      </c>
      <c r="F469" s="421" t="s">
        <v>76</v>
      </c>
      <c r="G469" s="421" t="s">
        <v>76</v>
      </c>
      <c r="H469" s="421" t="s">
        <v>76</v>
      </c>
      <c r="I469" s="421" t="s">
        <v>76</v>
      </c>
      <c r="J469" s="421" t="s">
        <v>76</v>
      </c>
      <c r="K469" s="421" t="s">
        <v>76</v>
      </c>
      <c r="L469" s="421" t="s">
        <v>7042</v>
      </c>
      <c r="M469" s="421" t="s">
        <v>7042</v>
      </c>
      <c r="N469" s="421" t="s">
        <v>7042</v>
      </c>
      <c r="O469" s="421" t="s">
        <v>7042</v>
      </c>
      <c r="P469" s="421" t="s">
        <v>76</v>
      </c>
      <c r="Q469" s="421" t="s">
        <v>7042</v>
      </c>
      <c r="R469" s="422" t="s">
        <v>7042</v>
      </c>
    </row>
    <row r="470" spans="1:18">
      <c r="A470" s="420" t="s">
        <v>7712</v>
      </c>
      <c r="B470" s="421" t="s">
        <v>7713</v>
      </c>
      <c r="C470" s="421" t="s">
        <v>7740</v>
      </c>
      <c r="D470" s="421" t="s">
        <v>7741</v>
      </c>
      <c r="E470" s="421" t="s">
        <v>7042</v>
      </c>
      <c r="F470" s="421" t="s">
        <v>76</v>
      </c>
      <c r="G470" s="421" t="s">
        <v>76</v>
      </c>
      <c r="H470" s="421" t="s">
        <v>76</v>
      </c>
      <c r="I470" s="421" t="s">
        <v>76</v>
      </c>
      <c r="J470" s="421" t="s">
        <v>76</v>
      </c>
      <c r="K470" s="421" t="s">
        <v>76</v>
      </c>
      <c r="L470" s="421" t="s">
        <v>7042</v>
      </c>
      <c r="M470" s="421" t="s">
        <v>7042</v>
      </c>
      <c r="N470" s="421" t="s">
        <v>7042</v>
      </c>
      <c r="O470" s="421" t="s">
        <v>7042</v>
      </c>
      <c r="P470" s="421" t="s">
        <v>76</v>
      </c>
      <c r="Q470" s="421" t="s">
        <v>7042</v>
      </c>
      <c r="R470" s="422" t="s">
        <v>7042</v>
      </c>
    </row>
    <row r="471" spans="1:18">
      <c r="A471" s="420" t="s">
        <v>7712</v>
      </c>
      <c r="B471" s="421" t="s">
        <v>7713</v>
      </c>
      <c r="C471" s="421" t="s">
        <v>7742</v>
      </c>
      <c r="D471" s="421" t="s">
        <v>7743</v>
      </c>
      <c r="E471" s="421" t="s">
        <v>7042</v>
      </c>
      <c r="F471" s="421" t="s">
        <v>7042</v>
      </c>
      <c r="G471" s="421" t="s">
        <v>7042</v>
      </c>
      <c r="H471" s="421" t="s">
        <v>7042</v>
      </c>
      <c r="I471" s="421" t="s">
        <v>76</v>
      </c>
      <c r="J471" s="421" t="s">
        <v>76</v>
      </c>
      <c r="K471" s="421" t="s">
        <v>76</v>
      </c>
      <c r="L471" s="421" t="s">
        <v>7043</v>
      </c>
      <c r="M471" s="421" t="s">
        <v>7043</v>
      </c>
      <c r="N471" s="421" t="s">
        <v>7043</v>
      </c>
      <c r="O471" s="421" t="s">
        <v>7043</v>
      </c>
      <c r="P471" s="421" t="s">
        <v>7043</v>
      </c>
      <c r="Q471" s="421" t="s">
        <v>7042</v>
      </c>
      <c r="R471" s="422" t="s">
        <v>7042</v>
      </c>
    </row>
    <row r="472" spans="1:18">
      <c r="A472" s="420" t="s">
        <v>7712</v>
      </c>
      <c r="B472" s="421" t="s">
        <v>7713</v>
      </c>
      <c r="C472" s="421" t="s">
        <v>7744</v>
      </c>
      <c r="D472" s="421" t="s">
        <v>7745</v>
      </c>
      <c r="E472" s="421" t="s">
        <v>7042</v>
      </c>
      <c r="F472" s="421" t="s">
        <v>7042</v>
      </c>
      <c r="G472" s="421" t="s">
        <v>7042</v>
      </c>
      <c r="H472" s="421" t="s">
        <v>76</v>
      </c>
      <c r="I472" s="421" t="s">
        <v>7746</v>
      </c>
      <c r="J472" s="421" t="s">
        <v>76</v>
      </c>
      <c r="K472" s="421" t="s">
        <v>76</v>
      </c>
      <c r="L472" s="421" t="s">
        <v>76</v>
      </c>
      <c r="M472" s="421" t="s">
        <v>76</v>
      </c>
      <c r="N472" s="421" t="s">
        <v>76</v>
      </c>
      <c r="O472" s="421" t="s">
        <v>76</v>
      </c>
      <c r="P472" s="421" t="s">
        <v>76</v>
      </c>
      <c r="Q472" s="421" t="s">
        <v>7042</v>
      </c>
      <c r="R472" s="422" t="s">
        <v>7042</v>
      </c>
    </row>
    <row r="473" spans="1:18">
      <c r="A473" s="420" t="s">
        <v>7712</v>
      </c>
      <c r="B473" s="421" t="s">
        <v>7713</v>
      </c>
      <c r="C473" s="421" t="s">
        <v>7747</v>
      </c>
      <c r="D473" s="421" t="s">
        <v>7748</v>
      </c>
      <c r="E473" s="421" t="s">
        <v>7042</v>
      </c>
      <c r="F473" s="421" t="s">
        <v>7042</v>
      </c>
      <c r="G473" s="421" t="s">
        <v>7042</v>
      </c>
      <c r="H473" s="421" t="s">
        <v>76</v>
      </c>
      <c r="I473" s="421" t="s">
        <v>76</v>
      </c>
      <c r="J473" s="421" t="s">
        <v>76</v>
      </c>
      <c r="K473" s="421" t="s">
        <v>76</v>
      </c>
      <c r="L473" s="421" t="s">
        <v>7043</v>
      </c>
      <c r="M473" s="421" t="s">
        <v>7043</v>
      </c>
      <c r="N473" s="421" t="s">
        <v>7043</v>
      </c>
      <c r="O473" s="421" t="s">
        <v>7043</v>
      </c>
      <c r="P473" s="421" t="s">
        <v>76</v>
      </c>
      <c r="Q473" s="421" t="s">
        <v>7042</v>
      </c>
      <c r="R473" s="422" t="s">
        <v>7042</v>
      </c>
    </row>
    <row r="474" spans="1:18">
      <c r="A474" s="420" t="s">
        <v>7712</v>
      </c>
      <c r="B474" s="421" t="s">
        <v>7713</v>
      </c>
      <c r="C474" s="421" t="s">
        <v>7749</v>
      </c>
      <c r="D474" s="421" t="s">
        <v>7750</v>
      </c>
      <c r="E474" s="421" t="s">
        <v>7042</v>
      </c>
      <c r="F474" s="421" t="s">
        <v>7042</v>
      </c>
      <c r="G474" s="421" t="s">
        <v>7042</v>
      </c>
      <c r="H474" s="421" t="s">
        <v>76</v>
      </c>
      <c r="I474" s="421" t="s">
        <v>76</v>
      </c>
      <c r="J474" s="421" t="s">
        <v>76</v>
      </c>
      <c r="K474" s="421" t="s">
        <v>76</v>
      </c>
      <c r="L474" s="421" t="s">
        <v>76</v>
      </c>
      <c r="M474" s="421" t="s">
        <v>76</v>
      </c>
      <c r="N474" s="421" t="s">
        <v>76</v>
      </c>
      <c r="O474" s="421" t="s">
        <v>76</v>
      </c>
      <c r="P474" s="421" t="s">
        <v>7043</v>
      </c>
      <c r="Q474" s="421" t="s">
        <v>7042</v>
      </c>
      <c r="R474" s="422" t="s">
        <v>7042</v>
      </c>
    </row>
    <row r="475" spans="1:18">
      <c r="A475" s="420" t="s">
        <v>7712</v>
      </c>
      <c r="B475" s="421" t="s">
        <v>7713</v>
      </c>
      <c r="C475" s="421" t="s">
        <v>7751</v>
      </c>
      <c r="D475" s="421" t="s">
        <v>7752</v>
      </c>
      <c r="E475" s="421" t="s">
        <v>7753</v>
      </c>
      <c r="F475" s="421" t="s">
        <v>76</v>
      </c>
      <c r="G475" s="421" t="s">
        <v>76</v>
      </c>
      <c r="H475" s="421" t="s">
        <v>76</v>
      </c>
      <c r="I475" s="421" t="s">
        <v>76</v>
      </c>
      <c r="J475" s="421" t="s">
        <v>76</v>
      </c>
      <c r="K475" s="421" t="s">
        <v>76</v>
      </c>
      <c r="L475" s="421" t="s">
        <v>76</v>
      </c>
      <c r="M475" s="421" t="s">
        <v>76</v>
      </c>
      <c r="N475" s="421" t="s">
        <v>76</v>
      </c>
      <c r="O475" s="421" t="s">
        <v>76</v>
      </c>
      <c r="P475" s="421" t="s">
        <v>7753</v>
      </c>
      <c r="Q475" s="421" t="s">
        <v>7753</v>
      </c>
      <c r="R475" s="422" t="s">
        <v>7044</v>
      </c>
    </row>
    <row r="476" spans="1:18">
      <c r="A476" s="420" t="s">
        <v>7712</v>
      </c>
      <c r="B476" s="421" t="s">
        <v>7713</v>
      </c>
      <c r="C476" s="423" t="s">
        <v>7754</v>
      </c>
      <c r="D476" s="423" t="s">
        <v>7755</v>
      </c>
      <c r="E476" s="421" t="s">
        <v>7044</v>
      </c>
      <c r="F476" s="421" t="s">
        <v>76</v>
      </c>
      <c r="G476" s="421" t="s">
        <v>76</v>
      </c>
      <c r="H476" s="421" t="s">
        <v>76</v>
      </c>
      <c r="I476" s="421" t="s">
        <v>76</v>
      </c>
      <c r="J476" s="421" t="s">
        <v>76</v>
      </c>
      <c r="K476" s="421" t="s">
        <v>76</v>
      </c>
      <c r="L476" s="421" t="s">
        <v>76</v>
      </c>
      <c r="M476" s="421" t="s">
        <v>76</v>
      </c>
      <c r="N476" s="421" t="s">
        <v>76</v>
      </c>
      <c r="O476" s="421" t="s">
        <v>76</v>
      </c>
      <c r="P476" s="421" t="s">
        <v>76</v>
      </c>
      <c r="Q476" s="421" t="s">
        <v>76</v>
      </c>
      <c r="R476" s="422" t="s">
        <v>7044</v>
      </c>
    </row>
    <row r="477" spans="1:18">
      <c r="A477" s="420" t="s">
        <v>7756</v>
      </c>
      <c r="B477" s="421" t="s">
        <v>6839</v>
      </c>
      <c r="C477" s="421" t="s">
        <v>7757</v>
      </c>
      <c r="D477" s="421" t="s">
        <v>7758</v>
      </c>
      <c r="E477" s="421" t="s">
        <v>76</v>
      </c>
      <c r="F477" s="421" t="s">
        <v>76</v>
      </c>
      <c r="G477" s="421" t="s">
        <v>76</v>
      </c>
      <c r="H477" s="421" t="s">
        <v>76</v>
      </c>
      <c r="I477" s="421" t="s">
        <v>76</v>
      </c>
      <c r="J477" s="421" t="s">
        <v>76</v>
      </c>
      <c r="K477" s="421" t="s">
        <v>76</v>
      </c>
      <c r="L477" s="421" t="s">
        <v>7043</v>
      </c>
      <c r="M477" s="421" t="s">
        <v>7043</v>
      </c>
      <c r="N477" s="421" t="s">
        <v>7043</v>
      </c>
      <c r="O477" s="421" t="s">
        <v>7043</v>
      </c>
      <c r="P477" s="421" t="s">
        <v>76</v>
      </c>
      <c r="Q477" s="421" t="s">
        <v>76</v>
      </c>
      <c r="R477" s="422" t="s">
        <v>76</v>
      </c>
    </row>
    <row r="478" spans="1:18">
      <c r="A478" s="420" t="s">
        <v>7756</v>
      </c>
      <c r="B478" s="421" t="s">
        <v>6839</v>
      </c>
      <c r="C478" s="421" t="s">
        <v>7759</v>
      </c>
      <c r="D478" s="421" t="s">
        <v>7760</v>
      </c>
      <c r="E478" s="421" t="s">
        <v>7042</v>
      </c>
      <c r="F478" s="421" t="s">
        <v>7042</v>
      </c>
      <c r="G478" s="421" t="s">
        <v>7042</v>
      </c>
      <c r="H478" s="421" t="s">
        <v>76</v>
      </c>
      <c r="I478" s="421" t="s">
        <v>76</v>
      </c>
      <c r="J478" s="421" t="s">
        <v>76</v>
      </c>
      <c r="K478" s="421" t="s">
        <v>76</v>
      </c>
      <c r="L478" s="421" t="s">
        <v>76</v>
      </c>
      <c r="M478" s="421" t="s">
        <v>76</v>
      </c>
      <c r="N478" s="421" t="s">
        <v>76</v>
      </c>
      <c r="O478" s="421" t="s">
        <v>76</v>
      </c>
      <c r="P478" s="421" t="s">
        <v>76</v>
      </c>
      <c r="Q478" s="421" t="s">
        <v>7042</v>
      </c>
      <c r="R478" s="422" t="s">
        <v>7042</v>
      </c>
    </row>
    <row r="479" spans="1:18">
      <c r="A479" s="420" t="s">
        <v>7756</v>
      </c>
      <c r="B479" s="421" t="s">
        <v>6839</v>
      </c>
      <c r="C479" s="421" t="s">
        <v>7761</v>
      </c>
      <c r="D479" s="421" t="s">
        <v>7762</v>
      </c>
      <c r="E479" s="421" t="s">
        <v>7042</v>
      </c>
      <c r="F479" s="421" t="s">
        <v>7042</v>
      </c>
      <c r="G479" s="421" t="s">
        <v>7042</v>
      </c>
      <c r="H479" s="421" t="s">
        <v>76</v>
      </c>
      <c r="I479" s="421" t="s">
        <v>76</v>
      </c>
      <c r="J479" s="421" t="s">
        <v>76</v>
      </c>
      <c r="K479" s="421" t="s">
        <v>76</v>
      </c>
      <c r="L479" s="421" t="s">
        <v>76</v>
      </c>
      <c r="M479" s="421" t="s">
        <v>76</v>
      </c>
      <c r="N479" s="421" t="s">
        <v>76</v>
      </c>
      <c r="O479" s="421" t="s">
        <v>76</v>
      </c>
      <c r="P479" s="421" t="s">
        <v>76</v>
      </c>
      <c r="Q479" s="421" t="s">
        <v>7042</v>
      </c>
      <c r="R479" s="422" t="s">
        <v>7042</v>
      </c>
    </row>
    <row r="480" spans="1:18">
      <c r="A480" s="420" t="s">
        <v>7756</v>
      </c>
      <c r="B480" s="421" t="s">
        <v>6839</v>
      </c>
      <c r="C480" s="421" t="s">
        <v>7763</v>
      </c>
      <c r="D480" s="421" t="s">
        <v>7764</v>
      </c>
      <c r="E480" s="421" t="s">
        <v>7042</v>
      </c>
      <c r="F480" s="421" t="s">
        <v>7042</v>
      </c>
      <c r="G480" s="421" t="s">
        <v>7042</v>
      </c>
      <c r="H480" s="421" t="s">
        <v>76</v>
      </c>
      <c r="I480" s="421" t="s">
        <v>76</v>
      </c>
      <c r="J480" s="421" t="s">
        <v>76</v>
      </c>
      <c r="K480" s="421" t="s">
        <v>76</v>
      </c>
      <c r="L480" s="421" t="s">
        <v>7043</v>
      </c>
      <c r="M480" s="421" t="s">
        <v>7043</v>
      </c>
      <c r="N480" s="421" t="s">
        <v>7043</v>
      </c>
      <c r="O480" s="421" t="s">
        <v>7043</v>
      </c>
      <c r="P480" s="421" t="s">
        <v>76</v>
      </c>
      <c r="Q480" s="421" t="s">
        <v>7042</v>
      </c>
      <c r="R480" s="422" t="s">
        <v>7042</v>
      </c>
    </row>
    <row r="481" spans="1:18">
      <c r="A481" s="420" t="s">
        <v>7756</v>
      </c>
      <c r="B481" s="421" t="s">
        <v>6839</v>
      </c>
      <c r="C481" s="421" t="s">
        <v>7765</v>
      </c>
      <c r="D481" s="421" t="s">
        <v>7766</v>
      </c>
      <c r="E481" s="421" t="s">
        <v>7042</v>
      </c>
      <c r="F481" s="421" t="s">
        <v>7042</v>
      </c>
      <c r="G481" s="421" t="s">
        <v>7042</v>
      </c>
      <c r="H481" s="421" t="s">
        <v>76</v>
      </c>
      <c r="I481" s="421" t="s">
        <v>76</v>
      </c>
      <c r="J481" s="421" t="s">
        <v>76</v>
      </c>
      <c r="K481" s="421" t="s">
        <v>76</v>
      </c>
      <c r="L481" s="421" t="s">
        <v>76</v>
      </c>
      <c r="M481" s="421" t="s">
        <v>76</v>
      </c>
      <c r="N481" s="421" t="s">
        <v>76</v>
      </c>
      <c r="O481" s="421" t="s">
        <v>76</v>
      </c>
      <c r="P481" s="421" t="s">
        <v>76</v>
      </c>
      <c r="Q481" s="421" t="s">
        <v>7042</v>
      </c>
      <c r="R481" s="422" t="s">
        <v>7042</v>
      </c>
    </row>
    <row r="482" spans="1:18">
      <c r="A482" s="420" t="s">
        <v>7756</v>
      </c>
      <c r="B482" s="421" t="s">
        <v>6839</v>
      </c>
      <c r="C482" s="421" t="s">
        <v>7767</v>
      </c>
      <c r="D482" s="421" t="s">
        <v>7768</v>
      </c>
      <c r="E482" s="421" t="s">
        <v>7369</v>
      </c>
      <c r="F482" s="421" t="s">
        <v>7042</v>
      </c>
      <c r="G482" s="421" t="s">
        <v>7042</v>
      </c>
      <c r="H482" s="421" t="s">
        <v>76</v>
      </c>
      <c r="I482" s="421" t="s">
        <v>76</v>
      </c>
      <c r="J482" s="421" t="s">
        <v>76</v>
      </c>
      <c r="K482" s="421" t="s">
        <v>76</v>
      </c>
      <c r="L482" s="421" t="s">
        <v>7043</v>
      </c>
      <c r="M482" s="421" t="s">
        <v>7043</v>
      </c>
      <c r="N482" s="421" t="s">
        <v>7043</v>
      </c>
      <c r="O482" s="421" t="s">
        <v>7043</v>
      </c>
      <c r="P482" s="421" t="s">
        <v>76</v>
      </c>
      <c r="Q482" s="421" t="s">
        <v>7042</v>
      </c>
      <c r="R482" s="422" t="s">
        <v>7042</v>
      </c>
    </row>
    <row r="483" spans="1:18">
      <c r="A483" s="420" t="s">
        <v>7756</v>
      </c>
      <c r="B483" s="421" t="s">
        <v>6839</v>
      </c>
      <c r="C483" s="421" t="s">
        <v>7769</v>
      </c>
      <c r="D483" s="421" t="s">
        <v>7770</v>
      </c>
      <c r="E483" s="421" t="s">
        <v>7369</v>
      </c>
      <c r="F483" s="421" t="s">
        <v>7042</v>
      </c>
      <c r="G483" s="421" t="s">
        <v>7042</v>
      </c>
      <c r="H483" s="421" t="s">
        <v>7042</v>
      </c>
      <c r="I483" s="421" t="s">
        <v>76</v>
      </c>
      <c r="J483" s="421" t="s">
        <v>76</v>
      </c>
      <c r="K483" s="421" t="s">
        <v>76</v>
      </c>
      <c r="L483" s="421" t="s">
        <v>7043</v>
      </c>
      <c r="M483" s="421" t="s">
        <v>7043</v>
      </c>
      <c r="N483" s="421" t="s">
        <v>7043</v>
      </c>
      <c r="O483" s="421" t="s">
        <v>7043</v>
      </c>
      <c r="P483" s="421" t="s">
        <v>76</v>
      </c>
      <c r="Q483" s="421" t="s">
        <v>7042</v>
      </c>
      <c r="R483" s="422" t="s">
        <v>7042</v>
      </c>
    </row>
    <row r="484" spans="1:18">
      <c r="A484" s="420" t="s">
        <v>7756</v>
      </c>
      <c r="B484" s="421" t="s">
        <v>6839</v>
      </c>
      <c r="C484" s="423" t="s">
        <v>7771</v>
      </c>
      <c r="D484" s="423" t="s">
        <v>7772</v>
      </c>
      <c r="E484" s="421" t="s">
        <v>7369</v>
      </c>
      <c r="F484" s="421" t="s">
        <v>7042</v>
      </c>
      <c r="G484" s="421" t="s">
        <v>7042</v>
      </c>
      <c r="H484" s="421" t="s">
        <v>7042</v>
      </c>
      <c r="I484" s="421" t="s">
        <v>76</v>
      </c>
      <c r="J484" s="421" t="s">
        <v>76</v>
      </c>
      <c r="K484" s="421" t="s">
        <v>76</v>
      </c>
      <c r="L484" s="421" t="s">
        <v>7043</v>
      </c>
      <c r="M484" s="421" t="s">
        <v>7043</v>
      </c>
      <c r="N484" s="421" t="s">
        <v>7043</v>
      </c>
      <c r="O484" s="421" t="s">
        <v>7043</v>
      </c>
      <c r="P484" s="421" t="s">
        <v>76</v>
      </c>
      <c r="Q484" s="423" t="s">
        <v>76</v>
      </c>
      <c r="R484" s="422" t="s">
        <v>7042</v>
      </c>
    </row>
    <row r="485" spans="1:18">
      <c r="A485" s="420" t="s">
        <v>7756</v>
      </c>
      <c r="B485" s="421" t="s">
        <v>6839</v>
      </c>
      <c r="C485" s="421" t="s">
        <v>7773</v>
      </c>
      <c r="D485" s="421" t="s">
        <v>7774</v>
      </c>
      <c r="E485" s="421" t="s">
        <v>7369</v>
      </c>
      <c r="F485" s="421" t="s">
        <v>7042</v>
      </c>
      <c r="G485" s="421" t="s">
        <v>7042</v>
      </c>
      <c r="H485" s="421" t="s">
        <v>76</v>
      </c>
      <c r="I485" s="421" t="s">
        <v>76</v>
      </c>
      <c r="J485" s="421" t="s">
        <v>76</v>
      </c>
      <c r="K485" s="421" t="s">
        <v>76</v>
      </c>
      <c r="L485" s="421" t="s">
        <v>7043</v>
      </c>
      <c r="M485" s="421" t="s">
        <v>7043</v>
      </c>
      <c r="N485" s="421" t="s">
        <v>7043</v>
      </c>
      <c r="O485" s="421" t="s">
        <v>7043</v>
      </c>
      <c r="P485" s="421" t="s">
        <v>76</v>
      </c>
      <c r="Q485" s="421" t="s">
        <v>7042</v>
      </c>
      <c r="R485" s="422" t="s">
        <v>7042</v>
      </c>
    </row>
    <row r="486" spans="1:18">
      <c r="A486" s="420" t="s">
        <v>7756</v>
      </c>
      <c r="B486" s="421" t="s">
        <v>6839</v>
      </c>
      <c r="C486" s="421" t="s">
        <v>7775</v>
      </c>
      <c r="D486" s="421" t="s">
        <v>7776</v>
      </c>
      <c r="E486" s="421" t="s">
        <v>7369</v>
      </c>
      <c r="F486" s="421" t="s">
        <v>7042</v>
      </c>
      <c r="G486" s="421" t="s">
        <v>7042</v>
      </c>
      <c r="H486" s="421" t="s">
        <v>7042</v>
      </c>
      <c r="I486" s="421" t="s">
        <v>76</v>
      </c>
      <c r="J486" s="421" t="s">
        <v>76</v>
      </c>
      <c r="K486" s="421" t="s">
        <v>76</v>
      </c>
      <c r="L486" s="421" t="s">
        <v>7043</v>
      </c>
      <c r="M486" s="421" t="s">
        <v>7043</v>
      </c>
      <c r="N486" s="421" t="s">
        <v>7043</v>
      </c>
      <c r="O486" s="421" t="s">
        <v>7043</v>
      </c>
      <c r="P486" s="421" t="s">
        <v>76</v>
      </c>
      <c r="Q486" s="421" t="s">
        <v>7042</v>
      </c>
      <c r="R486" s="422" t="s">
        <v>7042</v>
      </c>
    </row>
    <row r="487" spans="1:18">
      <c r="A487" s="420" t="s">
        <v>7756</v>
      </c>
      <c r="B487" s="421" t="s">
        <v>6839</v>
      </c>
      <c r="C487" s="421" t="s">
        <v>7777</v>
      </c>
      <c r="D487" s="423" t="s">
        <v>7778</v>
      </c>
      <c r="E487" s="421" t="s">
        <v>7369</v>
      </c>
      <c r="F487" s="421" t="s">
        <v>7042</v>
      </c>
      <c r="G487" s="421" t="s">
        <v>7042</v>
      </c>
      <c r="H487" s="421" t="s">
        <v>76</v>
      </c>
      <c r="I487" s="421" t="s">
        <v>76</v>
      </c>
      <c r="J487" s="421" t="s">
        <v>76</v>
      </c>
      <c r="K487" s="421" t="s">
        <v>76</v>
      </c>
      <c r="L487" s="421" t="s">
        <v>7043</v>
      </c>
      <c r="M487" s="421" t="s">
        <v>7043</v>
      </c>
      <c r="N487" s="421" t="s">
        <v>7043</v>
      </c>
      <c r="O487" s="421" t="s">
        <v>7043</v>
      </c>
      <c r="P487" s="421" t="s">
        <v>76</v>
      </c>
      <c r="Q487" s="421" t="s">
        <v>7042</v>
      </c>
      <c r="R487" s="422" t="s">
        <v>7042</v>
      </c>
    </row>
    <row r="488" spans="1:18">
      <c r="A488" s="420" t="s">
        <v>7756</v>
      </c>
      <c r="B488" s="421" t="s">
        <v>6839</v>
      </c>
      <c r="C488" s="421" t="s">
        <v>7779</v>
      </c>
      <c r="D488" s="423" t="s">
        <v>7780</v>
      </c>
      <c r="E488" s="423" t="s">
        <v>7042</v>
      </c>
      <c r="F488" s="421" t="s">
        <v>7042</v>
      </c>
      <c r="G488" s="421" t="s">
        <v>7042</v>
      </c>
      <c r="H488" s="421" t="s">
        <v>7042</v>
      </c>
      <c r="I488" s="421" t="s">
        <v>76</v>
      </c>
      <c r="J488" s="421" t="s">
        <v>76</v>
      </c>
      <c r="K488" s="421" t="s">
        <v>76</v>
      </c>
      <c r="L488" s="421" t="s">
        <v>7043</v>
      </c>
      <c r="M488" s="421" t="s">
        <v>7043</v>
      </c>
      <c r="N488" s="421" t="s">
        <v>7043</v>
      </c>
      <c r="O488" s="421" t="s">
        <v>7043</v>
      </c>
      <c r="P488" s="421" t="s">
        <v>76</v>
      </c>
      <c r="Q488" s="421" t="s">
        <v>76</v>
      </c>
      <c r="R488" s="424" t="s">
        <v>7042</v>
      </c>
    </row>
    <row r="489" spans="1:18">
      <c r="A489" s="420" t="s">
        <v>7756</v>
      </c>
      <c r="B489" s="421" t="s">
        <v>6839</v>
      </c>
      <c r="C489" s="423" t="s">
        <v>7781</v>
      </c>
      <c r="D489" s="423" t="s">
        <v>7782</v>
      </c>
      <c r="E489" s="423" t="s">
        <v>7042</v>
      </c>
      <c r="F489" s="421" t="s">
        <v>7042</v>
      </c>
      <c r="G489" s="421" t="s">
        <v>7042</v>
      </c>
      <c r="H489" s="421" t="s">
        <v>7042</v>
      </c>
      <c r="I489" s="421" t="s">
        <v>76</v>
      </c>
      <c r="J489" s="421" t="s">
        <v>76</v>
      </c>
      <c r="K489" s="421" t="s">
        <v>76</v>
      </c>
      <c r="L489" s="421" t="s">
        <v>7043</v>
      </c>
      <c r="M489" s="421" t="s">
        <v>7043</v>
      </c>
      <c r="N489" s="421" t="s">
        <v>7043</v>
      </c>
      <c r="O489" s="421" t="s">
        <v>7043</v>
      </c>
      <c r="P489" s="421" t="s">
        <v>76</v>
      </c>
      <c r="Q489" s="421" t="s">
        <v>76</v>
      </c>
      <c r="R489" s="424" t="s">
        <v>7042</v>
      </c>
    </row>
    <row r="490" spans="1:18">
      <c r="A490" s="420" t="s">
        <v>7756</v>
      </c>
      <c r="B490" s="421" t="s">
        <v>6839</v>
      </c>
      <c r="C490" s="421" t="s">
        <v>7783</v>
      </c>
      <c r="D490" s="423" t="s">
        <v>7784</v>
      </c>
      <c r="E490" s="421" t="s">
        <v>76</v>
      </c>
      <c r="F490" s="421" t="s">
        <v>7042</v>
      </c>
      <c r="G490" s="421" t="s">
        <v>7042</v>
      </c>
      <c r="H490" s="421" t="s">
        <v>7042</v>
      </c>
      <c r="I490" s="421" t="s">
        <v>76</v>
      </c>
      <c r="J490" s="421" t="s">
        <v>76</v>
      </c>
      <c r="K490" s="421" t="s">
        <v>1198</v>
      </c>
      <c r="L490" s="421" t="s">
        <v>7043</v>
      </c>
      <c r="M490" s="421" t="s">
        <v>7043</v>
      </c>
      <c r="N490" s="421" t="s">
        <v>7043</v>
      </c>
      <c r="O490" s="421" t="s">
        <v>7043</v>
      </c>
      <c r="P490" s="421" t="s">
        <v>76</v>
      </c>
      <c r="Q490" s="421" t="s">
        <v>76</v>
      </c>
      <c r="R490" s="422" t="s">
        <v>76</v>
      </c>
    </row>
    <row r="491" spans="1:18">
      <c r="A491" s="420" t="s">
        <v>7756</v>
      </c>
      <c r="B491" s="421" t="s">
        <v>6839</v>
      </c>
      <c r="C491" s="423" t="s">
        <v>7785</v>
      </c>
      <c r="D491" s="423" t="s">
        <v>7786</v>
      </c>
      <c r="E491" s="423" t="s">
        <v>7042</v>
      </c>
      <c r="F491" s="421" t="s">
        <v>7042</v>
      </c>
      <c r="G491" s="421" t="s">
        <v>7042</v>
      </c>
      <c r="H491" s="421" t="s">
        <v>7042</v>
      </c>
      <c r="I491" s="421" t="s">
        <v>76</v>
      </c>
      <c r="J491" s="421" t="s">
        <v>76</v>
      </c>
      <c r="K491" s="421" t="s">
        <v>1198</v>
      </c>
      <c r="L491" s="421" t="s">
        <v>7043</v>
      </c>
      <c r="M491" s="421" t="s">
        <v>7043</v>
      </c>
      <c r="N491" s="421" t="s">
        <v>7043</v>
      </c>
      <c r="O491" s="421" t="s">
        <v>7043</v>
      </c>
      <c r="P491" s="421" t="s">
        <v>76</v>
      </c>
      <c r="Q491" s="421" t="s">
        <v>76</v>
      </c>
      <c r="R491" s="424" t="s">
        <v>7042</v>
      </c>
    </row>
    <row r="492" spans="1:18">
      <c r="A492" s="420" t="s">
        <v>7756</v>
      </c>
      <c r="B492" s="421" t="s">
        <v>6839</v>
      </c>
      <c r="C492" s="421" t="s">
        <v>7787</v>
      </c>
      <c r="D492" s="421" t="s">
        <v>7788</v>
      </c>
      <c r="E492" s="421" t="s">
        <v>7369</v>
      </c>
      <c r="F492" s="421" t="s">
        <v>7042</v>
      </c>
      <c r="G492" s="421" t="s">
        <v>7042</v>
      </c>
      <c r="H492" s="421" t="s">
        <v>7042</v>
      </c>
      <c r="I492" s="421" t="s">
        <v>76</v>
      </c>
      <c r="J492" s="421" t="s">
        <v>76</v>
      </c>
      <c r="K492" s="421" t="s">
        <v>7043</v>
      </c>
      <c r="L492" s="421" t="s">
        <v>7043</v>
      </c>
      <c r="M492" s="421" t="s">
        <v>7043</v>
      </c>
      <c r="N492" s="421" t="s">
        <v>7043</v>
      </c>
      <c r="O492" s="421" t="s">
        <v>7043</v>
      </c>
      <c r="P492" s="421" t="s">
        <v>7043</v>
      </c>
      <c r="Q492" s="421" t="s">
        <v>7042</v>
      </c>
      <c r="R492" s="422" t="s">
        <v>7042</v>
      </c>
    </row>
    <row r="493" spans="1:18">
      <c r="A493" s="420" t="s">
        <v>7756</v>
      </c>
      <c r="B493" s="421" t="s">
        <v>6839</v>
      </c>
      <c r="C493" s="421" t="s">
        <v>7789</v>
      </c>
      <c r="D493" s="421" t="s">
        <v>7790</v>
      </c>
      <c r="E493" s="421" t="s">
        <v>76</v>
      </c>
      <c r="F493" s="421" t="s">
        <v>76</v>
      </c>
      <c r="G493" s="421" t="s">
        <v>76</v>
      </c>
      <c r="H493" s="421" t="s">
        <v>76</v>
      </c>
      <c r="I493" s="421" t="s">
        <v>76</v>
      </c>
      <c r="J493" s="421" t="s">
        <v>76</v>
      </c>
      <c r="K493" s="421" t="s">
        <v>76</v>
      </c>
      <c r="L493" s="421" t="s">
        <v>7043</v>
      </c>
      <c r="M493" s="421" t="s">
        <v>7043</v>
      </c>
      <c r="N493" s="421" t="s">
        <v>7043</v>
      </c>
      <c r="O493" s="421" t="s">
        <v>7043</v>
      </c>
      <c r="P493" s="421" t="s">
        <v>76</v>
      </c>
      <c r="Q493" s="421" t="s">
        <v>76</v>
      </c>
      <c r="R493" s="422" t="s">
        <v>76</v>
      </c>
    </row>
    <row r="494" spans="1:18">
      <c r="A494" s="420" t="s">
        <v>7756</v>
      </c>
      <c r="B494" s="421" t="s">
        <v>6839</v>
      </c>
      <c r="C494" s="421" t="s">
        <v>7791</v>
      </c>
      <c r="D494" s="421" t="s">
        <v>7792</v>
      </c>
      <c r="E494" s="421" t="s">
        <v>76</v>
      </c>
      <c r="F494" s="421" t="s">
        <v>76</v>
      </c>
      <c r="G494" s="421" t="s">
        <v>76</v>
      </c>
      <c r="H494" s="421" t="s">
        <v>76</v>
      </c>
      <c r="I494" s="421" t="s">
        <v>76</v>
      </c>
      <c r="J494" s="421" t="s">
        <v>76</v>
      </c>
      <c r="K494" s="421" t="s">
        <v>76</v>
      </c>
      <c r="L494" s="421" t="s">
        <v>7043</v>
      </c>
      <c r="M494" s="421" t="s">
        <v>7043</v>
      </c>
      <c r="N494" s="421" t="s">
        <v>7043</v>
      </c>
      <c r="O494" s="421" t="s">
        <v>7043</v>
      </c>
      <c r="P494" s="421" t="s">
        <v>76</v>
      </c>
      <c r="Q494" s="421" t="s">
        <v>76</v>
      </c>
      <c r="R494" s="422" t="s">
        <v>76</v>
      </c>
    </row>
    <row r="495" spans="1:18">
      <c r="A495" s="420" t="s">
        <v>7756</v>
      </c>
      <c r="B495" s="421" t="s">
        <v>6839</v>
      </c>
      <c r="C495" s="421" t="s">
        <v>7793</v>
      </c>
      <c r="D495" s="421" t="s">
        <v>7794</v>
      </c>
      <c r="E495" s="421" t="s">
        <v>76</v>
      </c>
      <c r="F495" s="421" t="s">
        <v>76</v>
      </c>
      <c r="G495" s="421" t="s">
        <v>76</v>
      </c>
      <c r="H495" s="421" t="s">
        <v>76</v>
      </c>
      <c r="I495" s="421" t="s">
        <v>76</v>
      </c>
      <c r="J495" s="421" t="s">
        <v>76</v>
      </c>
      <c r="K495" s="421" t="s">
        <v>76</v>
      </c>
      <c r="L495" s="421" t="s">
        <v>7043</v>
      </c>
      <c r="M495" s="421" t="s">
        <v>7043</v>
      </c>
      <c r="N495" s="421" t="s">
        <v>7043</v>
      </c>
      <c r="O495" s="421" t="s">
        <v>7043</v>
      </c>
      <c r="P495" s="421" t="s">
        <v>76</v>
      </c>
      <c r="Q495" s="421" t="s">
        <v>76</v>
      </c>
      <c r="R495" s="422" t="s">
        <v>76</v>
      </c>
    </row>
    <row r="496" spans="1:18">
      <c r="A496" s="420" t="s">
        <v>7756</v>
      </c>
      <c r="B496" s="421" t="s">
        <v>6839</v>
      </c>
      <c r="C496" s="421" t="s">
        <v>7795</v>
      </c>
      <c r="D496" s="421" t="s">
        <v>7796</v>
      </c>
      <c r="E496" s="421" t="s">
        <v>76</v>
      </c>
      <c r="F496" s="421" t="s">
        <v>76</v>
      </c>
      <c r="G496" s="421" t="s">
        <v>76</v>
      </c>
      <c r="H496" s="421" t="s">
        <v>76</v>
      </c>
      <c r="I496" s="421" t="s">
        <v>76</v>
      </c>
      <c r="J496" s="421" t="s">
        <v>76</v>
      </c>
      <c r="K496" s="421" t="s">
        <v>76</v>
      </c>
      <c r="L496" s="421" t="s">
        <v>7043</v>
      </c>
      <c r="M496" s="421" t="s">
        <v>7043</v>
      </c>
      <c r="N496" s="421" t="s">
        <v>7043</v>
      </c>
      <c r="O496" s="421" t="s">
        <v>7043</v>
      </c>
      <c r="P496" s="421" t="s">
        <v>76</v>
      </c>
      <c r="Q496" s="421" t="s">
        <v>76</v>
      </c>
      <c r="R496" s="422" t="s">
        <v>76</v>
      </c>
    </row>
    <row r="497" spans="1:18">
      <c r="A497" s="420" t="s">
        <v>7756</v>
      </c>
      <c r="B497" s="421" t="s">
        <v>6839</v>
      </c>
      <c r="C497" s="421" t="s">
        <v>7797</v>
      </c>
      <c r="D497" s="421" t="s">
        <v>7798</v>
      </c>
      <c r="E497" s="421" t="s">
        <v>7042</v>
      </c>
      <c r="F497" s="421" t="s">
        <v>7042</v>
      </c>
      <c r="G497" s="421" t="s">
        <v>7042</v>
      </c>
      <c r="H497" s="421" t="s">
        <v>76</v>
      </c>
      <c r="I497" s="421" t="s">
        <v>7043</v>
      </c>
      <c r="J497" s="421" t="s">
        <v>76</v>
      </c>
      <c r="K497" s="421" t="s">
        <v>76</v>
      </c>
      <c r="L497" s="421" t="s">
        <v>7043</v>
      </c>
      <c r="M497" s="421" t="s">
        <v>7043</v>
      </c>
      <c r="N497" s="421" t="s">
        <v>7043</v>
      </c>
      <c r="O497" s="421" t="s">
        <v>7043</v>
      </c>
      <c r="P497" s="421" t="s">
        <v>76</v>
      </c>
      <c r="Q497" s="421" t="s">
        <v>7042</v>
      </c>
      <c r="R497" s="422" t="s">
        <v>7042</v>
      </c>
    </row>
    <row r="498" spans="1:18">
      <c r="A498" s="420" t="s">
        <v>7756</v>
      </c>
      <c r="B498" s="421" t="s">
        <v>6839</v>
      </c>
      <c r="C498" s="421" t="s">
        <v>7799</v>
      </c>
      <c r="D498" s="421" t="s">
        <v>7800</v>
      </c>
      <c r="E498" s="421" t="s">
        <v>7369</v>
      </c>
      <c r="F498" s="421" t="s">
        <v>7042</v>
      </c>
      <c r="G498" s="421" t="s">
        <v>7042</v>
      </c>
      <c r="H498" s="421" t="s">
        <v>76</v>
      </c>
      <c r="I498" s="421" t="s">
        <v>76</v>
      </c>
      <c r="J498" s="421" t="s">
        <v>76</v>
      </c>
      <c r="K498" s="421" t="s">
        <v>76</v>
      </c>
      <c r="L498" s="421" t="s">
        <v>7043</v>
      </c>
      <c r="M498" s="421" t="s">
        <v>7043</v>
      </c>
      <c r="N498" s="421" t="s">
        <v>7043</v>
      </c>
      <c r="O498" s="421" t="s">
        <v>7043</v>
      </c>
      <c r="P498" s="421" t="s">
        <v>76</v>
      </c>
      <c r="Q498" s="421" t="s">
        <v>7042</v>
      </c>
      <c r="R498" s="422" t="s">
        <v>7042</v>
      </c>
    </row>
    <row r="499" spans="1:18">
      <c r="A499" s="420" t="s">
        <v>7756</v>
      </c>
      <c r="B499" s="421" t="s">
        <v>6839</v>
      </c>
      <c r="C499" s="421" t="s">
        <v>7801</v>
      </c>
      <c r="D499" s="421" t="s">
        <v>7802</v>
      </c>
      <c r="E499" s="421" t="s">
        <v>7369</v>
      </c>
      <c r="F499" s="421" t="s">
        <v>7042</v>
      </c>
      <c r="G499" s="421" t="s">
        <v>7042</v>
      </c>
      <c r="H499" s="421" t="s">
        <v>76</v>
      </c>
      <c r="I499" s="421" t="s">
        <v>76</v>
      </c>
      <c r="J499" s="421" t="s">
        <v>76</v>
      </c>
      <c r="K499" s="421" t="s">
        <v>76</v>
      </c>
      <c r="L499" s="421" t="s">
        <v>7043</v>
      </c>
      <c r="M499" s="421" t="s">
        <v>7043</v>
      </c>
      <c r="N499" s="421" t="s">
        <v>7043</v>
      </c>
      <c r="O499" s="421" t="s">
        <v>7043</v>
      </c>
      <c r="P499" s="421" t="s">
        <v>76</v>
      </c>
      <c r="Q499" s="421" t="s">
        <v>7042</v>
      </c>
      <c r="R499" s="422" t="s">
        <v>7042</v>
      </c>
    </row>
    <row r="500" spans="1:18">
      <c r="A500" s="420" t="s">
        <v>7756</v>
      </c>
      <c r="B500" s="421" t="s">
        <v>6839</v>
      </c>
      <c r="C500" s="421" t="s">
        <v>7803</v>
      </c>
      <c r="D500" s="421" t="s">
        <v>7804</v>
      </c>
      <c r="E500" s="421" t="s">
        <v>7369</v>
      </c>
      <c r="F500" s="421" t="s">
        <v>7042</v>
      </c>
      <c r="G500" s="421" t="s">
        <v>7042</v>
      </c>
      <c r="H500" s="421" t="s">
        <v>76</v>
      </c>
      <c r="I500" s="421" t="s">
        <v>76</v>
      </c>
      <c r="J500" s="421" t="s">
        <v>76</v>
      </c>
      <c r="K500" s="421" t="s">
        <v>76</v>
      </c>
      <c r="L500" s="421" t="s">
        <v>7043</v>
      </c>
      <c r="M500" s="421" t="s">
        <v>7043</v>
      </c>
      <c r="N500" s="421" t="s">
        <v>7043</v>
      </c>
      <c r="O500" s="421" t="s">
        <v>7043</v>
      </c>
      <c r="P500" s="421" t="s">
        <v>76</v>
      </c>
      <c r="Q500" s="421" t="s">
        <v>7042</v>
      </c>
      <c r="R500" s="422" t="s">
        <v>7042</v>
      </c>
    </row>
    <row r="501" spans="1:18">
      <c r="A501" s="420" t="s">
        <v>7756</v>
      </c>
      <c r="B501" s="421" t="s">
        <v>6839</v>
      </c>
      <c r="C501" s="421" t="s">
        <v>7805</v>
      </c>
      <c r="D501" s="421" t="s">
        <v>7806</v>
      </c>
      <c r="E501" s="421" t="s">
        <v>7369</v>
      </c>
      <c r="F501" s="421" t="s">
        <v>7042</v>
      </c>
      <c r="G501" s="421" t="s">
        <v>7042</v>
      </c>
      <c r="H501" s="421" t="s">
        <v>76</v>
      </c>
      <c r="I501" s="421" t="s">
        <v>76</v>
      </c>
      <c r="J501" s="421" t="s">
        <v>76</v>
      </c>
      <c r="K501" s="421" t="s">
        <v>76</v>
      </c>
      <c r="L501" s="421" t="s">
        <v>7043</v>
      </c>
      <c r="M501" s="421" t="s">
        <v>7043</v>
      </c>
      <c r="N501" s="421" t="s">
        <v>7043</v>
      </c>
      <c r="O501" s="421" t="s">
        <v>7043</v>
      </c>
      <c r="P501" s="421" t="s">
        <v>76</v>
      </c>
      <c r="Q501" s="421" t="s">
        <v>7042</v>
      </c>
      <c r="R501" s="422" t="s">
        <v>7042</v>
      </c>
    </row>
    <row r="502" spans="1:18">
      <c r="A502" s="420" t="s">
        <v>7756</v>
      </c>
      <c r="B502" s="421" t="s">
        <v>6839</v>
      </c>
      <c r="C502" s="421" t="s">
        <v>7807</v>
      </c>
      <c r="D502" s="421" t="s">
        <v>7808</v>
      </c>
      <c r="E502" s="421" t="s">
        <v>7369</v>
      </c>
      <c r="F502" s="421" t="s">
        <v>7042</v>
      </c>
      <c r="G502" s="421" t="s">
        <v>7042</v>
      </c>
      <c r="H502" s="421" t="s">
        <v>76</v>
      </c>
      <c r="I502" s="421" t="s">
        <v>76</v>
      </c>
      <c r="J502" s="421" t="s">
        <v>76</v>
      </c>
      <c r="K502" s="421" t="s">
        <v>76</v>
      </c>
      <c r="L502" s="421" t="s">
        <v>7043</v>
      </c>
      <c r="M502" s="421" t="s">
        <v>7043</v>
      </c>
      <c r="N502" s="421" t="s">
        <v>7043</v>
      </c>
      <c r="O502" s="421" t="s">
        <v>7043</v>
      </c>
      <c r="P502" s="421" t="s">
        <v>76</v>
      </c>
      <c r="Q502" s="421" t="s">
        <v>7042</v>
      </c>
      <c r="R502" s="422" t="s">
        <v>7042</v>
      </c>
    </row>
    <row r="503" spans="1:18">
      <c r="A503" s="420" t="s">
        <v>7756</v>
      </c>
      <c r="B503" s="421" t="s">
        <v>6839</v>
      </c>
      <c r="C503" s="421" t="s">
        <v>7809</v>
      </c>
      <c r="D503" s="421" t="s">
        <v>7810</v>
      </c>
      <c r="E503" s="421" t="s">
        <v>7369</v>
      </c>
      <c r="F503" s="421" t="s">
        <v>7042</v>
      </c>
      <c r="G503" s="421" t="s">
        <v>7042</v>
      </c>
      <c r="H503" s="421" t="s">
        <v>76</v>
      </c>
      <c r="I503" s="421" t="s">
        <v>76</v>
      </c>
      <c r="J503" s="421" t="s">
        <v>76</v>
      </c>
      <c r="K503" s="421" t="s">
        <v>76</v>
      </c>
      <c r="L503" s="421" t="s">
        <v>7043</v>
      </c>
      <c r="M503" s="421" t="s">
        <v>7043</v>
      </c>
      <c r="N503" s="421" t="s">
        <v>7043</v>
      </c>
      <c r="O503" s="421" t="s">
        <v>7043</v>
      </c>
      <c r="P503" s="421" t="s">
        <v>76</v>
      </c>
      <c r="Q503" s="421" t="s">
        <v>7042</v>
      </c>
      <c r="R503" s="422" t="s">
        <v>7042</v>
      </c>
    </row>
    <row r="504" spans="1:18">
      <c r="A504" s="420" t="s">
        <v>7756</v>
      </c>
      <c r="B504" s="421" t="s">
        <v>6839</v>
      </c>
      <c r="C504" s="421" t="s">
        <v>7811</v>
      </c>
      <c r="D504" s="421" t="s">
        <v>7812</v>
      </c>
      <c r="E504" s="421" t="s">
        <v>7369</v>
      </c>
      <c r="F504" s="421" t="s">
        <v>7042</v>
      </c>
      <c r="G504" s="421" t="s">
        <v>7042</v>
      </c>
      <c r="H504" s="421" t="s">
        <v>76</v>
      </c>
      <c r="I504" s="421" t="s">
        <v>76</v>
      </c>
      <c r="J504" s="421" t="s">
        <v>76</v>
      </c>
      <c r="K504" s="421" t="s">
        <v>76</v>
      </c>
      <c r="L504" s="421" t="s">
        <v>7043</v>
      </c>
      <c r="M504" s="421" t="s">
        <v>7043</v>
      </c>
      <c r="N504" s="421" t="s">
        <v>7043</v>
      </c>
      <c r="O504" s="421" t="s">
        <v>7043</v>
      </c>
      <c r="P504" s="421" t="s">
        <v>76</v>
      </c>
      <c r="Q504" s="421" t="s">
        <v>7042</v>
      </c>
      <c r="R504" s="422" t="s">
        <v>7042</v>
      </c>
    </row>
    <row r="505" spans="1:18">
      <c r="A505" s="420" t="s">
        <v>7756</v>
      </c>
      <c r="B505" s="421" t="s">
        <v>6839</v>
      </c>
      <c r="C505" s="421" t="s">
        <v>7813</v>
      </c>
      <c r="D505" s="421" t="s">
        <v>7814</v>
      </c>
      <c r="E505" s="421" t="s">
        <v>7369</v>
      </c>
      <c r="F505" s="421" t="s">
        <v>7042</v>
      </c>
      <c r="G505" s="421" t="s">
        <v>7042</v>
      </c>
      <c r="H505" s="421" t="s">
        <v>76</v>
      </c>
      <c r="I505" s="421" t="s">
        <v>76</v>
      </c>
      <c r="J505" s="421" t="s">
        <v>76</v>
      </c>
      <c r="K505" s="421" t="s">
        <v>76</v>
      </c>
      <c r="L505" s="421" t="s">
        <v>7043</v>
      </c>
      <c r="M505" s="421" t="s">
        <v>7043</v>
      </c>
      <c r="N505" s="421" t="s">
        <v>7043</v>
      </c>
      <c r="O505" s="421" t="s">
        <v>7043</v>
      </c>
      <c r="P505" s="421" t="s">
        <v>76</v>
      </c>
      <c r="Q505" s="421" t="s">
        <v>7042</v>
      </c>
      <c r="R505" s="422" t="s">
        <v>7042</v>
      </c>
    </row>
    <row r="506" spans="1:18">
      <c r="A506" s="420" t="s">
        <v>7756</v>
      </c>
      <c r="B506" s="421" t="s">
        <v>6839</v>
      </c>
      <c r="C506" s="421" t="s">
        <v>7815</v>
      </c>
      <c r="D506" s="421" t="s">
        <v>7816</v>
      </c>
      <c r="E506" s="421" t="s">
        <v>7369</v>
      </c>
      <c r="F506" s="421" t="s">
        <v>7042</v>
      </c>
      <c r="G506" s="421" t="s">
        <v>7042</v>
      </c>
      <c r="H506" s="421" t="s">
        <v>76</v>
      </c>
      <c r="I506" s="421" t="s">
        <v>76</v>
      </c>
      <c r="J506" s="421" t="s">
        <v>76</v>
      </c>
      <c r="K506" s="421" t="s">
        <v>76</v>
      </c>
      <c r="L506" s="421" t="s">
        <v>7043</v>
      </c>
      <c r="M506" s="421" t="s">
        <v>7043</v>
      </c>
      <c r="N506" s="421" t="s">
        <v>7043</v>
      </c>
      <c r="O506" s="421" t="s">
        <v>7043</v>
      </c>
      <c r="P506" s="421" t="s">
        <v>76</v>
      </c>
      <c r="Q506" s="421" t="s">
        <v>7042</v>
      </c>
      <c r="R506" s="422" t="s">
        <v>7042</v>
      </c>
    </row>
    <row r="507" spans="1:18">
      <c r="A507" s="420" t="s">
        <v>7756</v>
      </c>
      <c r="B507" s="421" t="s">
        <v>6839</v>
      </c>
      <c r="C507" s="421" t="s">
        <v>7817</v>
      </c>
      <c r="D507" s="421" t="s">
        <v>7818</v>
      </c>
      <c r="E507" s="421" t="s">
        <v>7369</v>
      </c>
      <c r="F507" s="421" t="s">
        <v>7042</v>
      </c>
      <c r="G507" s="421" t="s">
        <v>7042</v>
      </c>
      <c r="H507" s="421" t="s">
        <v>76</v>
      </c>
      <c r="I507" s="421" t="s">
        <v>76</v>
      </c>
      <c r="J507" s="421" t="s">
        <v>76</v>
      </c>
      <c r="K507" s="421" t="s">
        <v>76</v>
      </c>
      <c r="L507" s="421" t="s">
        <v>7043</v>
      </c>
      <c r="M507" s="421" t="s">
        <v>7043</v>
      </c>
      <c r="N507" s="421" t="s">
        <v>7043</v>
      </c>
      <c r="O507" s="421" t="s">
        <v>7043</v>
      </c>
      <c r="P507" s="421" t="s">
        <v>76</v>
      </c>
      <c r="Q507" s="421" t="s">
        <v>7042</v>
      </c>
      <c r="R507" s="422" t="s">
        <v>7042</v>
      </c>
    </row>
    <row r="508" spans="1:18">
      <c r="A508" s="420" t="s">
        <v>7756</v>
      </c>
      <c r="B508" s="421" t="s">
        <v>6839</v>
      </c>
      <c r="C508" s="421" t="s">
        <v>7819</v>
      </c>
      <c r="D508" s="421" t="s">
        <v>7820</v>
      </c>
      <c r="E508" s="421" t="s">
        <v>7369</v>
      </c>
      <c r="F508" s="421" t="s">
        <v>7042</v>
      </c>
      <c r="G508" s="421" t="s">
        <v>7042</v>
      </c>
      <c r="H508" s="421" t="s">
        <v>76</v>
      </c>
      <c r="I508" s="421" t="s">
        <v>76</v>
      </c>
      <c r="J508" s="421" t="s">
        <v>76</v>
      </c>
      <c r="K508" s="421" t="s">
        <v>76</v>
      </c>
      <c r="L508" s="421" t="s">
        <v>7043</v>
      </c>
      <c r="M508" s="421" t="s">
        <v>7043</v>
      </c>
      <c r="N508" s="421" t="s">
        <v>7043</v>
      </c>
      <c r="O508" s="421" t="s">
        <v>7043</v>
      </c>
      <c r="P508" s="421" t="s">
        <v>76</v>
      </c>
      <c r="Q508" s="421" t="s">
        <v>7042</v>
      </c>
      <c r="R508" s="422" t="s">
        <v>7042</v>
      </c>
    </row>
    <row r="509" spans="1:18">
      <c r="A509" s="420" t="s">
        <v>7756</v>
      </c>
      <c r="B509" s="421" t="s">
        <v>6839</v>
      </c>
      <c r="C509" s="421" t="s">
        <v>7821</v>
      </c>
      <c r="D509" s="421" t="s">
        <v>7822</v>
      </c>
      <c r="E509" s="421" t="s">
        <v>7369</v>
      </c>
      <c r="F509" s="421" t="s">
        <v>7042</v>
      </c>
      <c r="G509" s="421" t="s">
        <v>7042</v>
      </c>
      <c r="H509" s="421" t="s">
        <v>76</v>
      </c>
      <c r="I509" s="421" t="s">
        <v>76</v>
      </c>
      <c r="J509" s="421" t="s">
        <v>76</v>
      </c>
      <c r="K509" s="421" t="s">
        <v>76</v>
      </c>
      <c r="L509" s="421" t="s">
        <v>7043</v>
      </c>
      <c r="M509" s="421" t="s">
        <v>7043</v>
      </c>
      <c r="N509" s="421" t="s">
        <v>7043</v>
      </c>
      <c r="O509" s="421" t="s">
        <v>7043</v>
      </c>
      <c r="P509" s="421" t="s">
        <v>76</v>
      </c>
      <c r="Q509" s="421" t="s">
        <v>7042</v>
      </c>
      <c r="R509" s="422" t="s">
        <v>7042</v>
      </c>
    </row>
    <row r="510" spans="1:18">
      <c r="A510" s="420" t="s">
        <v>7756</v>
      </c>
      <c r="B510" s="421" t="s">
        <v>6839</v>
      </c>
      <c r="C510" s="421" t="s">
        <v>7823</v>
      </c>
      <c r="D510" s="421" t="s">
        <v>7824</v>
      </c>
      <c r="E510" s="421" t="s">
        <v>7369</v>
      </c>
      <c r="F510" s="421" t="s">
        <v>7042</v>
      </c>
      <c r="G510" s="421" t="s">
        <v>7042</v>
      </c>
      <c r="H510" s="421" t="s">
        <v>76</v>
      </c>
      <c r="I510" s="421" t="s">
        <v>76</v>
      </c>
      <c r="J510" s="421" t="s">
        <v>76</v>
      </c>
      <c r="K510" s="421" t="s">
        <v>76</v>
      </c>
      <c r="L510" s="421" t="s">
        <v>76</v>
      </c>
      <c r="M510" s="421" t="s">
        <v>76</v>
      </c>
      <c r="N510" s="421" t="s">
        <v>76</v>
      </c>
      <c r="O510" s="421" t="s">
        <v>76</v>
      </c>
      <c r="P510" s="421" t="s">
        <v>76</v>
      </c>
      <c r="Q510" s="421" t="s">
        <v>7042</v>
      </c>
      <c r="R510" s="422" t="s">
        <v>7042</v>
      </c>
    </row>
    <row r="511" spans="1:18">
      <c r="A511" s="420" t="s">
        <v>7756</v>
      </c>
      <c r="B511" s="421" t="s">
        <v>6839</v>
      </c>
      <c r="C511" s="421" t="s">
        <v>7825</v>
      </c>
      <c r="D511" s="421" t="s">
        <v>7826</v>
      </c>
      <c r="E511" s="421" t="s">
        <v>7369</v>
      </c>
      <c r="F511" s="421" t="s">
        <v>7042</v>
      </c>
      <c r="G511" s="421" t="s">
        <v>7042</v>
      </c>
      <c r="H511" s="421" t="s">
        <v>76</v>
      </c>
      <c r="I511" s="421" t="s">
        <v>76</v>
      </c>
      <c r="J511" s="421" t="s">
        <v>76</v>
      </c>
      <c r="K511" s="421" t="s">
        <v>76</v>
      </c>
      <c r="L511" s="421" t="s">
        <v>7043</v>
      </c>
      <c r="M511" s="421" t="s">
        <v>7043</v>
      </c>
      <c r="N511" s="421" t="s">
        <v>7043</v>
      </c>
      <c r="O511" s="421" t="s">
        <v>7043</v>
      </c>
      <c r="P511" s="421" t="s">
        <v>76</v>
      </c>
      <c r="Q511" s="421" t="s">
        <v>7042</v>
      </c>
      <c r="R511" s="422" t="s">
        <v>7042</v>
      </c>
    </row>
    <row r="512" spans="1:18">
      <c r="A512" s="420" t="s">
        <v>7756</v>
      </c>
      <c r="B512" s="421" t="s">
        <v>6839</v>
      </c>
      <c r="C512" s="421" t="s">
        <v>7827</v>
      </c>
      <c r="D512" s="421" t="s">
        <v>7828</v>
      </c>
      <c r="E512" s="421" t="s">
        <v>7369</v>
      </c>
      <c r="F512" s="421" t="s">
        <v>7042</v>
      </c>
      <c r="G512" s="421" t="s">
        <v>7042</v>
      </c>
      <c r="H512" s="421" t="s">
        <v>76</v>
      </c>
      <c r="I512" s="421" t="s">
        <v>76</v>
      </c>
      <c r="J512" s="421" t="s">
        <v>76</v>
      </c>
      <c r="K512" s="421" t="s">
        <v>76</v>
      </c>
      <c r="L512" s="421" t="s">
        <v>7043</v>
      </c>
      <c r="M512" s="421" t="s">
        <v>7043</v>
      </c>
      <c r="N512" s="421" t="s">
        <v>7043</v>
      </c>
      <c r="O512" s="421" t="s">
        <v>7043</v>
      </c>
      <c r="P512" s="421" t="s">
        <v>76</v>
      </c>
      <c r="Q512" s="421" t="s">
        <v>7042</v>
      </c>
      <c r="R512" s="422" t="s">
        <v>7042</v>
      </c>
    </row>
    <row r="513" spans="1:18">
      <c r="A513" s="420" t="s">
        <v>7756</v>
      </c>
      <c r="B513" s="421" t="s">
        <v>6839</v>
      </c>
      <c r="C513" s="421" t="s">
        <v>7829</v>
      </c>
      <c r="D513" s="421" t="s">
        <v>7830</v>
      </c>
      <c r="E513" s="421" t="s">
        <v>7369</v>
      </c>
      <c r="F513" s="421" t="s">
        <v>7042</v>
      </c>
      <c r="G513" s="421" t="s">
        <v>7042</v>
      </c>
      <c r="H513" s="421" t="s">
        <v>7042</v>
      </c>
      <c r="I513" s="421" t="s">
        <v>7043</v>
      </c>
      <c r="J513" s="421" t="s">
        <v>76</v>
      </c>
      <c r="K513" s="421" t="s">
        <v>76</v>
      </c>
      <c r="L513" s="421" t="s">
        <v>7043</v>
      </c>
      <c r="M513" s="421" t="s">
        <v>7043</v>
      </c>
      <c r="N513" s="421" t="s">
        <v>7043</v>
      </c>
      <c r="O513" s="421" t="s">
        <v>7043</v>
      </c>
      <c r="P513" s="421" t="s">
        <v>76</v>
      </c>
      <c r="Q513" s="421" t="s">
        <v>7042</v>
      </c>
      <c r="R513" s="422" t="s">
        <v>7042</v>
      </c>
    </row>
    <row r="514" spans="1:18">
      <c r="A514" s="420" t="s">
        <v>7756</v>
      </c>
      <c r="B514" s="421" t="s">
        <v>6839</v>
      </c>
      <c r="C514" s="421" t="s">
        <v>7831</v>
      </c>
      <c r="D514" s="421" t="s">
        <v>7832</v>
      </c>
      <c r="E514" s="421" t="s">
        <v>7369</v>
      </c>
      <c r="F514" s="421" t="s">
        <v>7042</v>
      </c>
      <c r="G514" s="421" t="s">
        <v>7042</v>
      </c>
      <c r="H514" s="421" t="s">
        <v>7042</v>
      </c>
      <c r="I514" s="421" t="s">
        <v>7043</v>
      </c>
      <c r="J514" s="421" t="s">
        <v>7043</v>
      </c>
      <c r="K514" s="421" t="s">
        <v>76</v>
      </c>
      <c r="L514" s="421" t="s">
        <v>7043</v>
      </c>
      <c r="M514" s="421" t="s">
        <v>7043</v>
      </c>
      <c r="N514" s="421" t="s">
        <v>7043</v>
      </c>
      <c r="O514" s="421" t="s">
        <v>7043</v>
      </c>
      <c r="P514" s="421" t="s">
        <v>76</v>
      </c>
      <c r="Q514" s="421" t="s">
        <v>7042</v>
      </c>
      <c r="R514" s="422" t="s">
        <v>7042</v>
      </c>
    </row>
    <row r="515" spans="1:18">
      <c r="A515" s="420" t="s">
        <v>7756</v>
      </c>
      <c r="B515" s="421" t="s">
        <v>6839</v>
      </c>
      <c r="C515" s="421" t="s">
        <v>7833</v>
      </c>
      <c r="D515" s="421" t="s">
        <v>7834</v>
      </c>
      <c r="E515" s="421" t="s">
        <v>7369</v>
      </c>
      <c r="F515" s="421" t="s">
        <v>7042</v>
      </c>
      <c r="G515" s="421" t="s">
        <v>7042</v>
      </c>
      <c r="H515" s="421" t="s">
        <v>76</v>
      </c>
      <c r="I515" s="421" t="s">
        <v>76</v>
      </c>
      <c r="J515" s="421" t="s">
        <v>76</v>
      </c>
      <c r="K515" s="421" t="s">
        <v>76</v>
      </c>
      <c r="L515" s="421" t="s">
        <v>7043</v>
      </c>
      <c r="M515" s="421" t="s">
        <v>7043</v>
      </c>
      <c r="N515" s="421" t="s">
        <v>7043</v>
      </c>
      <c r="O515" s="421" t="s">
        <v>7043</v>
      </c>
      <c r="P515" s="421" t="s">
        <v>76</v>
      </c>
      <c r="Q515" s="421" t="s">
        <v>7042</v>
      </c>
      <c r="R515" s="422" t="s">
        <v>7042</v>
      </c>
    </row>
    <row r="516" spans="1:18">
      <c r="A516" s="420" t="s">
        <v>7756</v>
      </c>
      <c r="B516" s="421" t="s">
        <v>6839</v>
      </c>
      <c r="C516" s="421" t="s">
        <v>7835</v>
      </c>
      <c r="D516" s="421" t="s">
        <v>7836</v>
      </c>
      <c r="E516" s="421" t="s">
        <v>7369</v>
      </c>
      <c r="F516" s="421" t="s">
        <v>7042</v>
      </c>
      <c r="G516" s="421" t="s">
        <v>7042</v>
      </c>
      <c r="H516" s="421" t="s">
        <v>76</v>
      </c>
      <c r="I516" s="421" t="s">
        <v>76</v>
      </c>
      <c r="J516" s="421" t="s">
        <v>76</v>
      </c>
      <c r="K516" s="421" t="s">
        <v>76</v>
      </c>
      <c r="L516" s="421" t="s">
        <v>7043</v>
      </c>
      <c r="M516" s="421" t="s">
        <v>7043</v>
      </c>
      <c r="N516" s="421" t="s">
        <v>7043</v>
      </c>
      <c r="O516" s="421" t="s">
        <v>7043</v>
      </c>
      <c r="P516" s="421" t="s">
        <v>76</v>
      </c>
      <c r="Q516" s="421" t="s">
        <v>7042</v>
      </c>
      <c r="R516" s="422" t="s">
        <v>7042</v>
      </c>
    </row>
    <row r="517" spans="1:18">
      <c r="A517" s="420" t="s">
        <v>7756</v>
      </c>
      <c r="B517" s="421" t="s">
        <v>6839</v>
      </c>
      <c r="C517" s="421" t="s">
        <v>7837</v>
      </c>
      <c r="D517" s="421" t="s">
        <v>7838</v>
      </c>
      <c r="E517" s="421" t="s">
        <v>7369</v>
      </c>
      <c r="F517" s="421" t="s">
        <v>7042</v>
      </c>
      <c r="G517" s="421" t="s">
        <v>7042</v>
      </c>
      <c r="H517" s="421" t="s">
        <v>76</v>
      </c>
      <c r="I517" s="421" t="s">
        <v>7043</v>
      </c>
      <c r="J517" s="421" t="s">
        <v>76</v>
      </c>
      <c r="K517" s="421" t="s">
        <v>76</v>
      </c>
      <c r="L517" s="421" t="s">
        <v>7043</v>
      </c>
      <c r="M517" s="421" t="s">
        <v>7043</v>
      </c>
      <c r="N517" s="421" t="s">
        <v>7043</v>
      </c>
      <c r="O517" s="421" t="s">
        <v>7043</v>
      </c>
      <c r="P517" s="421" t="s">
        <v>76</v>
      </c>
      <c r="Q517" s="421" t="s">
        <v>7042</v>
      </c>
      <c r="R517" s="422" t="s">
        <v>7042</v>
      </c>
    </row>
    <row r="518" spans="1:18">
      <c r="A518" s="420" t="s">
        <v>7756</v>
      </c>
      <c r="B518" s="421" t="s">
        <v>6839</v>
      </c>
      <c r="C518" s="421" t="s">
        <v>7839</v>
      </c>
      <c r="D518" s="421" t="s">
        <v>7840</v>
      </c>
      <c r="E518" s="421" t="s">
        <v>7369</v>
      </c>
      <c r="F518" s="421" t="s">
        <v>7042</v>
      </c>
      <c r="G518" s="421" t="s">
        <v>7042</v>
      </c>
      <c r="H518" s="421" t="s">
        <v>76</v>
      </c>
      <c r="I518" s="421" t="s">
        <v>76</v>
      </c>
      <c r="J518" s="421" t="s">
        <v>76</v>
      </c>
      <c r="K518" s="421" t="s">
        <v>76</v>
      </c>
      <c r="L518" s="421" t="s">
        <v>7043</v>
      </c>
      <c r="M518" s="421" t="s">
        <v>7043</v>
      </c>
      <c r="N518" s="421" t="s">
        <v>7043</v>
      </c>
      <c r="O518" s="421" t="s">
        <v>7043</v>
      </c>
      <c r="P518" s="421" t="s">
        <v>76</v>
      </c>
      <c r="Q518" s="421" t="s">
        <v>7042</v>
      </c>
      <c r="R518" s="422" t="s">
        <v>7042</v>
      </c>
    </row>
    <row r="519" spans="1:18">
      <c r="A519" s="420" t="s">
        <v>7756</v>
      </c>
      <c r="B519" s="421" t="s">
        <v>6839</v>
      </c>
      <c r="C519" s="421" t="s">
        <v>7841</v>
      </c>
      <c r="D519" s="421" t="s">
        <v>7842</v>
      </c>
      <c r="E519" s="421" t="s">
        <v>7369</v>
      </c>
      <c r="F519" s="421" t="s">
        <v>7042</v>
      </c>
      <c r="G519" s="421" t="s">
        <v>7042</v>
      </c>
      <c r="H519" s="421" t="s">
        <v>7042</v>
      </c>
      <c r="I519" s="421" t="s">
        <v>7043</v>
      </c>
      <c r="J519" s="421" t="s">
        <v>76</v>
      </c>
      <c r="K519" s="421" t="s">
        <v>76</v>
      </c>
      <c r="L519" s="421" t="s">
        <v>7043</v>
      </c>
      <c r="M519" s="421" t="s">
        <v>7043</v>
      </c>
      <c r="N519" s="421" t="s">
        <v>7043</v>
      </c>
      <c r="O519" s="421" t="s">
        <v>7043</v>
      </c>
      <c r="P519" s="421" t="s">
        <v>76</v>
      </c>
      <c r="Q519" s="421" t="s">
        <v>7042</v>
      </c>
      <c r="R519" s="422" t="s">
        <v>7042</v>
      </c>
    </row>
    <row r="520" spans="1:18">
      <c r="A520" s="420" t="s">
        <v>7756</v>
      </c>
      <c r="B520" s="421" t="s">
        <v>6839</v>
      </c>
      <c r="C520" s="421" t="s">
        <v>7843</v>
      </c>
      <c r="D520" s="421" t="s">
        <v>7844</v>
      </c>
      <c r="E520" s="421" t="s">
        <v>7369</v>
      </c>
      <c r="F520" s="421" t="s">
        <v>7042</v>
      </c>
      <c r="G520" s="421" t="s">
        <v>7042</v>
      </c>
      <c r="H520" s="421" t="s">
        <v>7042</v>
      </c>
      <c r="I520" s="421" t="s">
        <v>7043</v>
      </c>
      <c r="J520" s="421" t="s">
        <v>7043</v>
      </c>
      <c r="K520" s="421" t="s">
        <v>76</v>
      </c>
      <c r="L520" s="421" t="s">
        <v>7043</v>
      </c>
      <c r="M520" s="421" t="s">
        <v>7043</v>
      </c>
      <c r="N520" s="421" t="s">
        <v>7043</v>
      </c>
      <c r="O520" s="421" t="s">
        <v>7043</v>
      </c>
      <c r="P520" s="421" t="s">
        <v>76</v>
      </c>
      <c r="Q520" s="421" t="s">
        <v>7042</v>
      </c>
      <c r="R520" s="422" t="s">
        <v>7042</v>
      </c>
    </row>
    <row r="521" spans="1:18">
      <c r="A521" s="420" t="s">
        <v>7756</v>
      </c>
      <c r="B521" s="421" t="s">
        <v>6839</v>
      </c>
      <c r="C521" s="421" t="s">
        <v>7845</v>
      </c>
      <c r="D521" s="421" t="s">
        <v>7846</v>
      </c>
      <c r="E521" s="421" t="s">
        <v>7369</v>
      </c>
      <c r="F521" s="421" t="s">
        <v>7042</v>
      </c>
      <c r="G521" s="421" t="s">
        <v>7042</v>
      </c>
      <c r="H521" s="421" t="s">
        <v>76</v>
      </c>
      <c r="I521" s="421" t="s">
        <v>76</v>
      </c>
      <c r="J521" s="421" t="s">
        <v>76</v>
      </c>
      <c r="K521" s="421" t="s">
        <v>76</v>
      </c>
      <c r="L521" s="421" t="s">
        <v>7043</v>
      </c>
      <c r="M521" s="421" t="s">
        <v>7043</v>
      </c>
      <c r="N521" s="421" t="s">
        <v>7043</v>
      </c>
      <c r="O521" s="421" t="s">
        <v>7043</v>
      </c>
      <c r="P521" s="421" t="s">
        <v>76</v>
      </c>
      <c r="Q521" s="421" t="s">
        <v>7042</v>
      </c>
      <c r="R521" s="422" t="s">
        <v>7042</v>
      </c>
    </row>
    <row r="522" spans="1:18">
      <c r="A522" s="420" t="s">
        <v>7756</v>
      </c>
      <c r="B522" s="421" t="s">
        <v>6839</v>
      </c>
      <c r="C522" s="421" t="s">
        <v>7847</v>
      </c>
      <c r="D522" s="421" t="s">
        <v>7848</v>
      </c>
      <c r="E522" s="421" t="s">
        <v>7369</v>
      </c>
      <c r="F522" s="421" t="s">
        <v>7042</v>
      </c>
      <c r="G522" s="421" t="s">
        <v>7042</v>
      </c>
      <c r="H522" s="421" t="s">
        <v>76</v>
      </c>
      <c r="I522" s="421" t="s">
        <v>76</v>
      </c>
      <c r="J522" s="421" t="s">
        <v>76</v>
      </c>
      <c r="K522" s="421" t="s">
        <v>76</v>
      </c>
      <c r="L522" s="421" t="s">
        <v>7043</v>
      </c>
      <c r="M522" s="421" t="s">
        <v>7043</v>
      </c>
      <c r="N522" s="421" t="s">
        <v>7043</v>
      </c>
      <c r="O522" s="421" t="s">
        <v>7043</v>
      </c>
      <c r="P522" s="421" t="s">
        <v>76</v>
      </c>
      <c r="Q522" s="421" t="s">
        <v>7042</v>
      </c>
      <c r="R522" s="422" t="s">
        <v>7042</v>
      </c>
    </row>
    <row r="523" spans="1:18">
      <c r="A523" s="420" t="s">
        <v>7756</v>
      </c>
      <c r="B523" s="421" t="s">
        <v>6839</v>
      </c>
      <c r="C523" s="421" t="s">
        <v>7849</v>
      </c>
      <c r="D523" s="421" t="s">
        <v>7850</v>
      </c>
      <c r="E523" s="421" t="s">
        <v>7369</v>
      </c>
      <c r="F523" s="421" t="s">
        <v>7042</v>
      </c>
      <c r="G523" s="421" t="s">
        <v>7042</v>
      </c>
      <c r="H523" s="421" t="s">
        <v>76</v>
      </c>
      <c r="I523" s="421" t="s">
        <v>76</v>
      </c>
      <c r="J523" s="421" t="s">
        <v>76</v>
      </c>
      <c r="K523" s="421" t="s">
        <v>76</v>
      </c>
      <c r="L523" s="421" t="s">
        <v>7043</v>
      </c>
      <c r="M523" s="421" t="s">
        <v>7043</v>
      </c>
      <c r="N523" s="421" t="s">
        <v>7043</v>
      </c>
      <c r="O523" s="421" t="s">
        <v>7043</v>
      </c>
      <c r="P523" s="421" t="s">
        <v>76</v>
      </c>
      <c r="Q523" s="421" t="s">
        <v>7042</v>
      </c>
      <c r="R523" s="422" t="s">
        <v>7042</v>
      </c>
    </row>
    <row r="524" spans="1:18">
      <c r="A524" s="420" t="s">
        <v>7851</v>
      </c>
      <c r="B524" s="421" t="s">
        <v>6847</v>
      </c>
      <c r="C524" s="421" t="s">
        <v>7852</v>
      </c>
      <c r="D524" s="421" t="s">
        <v>7853</v>
      </c>
      <c r="E524" s="421" t="s">
        <v>76</v>
      </c>
      <c r="F524" s="421" t="s">
        <v>7042</v>
      </c>
      <c r="G524" s="421" t="s">
        <v>7042</v>
      </c>
      <c r="H524" s="421" t="s">
        <v>7042</v>
      </c>
      <c r="I524" s="421" t="s">
        <v>76</v>
      </c>
      <c r="J524" s="421" t="s">
        <v>76</v>
      </c>
      <c r="K524" s="421" t="s">
        <v>76</v>
      </c>
      <c r="L524" s="421" t="s">
        <v>76</v>
      </c>
      <c r="M524" s="421" t="s">
        <v>76</v>
      </c>
      <c r="N524" s="421" t="s">
        <v>76</v>
      </c>
      <c r="O524" s="421" t="s">
        <v>76</v>
      </c>
      <c r="P524" s="421" t="s">
        <v>76</v>
      </c>
      <c r="Q524" s="421" t="s">
        <v>76</v>
      </c>
      <c r="R524" s="422" t="s">
        <v>76</v>
      </c>
    </row>
    <row r="525" spans="1:18">
      <c r="A525" s="420" t="s">
        <v>7851</v>
      </c>
      <c r="B525" s="421" t="s">
        <v>6847</v>
      </c>
      <c r="C525" s="421" t="s">
        <v>7854</v>
      </c>
      <c r="D525" s="421" t="s">
        <v>7855</v>
      </c>
      <c r="E525" s="421" t="s">
        <v>76</v>
      </c>
      <c r="F525" s="421" t="s">
        <v>7042</v>
      </c>
      <c r="G525" s="421" t="s">
        <v>7042</v>
      </c>
      <c r="H525" s="421" t="s">
        <v>7042</v>
      </c>
      <c r="I525" s="421" t="s">
        <v>76</v>
      </c>
      <c r="J525" s="421" t="s">
        <v>76</v>
      </c>
      <c r="K525" s="421" t="s">
        <v>76</v>
      </c>
      <c r="L525" s="421" t="s">
        <v>76</v>
      </c>
      <c r="M525" s="421" t="s">
        <v>76</v>
      </c>
      <c r="N525" s="421" t="s">
        <v>76</v>
      </c>
      <c r="O525" s="421" t="s">
        <v>76</v>
      </c>
      <c r="P525" s="421" t="s">
        <v>76</v>
      </c>
      <c r="Q525" s="421" t="s">
        <v>76</v>
      </c>
      <c r="R525" s="422" t="s">
        <v>76</v>
      </c>
    </row>
    <row r="526" spans="1:18">
      <c r="A526" s="420" t="s">
        <v>7851</v>
      </c>
      <c r="B526" s="421" t="s">
        <v>6847</v>
      </c>
      <c r="C526" s="421" t="s">
        <v>7856</v>
      </c>
      <c r="D526" s="421" t="s">
        <v>7857</v>
      </c>
      <c r="E526" s="421" t="s">
        <v>7369</v>
      </c>
      <c r="F526" s="421" t="s">
        <v>7042</v>
      </c>
      <c r="G526" s="421" t="s">
        <v>7042</v>
      </c>
      <c r="H526" s="421" t="s">
        <v>7042</v>
      </c>
      <c r="I526" s="421" t="s">
        <v>7043</v>
      </c>
      <c r="J526" s="421" t="s">
        <v>76</v>
      </c>
      <c r="K526" s="421" t="s">
        <v>76</v>
      </c>
      <c r="L526" s="421" t="s">
        <v>7043</v>
      </c>
      <c r="M526" s="421" t="s">
        <v>7043</v>
      </c>
      <c r="N526" s="421" t="s">
        <v>7043</v>
      </c>
      <c r="O526" s="421" t="s">
        <v>7043</v>
      </c>
      <c r="P526" s="421" t="s">
        <v>7043</v>
      </c>
      <c r="Q526" s="421" t="s">
        <v>76</v>
      </c>
      <c r="R526" s="422" t="s">
        <v>76</v>
      </c>
    </row>
    <row r="527" spans="1:18">
      <c r="A527" s="420" t="s">
        <v>7851</v>
      </c>
      <c r="B527" s="421" t="s">
        <v>6847</v>
      </c>
      <c r="C527" s="421" t="s">
        <v>7858</v>
      </c>
      <c r="D527" s="421" t="s">
        <v>7859</v>
      </c>
      <c r="E527" s="421" t="s">
        <v>7369</v>
      </c>
      <c r="F527" s="421" t="s">
        <v>7042</v>
      </c>
      <c r="G527" s="421" t="s">
        <v>7042</v>
      </c>
      <c r="H527" s="421" t="s">
        <v>7042</v>
      </c>
      <c r="I527" s="421" t="s">
        <v>7043</v>
      </c>
      <c r="J527" s="421" t="s">
        <v>76</v>
      </c>
      <c r="K527" s="421" t="s">
        <v>76</v>
      </c>
      <c r="L527" s="421" t="s">
        <v>7043</v>
      </c>
      <c r="M527" s="421" t="s">
        <v>7043</v>
      </c>
      <c r="N527" s="421" t="s">
        <v>7043</v>
      </c>
      <c r="O527" s="421" t="s">
        <v>7043</v>
      </c>
      <c r="P527" s="421" t="s">
        <v>76</v>
      </c>
      <c r="Q527" s="421" t="s">
        <v>76</v>
      </c>
      <c r="R527" s="422" t="s">
        <v>76</v>
      </c>
    </row>
    <row r="528" spans="1:18">
      <c r="A528" s="420" t="s">
        <v>7851</v>
      </c>
      <c r="B528" s="421" t="s">
        <v>6847</v>
      </c>
      <c r="C528" s="421" t="s">
        <v>7860</v>
      </c>
      <c r="D528" s="421" t="s">
        <v>7861</v>
      </c>
      <c r="E528" s="421" t="s">
        <v>7369</v>
      </c>
      <c r="F528" s="421" t="s">
        <v>7042</v>
      </c>
      <c r="G528" s="421" t="s">
        <v>7042</v>
      </c>
      <c r="H528" s="421" t="s">
        <v>7042</v>
      </c>
      <c r="I528" s="421" t="s">
        <v>7043</v>
      </c>
      <c r="J528" s="421" t="s">
        <v>76</v>
      </c>
      <c r="K528" s="421" t="s">
        <v>76</v>
      </c>
      <c r="L528" s="421" t="s">
        <v>7043</v>
      </c>
      <c r="M528" s="421" t="s">
        <v>7043</v>
      </c>
      <c r="N528" s="421" t="s">
        <v>7043</v>
      </c>
      <c r="O528" s="421" t="s">
        <v>7043</v>
      </c>
      <c r="P528" s="421" t="s">
        <v>76</v>
      </c>
      <c r="Q528" s="421" t="s">
        <v>76</v>
      </c>
      <c r="R528" s="422" t="s">
        <v>76</v>
      </c>
    </row>
    <row r="529" spans="1:18">
      <c r="A529" s="420" t="s">
        <v>7851</v>
      </c>
      <c r="B529" s="421" t="s">
        <v>6847</v>
      </c>
      <c r="C529" s="421" t="s">
        <v>7862</v>
      </c>
      <c r="D529" s="423" t="s">
        <v>7863</v>
      </c>
      <c r="E529" s="421" t="s">
        <v>76</v>
      </c>
      <c r="F529" s="421" t="s">
        <v>7042</v>
      </c>
      <c r="G529" s="421" t="s">
        <v>7042</v>
      </c>
      <c r="H529" s="421" t="s">
        <v>76</v>
      </c>
      <c r="I529" s="421" t="s">
        <v>76</v>
      </c>
      <c r="J529" s="421" t="s">
        <v>76</v>
      </c>
      <c r="K529" s="421" t="s">
        <v>76</v>
      </c>
      <c r="L529" s="421" t="s">
        <v>7043</v>
      </c>
      <c r="M529" s="421" t="s">
        <v>7043</v>
      </c>
      <c r="N529" s="421" t="s">
        <v>7043</v>
      </c>
      <c r="O529" s="421" t="s">
        <v>7043</v>
      </c>
      <c r="P529" s="421" t="s">
        <v>76</v>
      </c>
      <c r="Q529" s="421" t="s">
        <v>76</v>
      </c>
      <c r="R529" s="422" t="s">
        <v>76</v>
      </c>
    </row>
    <row r="530" spans="1:18">
      <c r="A530" s="420" t="s">
        <v>7851</v>
      </c>
      <c r="B530" s="421" t="s">
        <v>6847</v>
      </c>
      <c r="C530" s="423" t="s">
        <v>7864</v>
      </c>
      <c r="D530" s="423" t="s">
        <v>7865</v>
      </c>
      <c r="E530" s="421" t="s">
        <v>76</v>
      </c>
      <c r="F530" s="421" t="s">
        <v>7042</v>
      </c>
      <c r="G530" s="421" t="s">
        <v>7042</v>
      </c>
      <c r="H530" s="423" t="s">
        <v>1198</v>
      </c>
      <c r="I530" s="421" t="s">
        <v>76</v>
      </c>
      <c r="J530" s="421" t="s">
        <v>76</v>
      </c>
      <c r="K530" s="421" t="s">
        <v>76</v>
      </c>
      <c r="L530" s="421" t="s">
        <v>7043</v>
      </c>
      <c r="M530" s="421" t="s">
        <v>7043</v>
      </c>
      <c r="N530" s="421" t="s">
        <v>7043</v>
      </c>
      <c r="O530" s="421" t="s">
        <v>7043</v>
      </c>
      <c r="P530" s="421" t="s">
        <v>76</v>
      </c>
      <c r="Q530" s="421" t="s">
        <v>76</v>
      </c>
      <c r="R530" s="422" t="s">
        <v>76</v>
      </c>
    </row>
    <row r="531" spans="1:18">
      <c r="A531" s="420" t="s">
        <v>7851</v>
      </c>
      <c r="B531" s="421" t="s">
        <v>6847</v>
      </c>
      <c r="C531" s="421" t="s">
        <v>7866</v>
      </c>
      <c r="D531" s="421" t="s">
        <v>7867</v>
      </c>
      <c r="E531" s="421" t="s">
        <v>76</v>
      </c>
      <c r="F531" s="421" t="s">
        <v>7042</v>
      </c>
      <c r="G531" s="421" t="s">
        <v>7042</v>
      </c>
      <c r="H531" s="421" t="s">
        <v>76</v>
      </c>
      <c r="I531" s="421" t="s">
        <v>76</v>
      </c>
      <c r="J531" s="421" t="s">
        <v>76</v>
      </c>
      <c r="K531" s="421" t="s">
        <v>1198</v>
      </c>
      <c r="L531" s="421" t="s">
        <v>1198</v>
      </c>
      <c r="M531" s="421" t="s">
        <v>1198</v>
      </c>
      <c r="N531" s="421" t="s">
        <v>1198</v>
      </c>
      <c r="O531" s="421" t="s">
        <v>1198</v>
      </c>
      <c r="P531" s="421" t="s">
        <v>76</v>
      </c>
      <c r="Q531" s="421" t="s">
        <v>1198</v>
      </c>
      <c r="R531" s="422" t="s">
        <v>76</v>
      </c>
    </row>
    <row r="532" spans="1:18">
      <c r="A532" s="420" t="s">
        <v>7851</v>
      </c>
      <c r="B532" s="421" t="s">
        <v>6847</v>
      </c>
      <c r="C532" s="421" t="s">
        <v>7868</v>
      </c>
      <c r="D532" s="421" t="s">
        <v>7869</v>
      </c>
      <c r="E532" s="421" t="s">
        <v>76</v>
      </c>
      <c r="F532" s="421" t="s">
        <v>76</v>
      </c>
      <c r="G532" s="421" t="s">
        <v>76</v>
      </c>
      <c r="H532" s="421" t="s">
        <v>7042</v>
      </c>
      <c r="I532" s="421" t="s">
        <v>76</v>
      </c>
      <c r="J532" s="421" t="s">
        <v>76</v>
      </c>
      <c r="K532" s="421" t="s">
        <v>76</v>
      </c>
      <c r="L532" s="421" t="s">
        <v>76</v>
      </c>
      <c r="M532" s="421" t="s">
        <v>76</v>
      </c>
      <c r="N532" s="421" t="s">
        <v>76</v>
      </c>
      <c r="O532" s="421" t="s">
        <v>76</v>
      </c>
      <c r="P532" s="421" t="s">
        <v>76</v>
      </c>
      <c r="Q532" s="421" t="s">
        <v>76</v>
      </c>
      <c r="R532" s="422" t="s">
        <v>76</v>
      </c>
    </row>
    <row r="533" spans="1:18">
      <c r="A533" s="420" t="s">
        <v>7870</v>
      </c>
      <c r="B533" s="421" t="s">
        <v>6852</v>
      </c>
      <c r="C533" s="421" t="s">
        <v>7871</v>
      </c>
      <c r="D533" s="421" t="s">
        <v>7872</v>
      </c>
      <c r="E533" s="421" t="s">
        <v>76</v>
      </c>
      <c r="F533" s="421" t="s">
        <v>7042</v>
      </c>
      <c r="G533" s="421" t="s">
        <v>7042</v>
      </c>
      <c r="H533" s="421" t="s">
        <v>76</v>
      </c>
      <c r="I533" s="421" t="s">
        <v>76</v>
      </c>
      <c r="J533" s="421" t="s">
        <v>76</v>
      </c>
      <c r="K533" s="421" t="s">
        <v>1198</v>
      </c>
      <c r="L533" s="421" t="s">
        <v>1198</v>
      </c>
      <c r="M533" s="421" t="s">
        <v>1198</v>
      </c>
      <c r="N533" s="421" t="s">
        <v>1198</v>
      </c>
      <c r="O533" s="421" t="s">
        <v>1198</v>
      </c>
      <c r="P533" s="421" t="s">
        <v>76</v>
      </c>
      <c r="Q533" s="421" t="s">
        <v>1198</v>
      </c>
      <c r="R533" s="422" t="s">
        <v>76</v>
      </c>
    </row>
    <row r="534" spans="1:18">
      <c r="A534" s="420" t="s">
        <v>7870</v>
      </c>
      <c r="B534" s="421" t="s">
        <v>6852</v>
      </c>
      <c r="C534" s="421" t="s">
        <v>7873</v>
      </c>
      <c r="D534" s="421" t="s">
        <v>7874</v>
      </c>
      <c r="E534" s="421" t="s">
        <v>7042</v>
      </c>
      <c r="F534" s="421" t="s">
        <v>7042</v>
      </c>
      <c r="G534" s="421" t="s">
        <v>7042</v>
      </c>
      <c r="H534" s="421" t="s">
        <v>76</v>
      </c>
      <c r="I534" s="421" t="s">
        <v>76</v>
      </c>
      <c r="J534" s="421" t="s">
        <v>76</v>
      </c>
      <c r="K534" s="421" t="s">
        <v>76</v>
      </c>
      <c r="L534" s="421" t="s">
        <v>76</v>
      </c>
      <c r="M534" s="421" t="s">
        <v>76</v>
      </c>
      <c r="N534" s="421" t="s">
        <v>76</v>
      </c>
      <c r="O534" s="421" t="s">
        <v>76</v>
      </c>
      <c r="P534" s="421" t="s">
        <v>76</v>
      </c>
      <c r="Q534" s="421" t="s">
        <v>7042</v>
      </c>
      <c r="R534" s="422" t="s">
        <v>7042</v>
      </c>
    </row>
    <row r="535" spans="1:18">
      <c r="A535" s="420" t="s">
        <v>7870</v>
      </c>
      <c r="B535" s="421" t="s">
        <v>6852</v>
      </c>
      <c r="C535" s="421" t="s">
        <v>7862</v>
      </c>
      <c r="D535" s="421" t="s">
        <v>7875</v>
      </c>
      <c r="E535" s="421" t="s">
        <v>76</v>
      </c>
      <c r="F535" s="421" t="s">
        <v>7042</v>
      </c>
      <c r="G535" s="421" t="s">
        <v>7042</v>
      </c>
      <c r="H535" s="421" t="s">
        <v>76</v>
      </c>
      <c r="I535" s="421" t="s">
        <v>76</v>
      </c>
      <c r="J535" s="421" t="s">
        <v>76</v>
      </c>
      <c r="K535" s="421" t="s">
        <v>76</v>
      </c>
      <c r="L535" s="421" t="s">
        <v>76</v>
      </c>
      <c r="M535" s="421" t="s">
        <v>76</v>
      </c>
      <c r="N535" s="421" t="s">
        <v>76</v>
      </c>
      <c r="O535" s="421" t="s">
        <v>76</v>
      </c>
      <c r="P535" s="421" t="s">
        <v>76</v>
      </c>
      <c r="Q535" s="421" t="s">
        <v>76</v>
      </c>
      <c r="R535" s="422" t="s">
        <v>76</v>
      </c>
    </row>
    <row r="536" spans="1:18">
      <c r="A536" s="420" t="s">
        <v>7870</v>
      </c>
      <c r="B536" s="421" t="s">
        <v>6852</v>
      </c>
      <c r="C536" s="421" t="s">
        <v>7876</v>
      </c>
      <c r="D536" s="421" t="s">
        <v>7877</v>
      </c>
      <c r="E536" s="421" t="s">
        <v>7042</v>
      </c>
      <c r="F536" s="421" t="s">
        <v>7042</v>
      </c>
      <c r="G536" s="421" t="s">
        <v>7042</v>
      </c>
      <c r="H536" s="421" t="s">
        <v>7042</v>
      </c>
      <c r="I536" s="421" t="s">
        <v>7043</v>
      </c>
      <c r="J536" s="421" t="s">
        <v>76</v>
      </c>
      <c r="K536" s="421" t="s">
        <v>76</v>
      </c>
      <c r="L536" s="421" t="s">
        <v>76</v>
      </c>
      <c r="M536" s="421" t="s">
        <v>76</v>
      </c>
      <c r="N536" s="421" t="s">
        <v>76</v>
      </c>
      <c r="O536" s="421" t="s">
        <v>76</v>
      </c>
      <c r="P536" s="421" t="s">
        <v>76</v>
      </c>
      <c r="Q536" s="421" t="s">
        <v>76</v>
      </c>
      <c r="R536" s="422" t="s">
        <v>76</v>
      </c>
    </row>
    <row r="537" spans="1:18">
      <c r="A537" s="420" t="s">
        <v>7870</v>
      </c>
      <c r="B537" s="421" t="s">
        <v>6852</v>
      </c>
      <c r="C537" s="423" t="s">
        <v>7878</v>
      </c>
      <c r="D537" s="423" t="s">
        <v>7879</v>
      </c>
      <c r="E537" s="423" t="s">
        <v>1198</v>
      </c>
      <c r="F537" s="423" t="s">
        <v>1198</v>
      </c>
      <c r="G537" s="423" t="s">
        <v>1198</v>
      </c>
      <c r="H537" s="423" t="s">
        <v>1198</v>
      </c>
      <c r="I537" s="421" t="s">
        <v>7043</v>
      </c>
      <c r="J537" s="421" t="s">
        <v>76</v>
      </c>
      <c r="K537" s="421" t="s">
        <v>76</v>
      </c>
      <c r="L537" s="421" t="s">
        <v>76</v>
      </c>
      <c r="M537" s="421" t="s">
        <v>76</v>
      </c>
      <c r="N537" s="421" t="s">
        <v>76</v>
      </c>
      <c r="O537" s="421" t="s">
        <v>76</v>
      </c>
      <c r="P537" s="421" t="s">
        <v>76</v>
      </c>
      <c r="Q537" s="421" t="s">
        <v>76</v>
      </c>
      <c r="R537" s="422" t="s">
        <v>76</v>
      </c>
    </row>
    <row r="538" spans="1:18">
      <c r="A538" s="420" t="s">
        <v>7870</v>
      </c>
      <c r="B538" s="421" t="s">
        <v>6852</v>
      </c>
      <c r="C538" s="421" t="s">
        <v>7880</v>
      </c>
      <c r="D538" s="421" t="s">
        <v>7881</v>
      </c>
      <c r="E538" s="421" t="s">
        <v>76</v>
      </c>
      <c r="F538" s="421" t="s">
        <v>7042</v>
      </c>
      <c r="G538" s="421" t="s">
        <v>7042</v>
      </c>
      <c r="H538" s="421" t="s">
        <v>76</v>
      </c>
      <c r="I538" s="421" t="s">
        <v>76</v>
      </c>
      <c r="J538" s="421" t="s">
        <v>76</v>
      </c>
      <c r="K538" s="421" t="s">
        <v>76</v>
      </c>
      <c r="L538" s="421" t="s">
        <v>76</v>
      </c>
      <c r="M538" s="421" t="s">
        <v>76</v>
      </c>
      <c r="N538" s="421" t="s">
        <v>76</v>
      </c>
      <c r="O538" s="421" t="s">
        <v>76</v>
      </c>
      <c r="P538" s="421" t="s">
        <v>76</v>
      </c>
      <c r="Q538" s="421" t="s">
        <v>76</v>
      </c>
      <c r="R538" s="422" t="s">
        <v>76</v>
      </c>
    </row>
    <row r="539" spans="1:18">
      <c r="A539" s="420" t="s">
        <v>7870</v>
      </c>
      <c r="B539" s="421" t="s">
        <v>6852</v>
      </c>
      <c r="C539" s="421" t="s">
        <v>7882</v>
      </c>
      <c r="D539" s="421" t="s">
        <v>7883</v>
      </c>
      <c r="E539" s="421" t="s">
        <v>76</v>
      </c>
      <c r="F539" s="421" t="s">
        <v>7042</v>
      </c>
      <c r="G539" s="421" t="s">
        <v>7042</v>
      </c>
      <c r="H539" s="421" t="s">
        <v>76</v>
      </c>
      <c r="I539" s="421" t="s">
        <v>76</v>
      </c>
      <c r="J539" s="421" t="s">
        <v>76</v>
      </c>
      <c r="K539" s="421" t="s">
        <v>76</v>
      </c>
      <c r="L539" s="421" t="s">
        <v>76</v>
      </c>
      <c r="M539" s="421" t="s">
        <v>76</v>
      </c>
      <c r="N539" s="421" t="s">
        <v>76</v>
      </c>
      <c r="O539" s="421" t="s">
        <v>76</v>
      </c>
      <c r="P539" s="421" t="s">
        <v>76</v>
      </c>
      <c r="Q539" s="421" t="s">
        <v>76</v>
      </c>
      <c r="R539" s="422" t="s">
        <v>76</v>
      </c>
    </row>
    <row r="540" spans="1:18">
      <c r="A540" s="420" t="s">
        <v>7870</v>
      </c>
      <c r="B540" s="421" t="s">
        <v>6852</v>
      </c>
      <c r="C540" s="421" t="s">
        <v>7884</v>
      </c>
      <c r="D540" s="421" t="s">
        <v>7885</v>
      </c>
      <c r="E540" s="421" t="s">
        <v>7042</v>
      </c>
      <c r="F540" s="421" t="s">
        <v>7042</v>
      </c>
      <c r="G540" s="421" t="s">
        <v>7042</v>
      </c>
      <c r="H540" s="421" t="s">
        <v>7042</v>
      </c>
      <c r="I540" s="421" t="s">
        <v>7043</v>
      </c>
      <c r="J540" s="421" t="s">
        <v>76</v>
      </c>
      <c r="K540" s="421" t="s">
        <v>76</v>
      </c>
      <c r="L540" s="421" t="s">
        <v>76</v>
      </c>
      <c r="M540" s="421" t="s">
        <v>76</v>
      </c>
      <c r="N540" s="421" t="s">
        <v>76</v>
      </c>
      <c r="O540" s="421" t="s">
        <v>76</v>
      </c>
      <c r="P540" s="421" t="s">
        <v>76</v>
      </c>
      <c r="Q540" s="421" t="s">
        <v>76</v>
      </c>
      <c r="R540" s="422" t="s">
        <v>76</v>
      </c>
    </row>
    <row r="541" spans="1:18">
      <c r="A541" s="420" t="s">
        <v>7870</v>
      </c>
      <c r="B541" s="421" t="s">
        <v>6852</v>
      </c>
      <c r="C541" s="423" t="s">
        <v>7886</v>
      </c>
      <c r="D541" s="423" t="s">
        <v>7887</v>
      </c>
      <c r="E541" s="423" t="s">
        <v>1198</v>
      </c>
      <c r="F541" s="423" t="s">
        <v>1198</v>
      </c>
      <c r="G541" s="423" t="s">
        <v>1198</v>
      </c>
      <c r="H541" s="423" t="s">
        <v>1198</v>
      </c>
      <c r="I541" s="421" t="s">
        <v>7043</v>
      </c>
      <c r="J541" s="421" t="s">
        <v>76</v>
      </c>
      <c r="K541" s="421" t="s">
        <v>76</v>
      </c>
      <c r="L541" s="421" t="s">
        <v>76</v>
      </c>
      <c r="M541" s="421" t="s">
        <v>76</v>
      </c>
      <c r="N541" s="421" t="s">
        <v>76</v>
      </c>
      <c r="O541" s="421" t="s">
        <v>76</v>
      </c>
      <c r="P541" s="421" t="s">
        <v>76</v>
      </c>
      <c r="Q541" s="421" t="s">
        <v>76</v>
      </c>
      <c r="R541" s="422" t="s">
        <v>76</v>
      </c>
    </row>
    <row r="542" spans="1:18">
      <c r="A542" s="420" t="s">
        <v>7870</v>
      </c>
      <c r="B542" s="421" t="s">
        <v>6852</v>
      </c>
      <c r="C542" s="421" t="s">
        <v>7888</v>
      </c>
      <c r="D542" s="421" t="s">
        <v>7889</v>
      </c>
      <c r="E542" s="421" t="s">
        <v>7369</v>
      </c>
      <c r="F542" s="421" t="s">
        <v>7042</v>
      </c>
      <c r="G542" s="421" t="s">
        <v>7042</v>
      </c>
      <c r="H542" s="421" t="s">
        <v>7042</v>
      </c>
      <c r="I542" s="421" t="s">
        <v>7043</v>
      </c>
      <c r="J542" s="421" t="s">
        <v>76</v>
      </c>
      <c r="K542" s="421" t="s">
        <v>7043</v>
      </c>
      <c r="L542" s="421" t="s">
        <v>7043</v>
      </c>
      <c r="M542" s="421" t="s">
        <v>7043</v>
      </c>
      <c r="N542" s="421" t="s">
        <v>7043</v>
      </c>
      <c r="O542" s="421" t="s">
        <v>7043</v>
      </c>
      <c r="P542" s="421" t="s">
        <v>7043</v>
      </c>
      <c r="Q542" s="421" t="s">
        <v>7042</v>
      </c>
      <c r="R542" s="422" t="s">
        <v>7042</v>
      </c>
    </row>
    <row r="543" spans="1:18">
      <c r="A543" s="420" t="s">
        <v>7870</v>
      </c>
      <c r="B543" s="421" t="s">
        <v>6852</v>
      </c>
      <c r="C543" s="421" t="s">
        <v>7890</v>
      </c>
      <c r="D543" s="421" t="s">
        <v>7891</v>
      </c>
      <c r="E543" s="421" t="s">
        <v>7042</v>
      </c>
      <c r="F543" s="421" t="s">
        <v>7042</v>
      </c>
      <c r="G543" s="421" t="s">
        <v>7042</v>
      </c>
      <c r="H543" s="421" t="s">
        <v>7042</v>
      </c>
      <c r="I543" s="421" t="s">
        <v>76</v>
      </c>
      <c r="J543" s="421" t="s">
        <v>76</v>
      </c>
      <c r="K543" s="421" t="s">
        <v>76</v>
      </c>
      <c r="L543" s="421" t="s">
        <v>76</v>
      </c>
      <c r="M543" s="421" t="s">
        <v>76</v>
      </c>
      <c r="N543" s="421" t="s">
        <v>76</v>
      </c>
      <c r="O543" s="421" t="s">
        <v>76</v>
      </c>
      <c r="P543" s="421" t="s">
        <v>7043</v>
      </c>
      <c r="Q543" s="421" t="s">
        <v>76</v>
      </c>
      <c r="R543" s="422" t="s">
        <v>76</v>
      </c>
    </row>
    <row r="544" spans="1:18">
      <c r="A544" s="420" t="s">
        <v>7870</v>
      </c>
      <c r="B544" s="421" t="s">
        <v>6852</v>
      </c>
      <c r="C544" s="421" t="s">
        <v>7892</v>
      </c>
      <c r="D544" s="421" t="s">
        <v>7893</v>
      </c>
      <c r="E544" s="421" t="s">
        <v>76</v>
      </c>
      <c r="F544" s="421" t="s">
        <v>76</v>
      </c>
      <c r="G544" s="421" t="s">
        <v>76</v>
      </c>
      <c r="H544" s="421" t="s">
        <v>76</v>
      </c>
      <c r="I544" s="421" t="s">
        <v>7043</v>
      </c>
      <c r="J544" s="421" t="s">
        <v>76</v>
      </c>
      <c r="K544" s="421" t="s">
        <v>76</v>
      </c>
      <c r="L544" s="421" t="s">
        <v>76</v>
      </c>
      <c r="M544" s="421" t="s">
        <v>76</v>
      </c>
      <c r="N544" s="421" t="s">
        <v>76</v>
      </c>
      <c r="O544" s="421" t="s">
        <v>76</v>
      </c>
      <c r="P544" s="421" t="s">
        <v>76</v>
      </c>
      <c r="Q544" s="421" t="s">
        <v>76</v>
      </c>
      <c r="R544" s="422" t="s">
        <v>76</v>
      </c>
    </row>
    <row r="545" spans="1:18">
      <c r="A545" s="420" t="s">
        <v>7870</v>
      </c>
      <c r="B545" s="421" t="s">
        <v>6852</v>
      </c>
      <c r="C545" s="421" t="s">
        <v>7894</v>
      </c>
      <c r="D545" s="421" t="s">
        <v>7895</v>
      </c>
      <c r="E545" s="421" t="s">
        <v>7042</v>
      </c>
      <c r="F545" s="421" t="s">
        <v>7042</v>
      </c>
      <c r="G545" s="421" t="s">
        <v>7042</v>
      </c>
      <c r="H545" s="421" t="s">
        <v>76</v>
      </c>
      <c r="I545" s="421" t="s">
        <v>76</v>
      </c>
      <c r="J545" s="421" t="s">
        <v>76</v>
      </c>
      <c r="K545" s="421" t="s">
        <v>76</v>
      </c>
      <c r="L545" s="421" t="s">
        <v>76</v>
      </c>
      <c r="M545" s="421" t="s">
        <v>76</v>
      </c>
      <c r="N545" s="421" t="s">
        <v>76</v>
      </c>
      <c r="O545" s="421" t="s">
        <v>76</v>
      </c>
      <c r="P545" s="421" t="s">
        <v>76</v>
      </c>
      <c r="Q545" s="421" t="s">
        <v>7042</v>
      </c>
      <c r="R545" s="422" t="s">
        <v>7042</v>
      </c>
    </row>
    <row r="546" spans="1:18">
      <c r="A546" s="420" t="s">
        <v>7870</v>
      </c>
      <c r="B546" s="421" t="s">
        <v>6852</v>
      </c>
      <c r="C546" s="421" t="s">
        <v>7896</v>
      </c>
      <c r="D546" s="421" t="s">
        <v>7897</v>
      </c>
      <c r="E546" s="421" t="s">
        <v>7042</v>
      </c>
      <c r="F546" s="421" t="s">
        <v>7042</v>
      </c>
      <c r="G546" s="421" t="s">
        <v>7042</v>
      </c>
      <c r="H546" s="421" t="s">
        <v>76</v>
      </c>
      <c r="I546" s="421" t="s">
        <v>76</v>
      </c>
      <c r="J546" s="421" t="s">
        <v>76</v>
      </c>
      <c r="K546" s="421" t="s">
        <v>76</v>
      </c>
      <c r="L546" s="421" t="s">
        <v>76</v>
      </c>
      <c r="M546" s="421" t="s">
        <v>76</v>
      </c>
      <c r="N546" s="421" t="s">
        <v>76</v>
      </c>
      <c r="O546" s="421" t="s">
        <v>76</v>
      </c>
      <c r="P546" s="421" t="s">
        <v>76</v>
      </c>
      <c r="Q546" s="421" t="s">
        <v>7042</v>
      </c>
      <c r="R546" s="422" t="s">
        <v>7042</v>
      </c>
    </row>
    <row r="547" spans="1:18">
      <c r="A547" s="420" t="s">
        <v>7870</v>
      </c>
      <c r="B547" s="421" t="s">
        <v>6852</v>
      </c>
      <c r="C547" s="421" t="s">
        <v>7898</v>
      </c>
      <c r="D547" s="421" t="s">
        <v>7899</v>
      </c>
      <c r="E547" s="423" t="s">
        <v>7042</v>
      </c>
      <c r="F547" s="421" t="s">
        <v>7042</v>
      </c>
      <c r="G547" s="421" t="s">
        <v>7042</v>
      </c>
      <c r="H547" s="423" t="s">
        <v>7042</v>
      </c>
      <c r="I547" s="423" t="s">
        <v>7042</v>
      </c>
      <c r="J547" s="421" t="s">
        <v>76</v>
      </c>
      <c r="K547" s="421" t="s">
        <v>76</v>
      </c>
      <c r="L547" s="421" t="s">
        <v>76</v>
      </c>
      <c r="M547" s="421" t="s">
        <v>76</v>
      </c>
      <c r="N547" s="421" t="s">
        <v>76</v>
      </c>
      <c r="O547" s="421" t="s">
        <v>76</v>
      </c>
      <c r="P547" s="423" t="s">
        <v>7043</v>
      </c>
      <c r="Q547" s="421" t="s">
        <v>76</v>
      </c>
      <c r="R547" s="424" t="s">
        <v>76</v>
      </c>
    </row>
    <row r="548" spans="1:18">
      <c r="A548" s="420" t="s">
        <v>7870</v>
      </c>
      <c r="B548" s="421" t="s">
        <v>6852</v>
      </c>
      <c r="C548" s="421" t="s">
        <v>7900</v>
      </c>
      <c r="D548" s="421" t="s">
        <v>7901</v>
      </c>
      <c r="E548" s="421" t="s">
        <v>7369</v>
      </c>
      <c r="F548" s="421" t="s">
        <v>7042</v>
      </c>
      <c r="G548" s="421" t="s">
        <v>7042</v>
      </c>
      <c r="H548" s="421" t="s">
        <v>7042</v>
      </c>
      <c r="I548" s="421" t="s">
        <v>7043</v>
      </c>
      <c r="J548" s="421" t="s">
        <v>7043</v>
      </c>
      <c r="K548" s="421" t="s">
        <v>7043</v>
      </c>
      <c r="L548" s="421" t="s">
        <v>7043</v>
      </c>
      <c r="M548" s="421" t="s">
        <v>7043</v>
      </c>
      <c r="N548" s="421" t="s">
        <v>7043</v>
      </c>
      <c r="O548" s="421" t="s">
        <v>7043</v>
      </c>
      <c r="P548" s="421" t="s">
        <v>7043</v>
      </c>
      <c r="Q548" s="421" t="s">
        <v>7042</v>
      </c>
      <c r="R548" s="422" t="s">
        <v>7042</v>
      </c>
    </row>
    <row r="549" spans="1:18">
      <c r="A549" s="420" t="s">
        <v>7870</v>
      </c>
      <c r="B549" s="421" t="s">
        <v>6852</v>
      </c>
      <c r="C549" s="423" t="s">
        <v>7902</v>
      </c>
      <c r="D549" s="423" t="s">
        <v>7903</v>
      </c>
      <c r="E549" s="421" t="s">
        <v>7369</v>
      </c>
      <c r="F549" s="421" t="s">
        <v>7042</v>
      </c>
      <c r="G549" s="421" t="s">
        <v>7042</v>
      </c>
      <c r="H549" s="421" t="s">
        <v>7042</v>
      </c>
      <c r="I549" s="421" t="s">
        <v>7043</v>
      </c>
      <c r="J549" s="421" t="s">
        <v>7043</v>
      </c>
      <c r="K549" s="421" t="s">
        <v>7043</v>
      </c>
      <c r="L549" s="423" t="s">
        <v>76</v>
      </c>
      <c r="M549" s="423" t="s">
        <v>76</v>
      </c>
      <c r="N549" s="423" t="s">
        <v>76</v>
      </c>
      <c r="O549" s="423" t="s">
        <v>76</v>
      </c>
      <c r="P549" s="423" t="s">
        <v>76</v>
      </c>
      <c r="Q549" s="421" t="s">
        <v>7042</v>
      </c>
      <c r="R549" s="422" t="s">
        <v>7042</v>
      </c>
    </row>
    <row r="550" spans="1:18">
      <c r="A550" s="420" t="s">
        <v>7870</v>
      </c>
      <c r="B550" s="421" t="s">
        <v>6852</v>
      </c>
      <c r="C550" s="421" t="s">
        <v>7904</v>
      </c>
      <c r="D550" s="421" t="s">
        <v>7905</v>
      </c>
      <c r="E550" s="421" t="s">
        <v>76</v>
      </c>
      <c r="F550" s="421" t="s">
        <v>7042</v>
      </c>
      <c r="G550" s="421" t="s">
        <v>7042</v>
      </c>
      <c r="H550" s="421" t="s">
        <v>76</v>
      </c>
      <c r="I550" s="421" t="s">
        <v>76</v>
      </c>
      <c r="J550" s="421" t="s">
        <v>76</v>
      </c>
      <c r="K550" s="421" t="s">
        <v>76</v>
      </c>
      <c r="L550" s="421" t="s">
        <v>76</v>
      </c>
      <c r="M550" s="421" t="s">
        <v>76</v>
      </c>
      <c r="N550" s="421" t="s">
        <v>76</v>
      </c>
      <c r="O550" s="421" t="s">
        <v>76</v>
      </c>
      <c r="P550" s="421" t="s">
        <v>76</v>
      </c>
      <c r="Q550" s="421" t="s">
        <v>76</v>
      </c>
      <c r="R550" s="422" t="s">
        <v>76</v>
      </c>
    </row>
    <row r="551" spans="1:18">
      <c r="A551" s="420" t="s">
        <v>7870</v>
      </c>
      <c r="B551" s="421" t="s">
        <v>6852</v>
      </c>
      <c r="C551" s="421" t="s">
        <v>7906</v>
      </c>
      <c r="D551" s="421" t="s">
        <v>7907</v>
      </c>
      <c r="E551" s="421" t="s">
        <v>7369</v>
      </c>
      <c r="F551" s="421" t="s">
        <v>7369</v>
      </c>
      <c r="G551" s="421" t="s">
        <v>7369</v>
      </c>
      <c r="H551" s="421" t="s">
        <v>76</v>
      </c>
      <c r="I551" s="421" t="s">
        <v>7043</v>
      </c>
      <c r="J551" s="421" t="s">
        <v>76</v>
      </c>
      <c r="K551" s="421" t="s">
        <v>76</v>
      </c>
      <c r="L551" s="421" t="s">
        <v>76</v>
      </c>
      <c r="M551" s="421" t="s">
        <v>76</v>
      </c>
      <c r="N551" s="421" t="s">
        <v>76</v>
      </c>
      <c r="O551" s="421" t="s">
        <v>76</v>
      </c>
      <c r="P551" s="421" t="s">
        <v>76</v>
      </c>
      <c r="Q551" s="421" t="s">
        <v>7042</v>
      </c>
      <c r="R551" s="422" t="s">
        <v>7042</v>
      </c>
    </row>
    <row r="552" spans="1:18">
      <c r="A552" s="420" t="s">
        <v>7870</v>
      </c>
      <c r="B552" s="421" t="s">
        <v>6852</v>
      </c>
      <c r="C552" s="421" t="s">
        <v>7908</v>
      </c>
      <c r="D552" s="421" t="s">
        <v>7909</v>
      </c>
      <c r="E552" s="421" t="s">
        <v>7369</v>
      </c>
      <c r="F552" s="421" t="s">
        <v>7369</v>
      </c>
      <c r="G552" s="421" t="s">
        <v>7369</v>
      </c>
      <c r="H552" s="421" t="s">
        <v>7042</v>
      </c>
      <c r="I552" s="421" t="s">
        <v>76</v>
      </c>
      <c r="J552" s="421" t="s">
        <v>76</v>
      </c>
      <c r="K552" s="421" t="s">
        <v>76</v>
      </c>
      <c r="L552" s="421" t="s">
        <v>7043</v>
      </c>
      <c r="M552" s="421" t="s">
        <v>7043</v>
      </c>
      <c r="N552" s="421" t="s">
        <v>7043</v>
      </c>
      <c r="O552" s="421" t="s">
        <v>7043</v>
      </c>
      <c r="P552" s="421" t="s">
        <v>76</v>
      </c>
      <c r="Q552" s="421" t="s">
        <v>7042</v>
      </c>
      <c r="R552" s="422" t="s">
        <v>7042</v>
      </c>
    </row>
    <row r="553" spans="1:18">
      <c r="A553" s="420" t="s">
        <v>7870</v>
      </c>
      <c r="B553" s="421" t="s">
        <v>6852</v>
      </c>
      <c r="C553" s="421" t="s">
        <v>7910</v>
      </c>
      <c r="D553" s="421" t="s">
        <v>7911</v>
      </c>
      <c r="E553" s="421" t="s">
        <v>7042</v>
      </c>
      <c r="F553" s="421" t="s">
        <v>7042</v>
      </c>
      <c r="G553" s="421" t="s">
        <v>7042</v>
      </c>
      <c r="H553" s="421" t="s">
        <v>76</v>
      </c>
      <c r="I553" s="421" t="s">
        <v>7043</v>
      </c>
      <c r="J553" s="421" t="s">
        <v>7043</v>
      </c>
      <c r="K553" s="421" t="s">
        <v>76</v>
      </c>
      <c r="L553" s="421" t="s">
        <v>7043</v>
      </c>
      <c r="M553" s="421" t="s">
        <v>7043</v>
      </c>
      <c r="N553" s="421" t="s">
        <v>7043</v>
      </c>
      <c r="O553" s="421" t="s">
        <v>7043</v>
      </c>
      <c r="P553" s="421" t="s">
        <v>76</v>
      </c>
      <c r="Q553" s="421" t="s">
        <v>76</v>
      </c>
      <c r="R553" s="422" t="s">
        <v>7042</v>
      </c>
    </row>
    <row r="554" spans="1:18">
      <c r="A554" s="420" t="s">
        <v>7870</v>
      </c>
      <c r="B554" s="421" t="s">
        <v>6852</v>
      </c>
      <c r="C554" s="421" t="s">
        <v>7912</v>
      </c>
      <c r="D554" s="421" t="s">
        <v>7913</v>
      </c>
      <c r="E554" s="421" t="s">
        <v>76</v>
      </c>
      <c r="F554" s="421" t="s">
        <v>76</v>
      </c>
      <c r="G554" s="421" t="s">
        <v>76</v>
      </c>
      <c r="H554" s="421" t="s">
        <v>76</v>
      </c>
      <c r="I554" s="421" t="s">
        <v>7043</v>
      </c>
      <c r="J554" s="421" t="s">
        <v>76</v>
      </c>
      <c r="K554" s="421" t="s">
        <v>76</v>
      </c>
      <c r="L554" s="421" t="s">
        <v>76</v>
      </c>
      <c r="M554" s="421" t="s">
        <v>76</v>
      </c>
      <c r="N554" s="421" t="s">
        <v>76</v>
      </c>
      <c r="O554" s="421" t="s">
        <v>76</v>
      </c>
      <c r="P554" s="421" t="s">
        <v>76</v>
      </c>
      <c r="Q554" s="421" t="s">
        <v>76</v>
      </c>
      <c r="R554" s="422" t="s">
        <v>76</v>
      </c>
    </row>
    <row r="555" spans="1:18">
      <c r="A555" s="420" t="s">
        <v>7870</v>
      </c>
      <c r="B555" s="421" t="s">
        <v>6852</v>
      </c>
      <c r="C555" s="421" t="s">
        <v>7914</v>
      </c>
      <c r="D555" s="421" t="s">
        <v>7915</v>
      </c>
      <c r="E555" s="421" t="s">
        <v>7042</v>
      </c>
      <c r="F555" s="421" t="s">
        <v>7042</v>
      </c>
      <c r="G555" s="421" t="s">
        <v>7042</v>
      </c>
      <c r="H555" s="421" t="s">
        <v>7042</v>
      </c>
      <c r="I555" s="421" t="s">
        <v>7043</v>
      </c>
      <c r="J555" s="421" t="s">
        <v>7043</v>
      </c>
      <c r="K555" s="421" t="s">
        <v>7043</v>
      </c>
      <c r="L555" s="421" t="s">
        <v>7043</v>
      </c>
      <c r="M555" s="421" t="s">
        <v>7043</v>
      </c>
      <c r="N555" s="421" t="s">
        <v>7043</v>
      </c>
      <c r="O555" s="421" t="s">
        <v>7043</v>
      </c>
      <c r="P555" s="421" t="s">
        <v>7043</v>
      </c>
      <c r="Q555" s="421" t="s">
        <v>7042</v>
      </c>
      <c r="R555" s="422" t="s">
        <v>7042</v>
      </c>
    </row>
    <row r="556" spans="1:18">
      <c r="A556" s="420" t="s">
        <v>7870</v>
      </c>
      <c r="B556" s="421" t="s">
        <v>6852</v>
      </c>
      <c r="C556" s="421" t="s">
        <v>7916</v>
      </c>
      <c r="D556" s="421" t="s">
        <v>7917</v>
      </c>
      <c r="E556" s="421" t="s">
        <v>7369</v>
      </c>
      <c r="F556" s="421" t="s">
        <v>7369</v>
      </c>
      <c r="G556" s="421" t="s">
        <v>7369</v>
      </c>
      <c r="H556" s="421" t="s">
        <v>76</v>
      </c>
      <c r="I556" s="421" t="s">
        <v>7043</v>
      </c>
      <c r="J556" s="421" t="s">
        <v>76</v>
      </c>
      <c r="K556" s="421" t="s">
        <v>76</v>
      </c>
      <c r="L556" s="421" t="s">
        <v>76</v>
      </c>
      <c r="M556" s="421" t="s">
        <v>76</v>
      </c>
      <c r="N556" s="421" t="s">
        <v>76</v>
      </c>
      <c r="O556" s="421" t="s">
        <v>76</v>
      </c>
      <c r="P556" s="421" t="s">
        <v>76</v>
      </c>
      <c r="Q556" s="421" t="s">
        <v>7042</v>
      </c>
      <c r="R556" s="422" t="s">
        <v>7042</v>
      </c>
    </row>
    <row r="557" spans="1:18">
      <c r="A557" s="420" t="s">
        <v>7870</v>
      </c>
      <c r="B557" s="421" t="s">
        <v>6852</v>
      </c>
      <c r="C557" s="421" t="s">
        <v>7918</v>
      </c>
      <c r="D557" s="421" t="s">
        <v>7919</v>
      </c>
      <c r="E557" s="421" t="s">
        <v>7369</v>
      </c>
      <c r="F557" s="421" t="s">
        <v>7042</v>
      </c>
      <c r="G557" s="421" t="s">
        <v>7042</v>
      </c>
      <c r="H557" s="421" t="s">
        <v>7042</v>
      </c>
      <c r="I557" s="421" t="s">
        <v>76</v>
      </c>
      <c r="J557" s="421" t="s">
        <v>76</v>
      </c>
      <c r="K557" s="421" t="s">
        <v>76</v>
      </c>
      <c r="L557" s="421" t="s">
        <v>7043</v>
      </c>
      <c r="M557" s="421" t="s">
        <v>7043</v>
      </c>
      <c r="N557" s="421" t="s">
        <v>7043</v>
      </c>
      <c r="O557" s="421" t="s">
        <v>7043</v>
      </c>
      <c r="P557" s="421" t="s">
        <v>76</v>
      </c>
      <c r="Q557" s="421" t="s">
        <v>7042</v>
      </c>
      <c r="R557" s="422" t="s">
        <v>7042</v>
      </c>
    </row>
    <row r="558" spans="1:18">
      <c r="A558" s="420" t="s">
        <v>7870</v>
      </c>
      <c r="B558" s="421" t="s">
        <v>6852</v>
      </c>
      <c r="C558" s="421" t="s">
        <v>7920</v>
      </c>
      <c r="D558" s="421" t="s">
        <v>7921</v>
      </c>
      <c r="E558" s="421" t="s">
        <v>7042</v>
      </c>
      <c r="F558" s="421" t="s">
        <v>7042</v>
      </c>
      <c r="G558" s="421" t="s">
        <v>7042</v>
      </c>
      <c r="H558" s="421" t="s">
        <v>76</v>
      </c>
      <c r="I558" s="421" t="s">
        <v>7043</v>
      </c>
      <c r="J558" s="421" t="s">
        <v>7043</v>
      </c>
      <c r="K558" s="421" t="s">
        <v>76</v>
      </c>
      <c r="L558" s="421" t="s">
        <v>7043</v>
      </c>
      <c r="M558" s="421" t="s">
        <v>7043</v>
      </c>
      <c r="N558" s="421" t="s">
        <v>7043</v>
      </c>
      <c r="O558" s="421" t="s">
        <v>7043</v>
      </c>
      <c r="P558" s="421" t="s">
        <v>76</v>
      </c>
      <c r="Q558" s="421" t="s">
        <v>76</v>
      </c>
      <c r="R558" s="422" t="s">
        <v>7042</v>
      </c>
    </row>
    <row r="559" spans="1:18">
      <c r="A559" s="420" t="s">
        <v>7870</v>
      </c>
      <c r="B559" s="421" t="s">
        <v>6852</v>
      </c>
      <c r="C559" s="421" t="s">
        <v>7922</v>
      </c>
      <c r="D559" s="421" t="s">
        <v>7923</v>
      </c>
      <c r="E559" s="421" t="s">
        <v>76</v>
      </c>
      <c r="F559" s="421" t="s">
        <v>76</v>
      </c>
      <c r="G559" s="421" t="s">
        <v>76</v>
      </c>
      <c r="H559" s="421" t="s">
        <v>76</v>
      </c>
      <c r="I559" s="421" t="s">
        <v>7043</v>
      </c>
      <c r="J559" s="421" t="s">
        <v>76</v>
      </c>
      <c r="K559" s="421" t="s">
        <v>76</v>
      </c>
      <c r="L559" s="421" t="s">
        <v>76</v>
      </c>
      <c r="M559" s="421" t="s">
        <v>76</v>
      </c>
      <c r="N559" s="421" t="s">
        <v>76</v>
      </c>
      <c r="O559" s="421" t="s">
        <v>76</v>
      </c>
      <c r="P559" s="421" t="s">
        <v>76</v>
      </c>
      <c r="Q559" s="421" t="s">
        <v>76</v>
      </c>
      <c r="R559" s="422" t="s">
        <v>76</v>
      </c>
    </row>
    <row r="560" spans="1:18">
      <c r="A560" s="420" t="s">
        <v>7870</v>
      </c>
      <c r="B560" s="421" t="s">
        <v>6852</v>
      </c>
      <c r="C560" s="421" t="s">
        <v>7924</v>
      </c>
      <c r="D560" s="421" t="s">
        <v>7925</v>
      </c>
      <c r="E560" s="421" t="s">
        <v>7042</v>
      </c>
      <c r="F560" s="421" t="s">
        <v>7042</v>
      </c>
      <c r="G560" s="421" t="s">
        <v>7042</v>
      </c>
      <c r="H560" s="421" t="s">
        <v>76</v>
      </c>
      <c r="I560" s="421" t="s">
        <v>76</v>
      </c>
      <c r="J560" s="421" t="s">
        <v>76</v>
      </c>
      <c r="K560" s="421" t="s">
        <v>7043</v>
      </c>
      <c r="L560" s="421" t="s">
        <v>76</v>
      </c>
      <c r="M560" s="421" t="s">
        <v>76</v>
      </c>
      <c r="N560" s="421" t="s">
        <v>76</v>
      </c>
      <c r="O560" s="421" t="s">
        <v>76</v>
      </c>
      <c r="P560" s="421" t="s">
        <v>7043</v>
      </c>
      <c r="Q560" s="421" t="s">
        <v>7042</v>
      </c>
      <c r="R560" s="422" t="s">
        <v>76</v>
      </c>
    </row>
    <row r="561" spans="1:18">
      <c r="A561" s="420" t="s">
        <v>7870</v>
      </c>
      <c r="B561" s="421" t="s">
        <v>6852</v>
      </c>
      <c r="C561" s="421" t="s">
        <v>7926</v>
      </c>
      <c r="D561" s="421" t="s">
        <v>7927</v>
      </c>
      <c r="E561" s="421" t="s">
        <v>7369</v>
      </c>
      <c r="F561" s="421" t="s">
        <v>7369</v>
      </c>
      <c r="G561" s="421" t="s">
        <v>7369</v>
      </c>
      <c r="H561" s="421" t="s">
        <v>76</v>
      </c>
      <c r="I561" s="421" t="s">
        <v>76</v>
      </c>
      <c r="J561" s="421" t="s">
        <v>76</v>
      </c>
      <c r="K561" s="421" t="s">
        <v>7043</v>
      </c>
      <c r="L561" s="421" t="s">
        <v>76</v>
      </c>
      <c r="M561" s="421" t="s">
        <v>76</v>
      </c>
      <c r="N561" s="421" t="s">
        <v>76</v>
      </c>
      <c r="O561" s="421" t="s">
        <v>76</v>
      </c>
      <c r="P561" s="421" t="s">
        <v>7043</v>
      </c>
      <c r="Q561" s="421" t="s">
        <v>7042</v>
      </c>
      <c r="R561" s="422" t="s">
        <v>76</v>
      </c>
    </row>
    <row r="562" spans="1:18">
      <c r="A562" s="420" t="s">
        <v>7870</v>
      </c>
      <c r="B562" s="421" t="s">
        <v>6852</v>
      </c>
      <c r="C562" s="421" t="s">
        <v>7928</v>
      </c>
      <c r="D562" s="421" t="s">
        <v>7929</v>
      </c>
      <c r="E562" s="421" t="s">
        <v>76</v>
      </c>
      <c r="F562" s="421" t="s">
        <v>76</v>
      </c>
      <c r="G562" s="421" t="s">
        <v>76</v>
      </c>
      <c r="H562" s="421" t="s">
        <v>76</v>
      </c>
      <c r="I562" s="421" t="s">
        <v>7043</v>
      </c>
      <c r="J562" s="421" t="s">
        <v>76</v>
      </c>
      <c r="K562" s="421" t="s">
        <v>76</v>
      </c>
      <c r="L562" s="421" t="s">
        <v>76</v>
      </c>
      <c r="M562" s="421" t="s">
        <v>76</v>
      </c>
      <c r="N562" s="421" t="s">
        <v>76</v>
      </c>
      <c r="O562" s="421" t="s">
        <v>76</v>
      </c>
      <c r="P562" s="421" t="s">
        <v>76</v>
      </c>
      <c r="Q562" s="421" t="s">
        <v>76</v>
      </c>
      <c r="R562" s="422" t="s">
        <v>76</v>
      </c>
    </row>
    <row r="563" spans="1:18">
      <c r="A563" s="420" t="s">
        <v>7870</v>
      </c>
      <c r="B563" s="421" t="s">
        <v>6852</v>
      </c>
      <c r="C563" s="421" t="s">
        <v>7930</v>
      </c>
      <c r="D563" s="421" t="s">
        <v>7931</v>
      </c>
      <c r="E563" s="421" t="s">
        <v>76</v>
      </c>
      <c r="F563" s="421" t="s">
        <v>76</v>
      </c>
      <c r="G563" s="421" t="s">
        <v>76</v>
      </c>
      <c r="H563" s="421" t="s">
        <v>76</v>
      </c>
      <c r="I563" s="421" t="s">
        <v>7043</v>
      </c>
      <c r="J563" s="421" t="s">
        <v>76</v>
      </c>
      <c r="K563" s="421" t="s">
        <v>76</v>
      </c>
      <c r="L563" s="421" t="s">
        <v>76</v>
      </c>
      <c r="M563" s="421" t="s">
        <v>76</v>
      </c>
      <c r="N563" s="421" t="s">
        <v>76</v>
      </c>
      <c r="O563" s="421" t="s">
        <v>76</v>
      </c>
      <c r="P563" s="421" t="s">
        <v>76</v>
      </c>
      <c r="Q563" s="421" t="s">
        <v>76</v>
      </c>
      <c r="R563" s="422" t="s">
        <v>76</v>
      </c>
    </row>
    <row r="564" spans="1:18">
      <c r="A564" s="420" t="s">
        <v>7870</v>
      </c>
      <c r="B564" s="421" t="s">
        <v>6852</v>
      </c>
      <c r="C564" s="423" t="s">
        <v>7932</v>
      </c>
      <c r="D564" s="421" t="s">
        <v>7933</v>
      </c>
      <c r="E564" s="421" t="s">
        <v>76</v>
      </c>
      <c r="F564" s="421" t="s">
        <v>76</v>
      </c>
      <c r="G564" s="421" t="s">
        <v>76</v>
      </c>
      <c r="H564" s="421" t="s">
        <v>76</v>
      </c>
      <c r="I564" s="421" t="s">
        <v>7043</v>
      </c>
      <c r="J564" s="421" t="s">
        <v>76</v>
      </c>
      <c r="K564" s="421" t="s">
        <v>76</v>
      </c>
      <c r="L564" s="421" t="s">
        <v>76</v>
      </c>
      <c r="M564" s="421" t="s">
        <v>76</v>
      </c>
      <c r="N564" s="421" t="s">
        <v>76</v>
      </c>
      <c r="O564" s="421" t="s">
        <v>76</v>
      </c>
      <c r="P564" s="421" t="s">
        <v>76</v>
      </c>
      <c r="Q564" s="421" t="s">
        <v>76</v>
      </c>
      <c r="R564" s="422" t="s">
        <v>76</v>
      </c>
    </row>
    <row r="565" spans="1:18">
      <c r="A565" s="420" t="s">
        <v>7870</v>
      </c>
      <c r="B565" s="421" t="s">
        <v>6852</v>
      </c>
      <c r="C565" s="423" t="s">
        <v>7934</v>
      </c>
      <c r="D565" s="423" t="s">
        <v>7935</v>
      </c>
      <c r="E565" s="421" t="s">
        <v>76</v>
      </c>
      <c r="F565" s="421" t="s">
        <v>76</v>
      </c>
      <c r="G565" s="421" t="s">
        <v>76</v>
      </c>
      <c r="H565" s="421" t="s">
        <v>76</v>
      </c>
      <c r="I565" s="421" t="s">
        <v>7043</v>
      </c>
      <c r="J565" s="421" t="s">
        <v>76</v>
      </c>
      <c r="K565" s="421" t="s">
        <v>76</v>
      </c>
      <c r="L565" s="421" t="s">
        <v>76</v>
      </c>
      <c r="M565" s="421" t="s">
        <v>76</v>
      </c>
      <c r="N565" s="421" t="s">
        <v>76</v>
      </c>
      <c r="O565" s="421" t="s">
        <v>76</v>
      </c>
      <c r="P565" s="421" t="s">
        <v>76</v>
      </c>
      <c r="Q565" s="421" t="s">
        <v>76</v>
      </c>
      <c r="R565" s="422" t="s">
        <v>76</v>
      </c>
    </row>
    <row r="566" spans="1:18">
      <c r="A566" s="420" t="s">
        <v>7870</v>
      </c>
      <c r="B566" s="421" t="s">
        <v>6852</v>
      </c>
      <c r="C566" s="421" t="s">
        <v>7936</v>
      </c>
      <c r="D566" s="421" t="s">
        <v>7937</v>
      </c>
      <c r="E566" s="421" t="s">
        <v>7369</v>
      </c>
      <c r="F566" s="421" t="s">
        <v>7042</v>
      </c>
      <c r="G566" s="421" t="s">
        <v>7042</v>
      </c>
      <c r="H566" s="421" t="s">
        <v>7042</v>
      </c>
      <c r="I566" s="421" t="s">
        <v>7043</v>
      </c>
      <c r="J566" s="421" t="s">
        <v>7043</v>
      </c>
      <c r="K566" s="421" t="s">
        <v>7043</v>
      </c>
      <c r="L566" s="421" t="s">
        <v>7043</v>
      </c>
      <c r="M566" s="421" t="s">
        <v>7043</v>
      </c>
      <c r="N566" s="421" t="s">
        <v>7043</v>
      </c>
      <c r="O566" s="421" t="s">
        <v>7043</v>
      </c>
      <c r="P566" s="421" t="s">
        <v>7043</v>
      </c>
      <c r="Q566" s="421" t="s">
        <v>7042</v>
      </c>
      <c r="R566" s="422" t="s">
        <v>7042</v>
      </c>
    </row>
    <row r="567" spans="1:18">
      <c r="A567" s="420" t="s">
        <v>7938</v>
      </c>
      <c r="B567" s="421" t="s">
        <v>6863</v>
      </c>
      <c r="C567" s="421" t="s">
        <v>7939</v>
      </c>
      <c r="D567" s="421" t="s">
        <v>7940</v>
      </c>
      <c r="E567" s="421" t="s">
        <v>7369</v>
      </c>
      <c r="F567" s="421" t="s">
        <v>7042</v>
      </c>
      <c r="G567" s="421" t="s">
        <v>7042</v>
      </c>
      <c r="H567" s="421" t="s">
        <v>76</v>
      </c>
      <c r="I567" s="421" t="s">
        <v>76</v>
      </c>
      <c r="J567" s="421" t="s">
        <v>76</v>
      </c>
      <c r="K567" s="421" t="s">
        <v>76</v>
      </c>
      <c r="L567" s="421" t="s">
        <v>76</v>
      </c>
      <c r="M567" s="421" t="s">
        <v>76</v>
      </c>
      <c r="N567" s="421" t="s">
        <v>76</v>
      </c>
      <c r="O567" s="421" t="s">
        <v>76</v>
      </c>
      <c r="P567" s="421" t="s">
        <v>76</v>
      </c>
      <c r="Q567" s="421" t="s">
        <v>76</v>
      </c>
      <c r="R567" s="422" t="s">
        <v>76</v>
      </c>
    </row>
    <row r="568" spans="1:18">
      <c r="A568" s="420" t="s">
        <v>7938</v>
      </c>
      <c r="B568" s="421" t="s">
        <v>6863</v>
      </c>
      <c r="C568" s="421" t="s">
        <v>7941</v>
      </c>
      <c r="D568" s="421" t="s">
        <v>7942</v>
      </c>
      <c r="E568" s="421" t="s">
        <v>7042</v>
      </c>
      <c r="F568" s="421" t="s">
        <v>76</v>
      </c>
      <c r="G568" s="421" t="s">
        <v>76</v>
      </c>
      <c r="H568" s="421" t="s">
        <v>76</v>
      </c>
      <c r="I568" s="421" t="s">
        <v>76</v>
      </c>
      <c r="J568" s="421" t="s">
        <v>76</v>
      </c>
      <c r="K568" s="421" t="s">
        <v>76</v>
      </c>
      <c r="L568" s="421" t="s">
        <v>7042</v>
      </c>
      <c r="M568" s="421" t="s">
        <v>7042</v>
      </c>
      <c r="N568" s="421" t="s">
        <v>76</v>
      </c>
      <c r="O568" s="421" t="s">
        <v>76</v>
      </c>
      <c r="P568" s="421" t="s">
        <v>76</v>
      </c>
      <c r="Q568" s="421" t="s">
        <v>76</v>
      </c>
      <c r="R568" s="422" t="s">
        <v>76</v>
      </c>
    </row>
    <row r="569" spans="1:18">
      <c r="A569" s="420" t="s">
        <v>7938</v>
      </c>
      <c r="B569" s="421" t="s">
        <v>6863</v>
      </c>
      <c r="C569" s="421" t="s">
        <v>7943</v>
      </c>
      <c r="D569" s="421" t="s">
        <v>7944</v>
      </c>
      <c r="E569" s="421" t="s">
        <v>7369</v>
      </c>
      <c r="F569" s="421" t="s">
        <v>7042</v>
      </c>
      <c r="G569" s="421" t="s">
        <v>7042</v>
      </c>
      <c r="H569" s="421" t="s">
        <v>76</v>
      </c>
      <c r="I569" s="421" t="s">
        <v>7043</v>
      </c>
      <c r="J569" s="421" t="s">
        <v>76</v>
      </c>
      <c r="K569" s="421" t="s">
        <v>76</v>
      </c>
      <c r="L569" s="421" t="s">
        <v>76</v>
      </c>
      <c r="M569" s="421" t="s">
        <v>76</v>
      </c>
      <c r="N569" s="421" t="s">
        <v>76</v>
      </c>
      <c r="O569" s="421" t="s">
        <v>76</v>
      </c>
      <c r="P569" s="421" t="s">
        <v>76</v>
      </c>
      <c r="Q569" s="421" t="s">
        <v>76</v>
      </c>
      <c r="R569" s="422" t="s">
        <v>76</v>
      </c>
    </row>
    <row r="570" spans="1:18">
      <c r="A570" s="420" t="s">
        <v>7938</v>
      </c>
      <c r="B570" s="421" t="s">
        <v>6863</v>
      </c>
      <c r="C570" s="421" t="s">
        <v>7945</v>
      </c>
      <c r="D570" s="421" t="s">
        <v>7946</v>
      </c>
      <c r="E570" s="421" t="s">
        <v>7369</v>
      </c>
      <c r="F570" s="421" t="s">
        <v>7042</v>
      </c>
      <c r="G570" s="421" t="s">
        <v>7042</v>
      </c>
      <c r="H570" s="421" t="s">
        <v>76</v>
      </c>
      <c r="I570" s="421" t="s">
        <v>7043</v>
      </c>
      <c r="J570" s="421" t="s">
        <v>76</v>
      </c>
      <c r="K570" s="421" t="s">
        <v>76</v>
      </c>
      <c r="L570" s="421" t="s">
        <v>76</v>
      </c>
      <c r="M570" s="421" t="s">
        <v>76</v>
      </c>
      <c r="N570" s="421" t="s">
        <v>76</v>
      </c>
      <c r="O570" s="421" t="s">
        <v>76</v>
      </c>
      <c r="P570" s="421" t="s">
        <v>76</v>
      </c>
      <c r="Q570" s="421" t="s">
        <v>76</v>
      </c>
      <c r="R570" s="422" t="s">
        <v>76</v>
      </c>
    </row>
    <row r="571" spans="1:18">
      <c r="A571" s="420" t="s">
        <v>7938</v>
      </c>
      <c r="B571" s="421" t="s">
        <v>6863</v>
      </c>
      <c r="C571" s="421" t="s">
        <v>7947</v>
      </c>
      <c r="D571" s="421" t="s">
        <v>7948</v>
      </c>
      <c r="E571" s="421" t="s">
        <v>7042</v>
      </c>
      <c r="F571" s="421" t="s">
        <v>7042</v>
      </c>
      <c r="G571" s="421" t="s">
        <v>7042</v>
      </c>
      <c r="H571" s="421" t="s">
        <v>7042</v>
      </c>
      <c r="I571" s="421" t="s">
        <v>76</v>
      </c>
      <c r="J571" s="421" t="s">
        <v>7043</v>
      </c>
      <c r="K571" s="421" t="s">
        <v>76</v>
      </c>
      <c r="L571" s="421" t="s">
        <v>7043</v>
      </c>
      <c r="M571" s="421" t="s">
        <v>7043</v>
      </c>
      <c r="N571" s="421" t="s">
        <v>7043</v>
      </c>
      <c r="O571" s="421" t="s">
        <v>7043</v>
      </c>
      <c r="P571" s="421" t="s">
        <v>76</v>
      </c>
      <c r="Q571" s="421" t="s">
        <v>76</v>
      </c>
      <c r="R571" s="422" t="s">
        <v>76</v>
      </c>
    </row>
    <row r="572" spans="1:18">
      <c r="A572" s="420" t="s">
        <v>7938</v>
      </c>
      <c r="B572" s="421" t="s">
        <v>6863</v>
      </c>
      <c r="C572" s="421" t="s">
        <v>7949</v>
      </c>
      <c r="D572" s="421" t="s">
        <v>7950</v>
      </c>
      <c r="E572" s="421" t="s">
        <v>7042</v>
      </c>
      <c r="F572" s="421" t="s">
        <v>7042</v>
      </c>
      <c r="G572" s="421" t="s">
        <v>7042</v>
      </c>
      <c r="H572" s="421" t="s">
        <v>7042</v>
      </c>
      <c r="I572" s="421" t="s">
        <v>76</v>
      </c>
      <c r="J572" s="421" t="s">
        <v>7043</v>
      </c>
      <c r="K572" s="421" t="s">
        <v>76</v>
      </c>
      <c r="L572" s="421" t="s">
        <v>7043</v>
      </c>
      <c r="M572" s="421" t="s">
        <v>7043</v>
      </c>
      <c r="N572" s="421" t="s">
        <v>7043</v>
      </c>
      <c r="O572" s="421" t="s">
        <v>7043</v>
      </c>
      <c r="P572" s="421" t="s">
        <v>76</v>
      </c>
      <c r="Q572" s="421" t="s">
        <v>76</v>
      </c>
      <c r="R572" s="422" t="s">
        <v>76</v>
      </c>
    </row>
    <row r="573" spans="1:18">
      <c r="A573" s="420" t="s">
        <v>7951</v>
      </c>
      <c r="B573" s="421" t="s">
        <v>6868</v>
      </c>
      <c r="C573" s="423" t="s">
        <v>7952</v>
      </c>
      <c r="D573" s="423" t="s">
        <v>7953</v>
      </c>
      <c r="E573" s="421" t="s">
        <v>76</v>
      </c>
      <c r="F573" s="421" t="s">
        <v>76</v>
      </c>
      <c r="G573" s="421" t="s">
        <v>76</v>
      </c>
      <c r="H573" s="421" t="s">
        <v>76</v>
      </c>
      <c r="I573" s="421" t="s">
        <v>76</v>
      </c>
      <c r="J573" s="421" t="s">
        <v>76</v>
      </c>
      <c r="K573" s="421" t="s">
        <v>7043</v>
      </c>
      <c r="L573" s="421" t="s">
        <v>76</v>
      </c>
      <c r="M573" s="421" t="s">
        <v>76</v>
      </c>
      <c r="N573" s="421" t="s">
        <v>76</v>
      </c>
      <c r="O573" s="421" t="s">
        <v>76</v>
      </c>
      <c r="P573" s="421" t="s">
        <v>76</v>
      </c>
      <c r="Q573" s="421" t="s">
        <v>76</v>
      </c>
      <c r="R573" s="422" t="s">
        <v>76</v>
      </c>
    </row>
    <row r="574" spans="1:18">
      <c r="A574" s="420" t="s">
        <v>7951</v>
      </c>
      <c r="B574" s="421" t="s">
        <v>6868</v>
      </c>
      <c r="C574" s="423" t="s">
        <v>7954</v>
      </c>
      <c r="D574" s="423" t="s">
        <v>7955</v>
      </c>
      <c r="E574" s="421" t="s">
        <v>76</v>
      </c>
      <c r="F574" s="421" t="s">
        <v>76</v>
      </c>
      <c r="G574" s="421" t="s">
        <v>76</v>
      </c>
      <c r="H574" s="421" t="s">
        <v>76</v>
      </c>
      <c r="I574" s="421" t="s">
        <v>76</v>
      </c>
      <c r="J574" s="421" t="s">
        <v>76</v>
      </c>
      <c r="K574" s="421" t="s">
        <v>7043</v>
      </c>
      <c r="L574" s="421" t="s">
        <v>76</v>
      </c>
      <c r="M574" s="421" t="s">
        <v>76</v>
      </c>
      <c r="N574" s="421" t="s">
        <v>76</v>
      </c>
      <c r="O574" s="421" t="s">
        <v>76</v>
      </c>
      <c r="P574" s="421" t="s">
        <v>76</v>
      </c>
      <c r="Q574" s="421" t="s">
        <v>76</v>
      </c>
      <c r="R574" s="422" t="s">
        <v>76</v>
      </c>
    </row>
    <row r="575" spans="1:18">
      <c r="A575" s="420" t="s">
        <v>7951</v>
      </c>
      <c r="B575" s="421" t="s">
        <v>6868</v>
      </c>
      <c r="C575" s="423" t="s">
        <v>7956</v>
      </c>
      <c r="D575" s="423" t="s">
        <v>7957</v>
      </c>
      <c r="E575" s="421" t="s">
        <v>76</v>
      </c>
      <c r="F575" s="421" t="s">
        <v>76</v>
      </c>
      <c r="G575" s="421" t="s">
        <v>76</v>
      </c>
      <c r="H575" s="421" t="s">
        <v>76</v>
      </c>
      <c r="I575" s="421" t="s">
        <v>76</v>
      </c>
      <c r="J575" s="421" t="s">
        <v>76</v>
      </c>
      <c r="K575" s="421" t="s">
        <v>7043</v>
      </c>
      <c r="L575" s="421" t="s">
        <v>76</v>
      </c>
      <c r="M575" s="421" t="s">
        <v>76</v>
      </c>
      <c r="N575" s="421" t="s">
        <v>76</v>
      </c>
      <c r="O575" s="421" t="s">
        <v>76</v>
      </c>
      <c r="P575" s="421" t="s">
        <v>76</v>
      </c>
      <c r="Q575" s="421" t="s">
        <v>76</v>
      </c>
      <c r="R575" s="422" t="s">
        <v>76</v>
      </c>
    </row>
    <row r="576" spans="1:18">
      <c r="A576" s="420" t="s">
        <v>7958</v>
      </c>
      <c r="B576" s="423" t="s">
        <v>6885</v>
      </c>
      <c r="C576" s="421" t="s">
        <v>7959</v>
      </c>
      <c r="D576" s="421" t="s">
        <v>7960</v>
      </c>
      <c r="E576" s="421" t="s">
        <v>7042</v>
      </c>
      <c r="F576" s="421" t="s">
        <v>7042</v>
      </c>
      <c r="G576" s="421" t="s">
        <v>7042</v>
      </c>
      <c r="H576" s="421" t="s">
        <v>76</v>
      </c>
      <c r="I576" s="421" t="s">
        <v>76</v>
      </c>
      <c r="J576" s="421" t="s">
        <v>76</v>
      </c>
      <c r="K576" s="421" t="s">
        <v>76</v>
      </c>
      <c r="L576" s="421" t="s">
        <v>76</v>
      </c>
      <c r="M576" s="421" t="s">
        <v>76</v>
      </c>
      <c r="N576" s="421" t="s">
        <v>76</v>
      </c>
      <c r="O576" s="421" t="s">
        <v>76</v>
      </c>
      <c r="P576" s="421" t="s">
        <v>76</v>
      </c>
      <c r="Q576" s="421" t="s">
        <v>7042</v>
      </c>
      <c r="R576" s="422" t="s">
        <v>7042</v>
      </c>
    </row>
    <row r="577" spans="1:18">
      <c r="A577" s="420" t="s">
        <v>7958</v>
      </c>
      <c r="B577" s="421" t="s">
        <v>6885</v>
      </c>
      <c r="C577" s="421" t="s">
        <v>7961</v>
      </c>
      <c r="D577" s="421" t="s">
        <v>7962</v>
      </c>
      <c r="E577" s="421" t="s">
        <v>7042</v>
      </c>
      <c r="F577" s="421" t="s">
        <v>7042</v>
      </c>
      <c r="G577" s="421" t="s">
        <v>7042</v>
      </c>
      <c r="H577" s="421" t="s">
        <v>76</v>
      </c>
      <c r="I577" s="421" t="s">
        <v>76</v>
      </c>
      <c r="J577" s="421" t="s">
        <v>76</v>
      </c>
      <c r="K577" s="421" t="s">
        <v>76</v>
      </c>
      <c r="L577" s="421" t="s">
        <v>76</v>
      </c>
      <c r="M577" s="421" t="s">
        <v>76</v>
      </c>
      <c r="N577" s="421" t="s">
        <v>76</v>
      </c>
      <c r="O577" s="421" t="s">
        <v>76</v>
      </c>
      <c r="P577" s="421" t="s">
        <v>76</v>
      </c>
      <c r="Q577" s="421" t="s">
        <v>7042</v>
      </c>
      <c r="R577" s="422" t="s">
        <v>7042</v>
      </c>
    </row>
    <row r="578" spans="1:18">
      <c r="A578" s="420" t="s">
        <v>7958</v>
      </c>
      <c r="B578" s="421" t="s">
        <v>6885</v>
      </c>
      <c r="C578" s="421" t="s">
        <v>7963</v>
      </c>
      <c r="D578" s="421" t="s">
        <v>7964</v>
      </c>
      <c r="E578" s="421" t="s">
        <v>7042</v>
      </c>
      <c r="F578" s="421" t="s">
        <v>7042</v>
      </c>
      <c r="G578" s="421" t="s">
        <v>7042</v>
      </c>
      <c r="H578" s="421" t="s">
        <v>76</v>
      </c>
      <c r="I578" s="421" t="s">
        <v>76</v>
      </c>
      <c r="J578" s="421" t="s">
        <v>76</v>
      </c>
      <c r="K578" s="421" t="s">
        <v>76</v>
      </c>
      <c r="L578" s="421" t="s">
        <v>76</v>
      </c>
      <c r="M578" s="421" t="s">
        <v>76</v>
      </c>
      <c r="N578" s="421" t="s">
        <v>76</v>
      </c>
      <c r="O578" s="421" t="s">
        <v>76</v>
      </c>
      <c r="P578" s="421" t="s">
        <v>76</v>
      </c>
      <c r="Q578" s="421" t="s">
        <v>7042</v>
      </c>
      <c r="R578" s="422" t="s">
        <v>7042</v>
      </c>
    </row>
    <row r="579" spans="1:18">
      <c r="A579" s="420" t="s">
        <v>7965</v>
      </c>
      <c r="B579" s="423" t="s">
        <v>6880</v>
      </c>
      <c r="C579" s="421" t="s">
        <v>7966</v>
      </c>
      <c r="D579" s="421" t="s">
        <v>7967</v>
      </c>
      <c r="E579" s="421" t="s">
        <v>7369</v>
      </c>
      <c r="F579" s="421" t="s">
        <v>7042</v>
      </c>
      <c r="G579" s="421" t="s">
        <v>7042</v>
      </c>
      <c r="H579" s="421" t="s">
        <v>76</v>
      </c>
      <c r="I579" s="421" t="s">
        <v>76</v>
      </c>
      <c r="J579" s="421" t="s">
        <v>76</v>
      </c>
      <c r="K579" s="421" t="s">
        <v>76</v>
      </c>
      <c r="L579" s="421" t="s">
        <v>7043</v>
      </c>
      <c r="M579" s="421" t="s">
        <v>7043</v>
      </c>
      <c r="N579" s="421" t="s">
        <v>7043</v>
      </c>
      <c r="O579" s="421" t="s">
        <v>7043</v>
      </c>
      <c r="P579" s="421" t="s">
        <v>76</v>
      </c>
      <c r="Q579" s="421" t="s">
        <v>7042</v>
      </c>
      <c r="R579" s="422" t="s">
        <v>7042</v>
      </c>
    </row>
    <row r="580" spans="1:18">
      <c r="A580" s="420" t="s">
        <v>7958</v>
      </c>
      <c r="B580" s="421" t="s">
        <v>6885</v>
      </c>
      <c r="C580" s="423" t="s">
        <v>7968</v>
      </c>
      <c r="D580" s="421" t="s">
        <v>7969</v>
      </c>
      <c r="E580" s="421" t="s">
        <v>7042</v>
      </c>
      <c r="F580" s="421" t="s">
        <v>7042</v>
      </c>
      <c r="G580" s="421" t="s">
        <v>7042</v>
      </c>
      <c r="H580" s="421" t="s">
        <v>76</v>
      </c>
      <c r="I580" s="421" t="s">
        <v>76</v>
      </c>
      <c r="J580" s="421" t="s">
        <v>76</v>
      </c>
      <c r="K580" s="421" t="s">
        <v>76</v>
      </c>
      <c r="L580" s="421" t="s">
        <v>76</v>
      </c>
      <c r="M580" s="421" t="s">
        <v>76</v>
      </c>
      <c r="N580" s="421" t="s">
        <v>76</v>
      </c>
      <c r="O580" s="421" t="s">
        <v>76</v>
      </c>
      <c r="P580" s="421" t="s">
        <v>76</v>
      </c>
      <c r="Q580" s="421" t="s">
        <v>7042</v>
      </c>
      <c r="R580" s="422" t="s">
        <v>7042</v>
      </c>
    </row>
    <row r="581" spans="1:18">
      <c r="A581" s="420" t="s">
        <v>7958</v>
      </c>
      <c r="B581" s="421" t="s">
        <v>6885</v>
      </c>
      <c r="C581" s="421" t="s">
        <v>7970</v>
      </c>
      <c r="D581" s="421" t="s">
        <v>7971</v>
      </c>
      <c r="E581" s="421" t="s">
        <v>7369</v>
      </c>
      <c r="F581" s="421" t="s">
        <v>7042</v>
      </c>
      <c r="G581" s="421" t="s">
        <v>7042</v>
      </c>
      <c r="H581" s="421" t="s">
        <v>7042</v>
      </c>
      <c r="I581" s="421" t="s">
        <v>76</v>
      </c>
      <c r="J581" s="421" t="s">
        <v>76</v>
      </c>
      <c r="K581" s="421" t="s">
        <v>76</v>
      </c>
      <c r="L581" s="421" t="s">
        <v>7043</v>
      </c>
      <c r="M581" s="421" t="s">
        <v>7043</v>
      </c>
      <c r="N581" s="421" t="s">
        <v>7043</v>
      </c>
      <c r="O581" s="421" t="s">
        <v>7043</v>
      </c>
      <c r="P581" s="421" t="s">
        <v>76</v>
      </c>
      <c r="Q581" s="421" t="s">
        <v>7042</v>
      </c>
      <c r="R581" s="422" t="s">
        <v>7042</v>
      </c>
    </row>
    <row r="582" spans="1:18">
      <c r="A582" s="420" t="s">
        <v>7958</v>
      </c>
      <c r="B582" s="421" t="s">
        <v>6885</v>
      </c>
      <c r="C582" s="421" t="s">
        <v>7972</v>
      </c>
      <c r="D582" s="421" t="s">
        <v>7973</v>
      </c>
      <c r="E582" s="421" t="s">
        <v>7042</v>
      </c>
      <c r="F582" s="421" t="s">
        <v>7042</v>
      </c>
      <c r="G582" s="421" t="s">
        <v>7042</v>
      </c>
      <c r="H582" s="421" t="s">
        <v>76</v>
      </c>
      <c r="I582" s="421" t="s">
        <v>76</v>
      </c>
      <c r="J582" s="421" t="s">
        <v>76</v>
      </c>
      <c r="K582" s="421" t="s">
        <v>76</v>
      </c>
      <c r="L582" s="421" t="s">
        <v>7043</v>
      </c>
      <c r="M582" s="421" t="s">
        <v>7043</v>
      </c>
      <c r="N582" s="421" t="s">
        <v>7043</v>
      </c>
      <c r="O582" s="421" t="s">
        <v>7043</v>
      </c>
      <c r="P582" s="421" t="s">
        <v>76</v>
      </c>
      <c r="Q582" s="421" t="s">
        <v>7042</v>
      </c>
      <c r="R582" s="422" t="s">
        <v>7042</v>
      </c>
    </row>
    <row r="583" spans="1:18">
      <c r="A583" s="420" t="s">
        <v>7958</v>
      </c>
      <c r="B583" s="421" t="s">
        <v>6885</v>
      </c>
      <c r="C583" s="421" t="s">
        <v>7974</v>
      </c>
      <c r="D583" s="421" t="s">
        <v>7975</v>
      </c>
      <c r="E583" s="421" t="s">
        <v>7369</v>
      </c>
      <c r="F583" s="421" t="s">
        <v>7042</v>
      </c>
      <c r="G583" s="421" t="s">
        <v>7042</v>
      </c>
      <c r="H583" s="421" t="s">
        <v>76</v>
      </c>
      <c r="I583" s="421" t="s">
        <v>76</v>
      </c>
      <c r="J583" s="421" t="s">
        <v>76</v>
      </c>
      <c r="K583" s="421" t="s">
        <v>76</v>
      </c>
      <c r="L583" s="421" t="s">
        <v>76</v>
      </c>
      <c r="M583" s="421" t="s">
        <v>76</v>
      </c>
      <c r="N583" s="421" t="s">
        <v>76</v>
      </c>
      <c r="O583" s="421" t="s">
        <v>76</v>
      </c>
      <c r="P583" s="421" t="s">
        <v>76</v>
      </c>
      <c r="Q583" s="421" t="s">
        <v>7042</v>
      </c>
      <c r="R583" s="422" t="s">
        <v>7042</v>
      </c>
    </row>
    <row r="584" spans="1:18">
      <c r="A584" s="420" t="s">
        <v>7958</v>
      </c>
      <c r="B584" s="421" t="s">
        <v>6885</v>
      </c>
      <c r="C584" s="423" t="s">
        <v>7976</v>
      </c>
      <c r="D584" s="423" t="s">
        <v>7977</v>
      </c>
      <c r="E584" s="421" t="s">
        <v>7369</v>
      </c>
      <c r="F584" s="421" t="s">
        <v>7042</v>
      </c>
      <c r="G584" s="421" t="s">
        <v>7042</v>
      </c>
      <c r="H584" s="421" t="s">
        <v>76</v>
      </c>
      <c r="I584" s="421" t="s">
        <v>76</v>
      </c>
      <c r="J584" s="421" t="s">
        <v>76</v>
      </c>
      <c r="K584" s="421" t="s">
        <v>76</v>
      </c>
      <c r="L584" s="421" t="s">
        <v>76</v>
      </c>
      <c r="M584" s="421" t="s">
        <v>76</v>
      </c>
      <c r="N584" s="421" t="s">
        <v>76</v>
      </c>
      <c r="O584" s="421" t="s">
        <v>76</v>
      </c>
      <c r="P584" s="421" t="s">
        <v>76</v>
      </c>
      <c r="Q584" s="421" t="s">
        <v>7042</v>
      </c>
      <c r="R584" s="422" t="s">
        <v>7042</v>
      </c>
    </row>
    <row r="585" spans="1:18">
      <c r="A585" s="420" t="s">
        <v>7958</v>
      </c>
      <c r="B585" s="421" t="s">
        <v>6885</v>
      </c>
      <c r="C585" s="423" t="s">
        <v>7978</v>
      </c>
      <c r="D585" s="423" t="s">
        <v>7979</v>
      </c>
      <c r="E585" s="421" t="s">
        <v>7369</v>
      </c>
      <c r="F585" s="421" t="s">
        <v>7042</v>
      </c>
      <c r="G585" s="421" t="s">
        <v>7042</v>
      </c>
      <c r="H585" s="421" t="s">
        <v>76</v>
      </c>
      <c r="I585" s="421" t="s">
        <v>76</v>
      </c>
      <c r="J585" s="421" t="s">
        <v>76</v>
      </c>
      <c r="K585" s="421" t="s">
        <v>76</v>
      </c>
      <c r="L585" s="421" t="s">
        <v>76</v>
      </c>
      <c r="M585" s="421" t="s">
        <v>76</v>
      </c>
      <c r="N585" s="421" t="s">
        <v>76</v>
      </c>
      <c r="O585" s="421" t="s">
        <v>76</v>
      </c>
      <c r="P585" s="421" t="s">
        <v>76</v>
      </c>
      <c r="Q585" s="421" t="s">
        <v>7042</v>
      </c>
      <c r="R585" s="422" t="s">
        <v>7042</v>
      </c>
    </row>
    <row r="586" spans="1:18">
      <c r="A586" s="420" t="s">
        <v>7958</v>
      </c>
      <c r="B586" s="421" t="s">
        <v>6885</v>
      </c>
      <c r="C586" s="423" t="s">
        <v>7980</v>
      </c>
      <c r="D586" s="423" t="s">
        <v>7981</v>
      </c>
      <c r="E586" s="421" t="s">
        <v>7369</v>
      </c>
      <c r="F586" s="421" t="s">
        <v>7042</v>
      </c>
      <c r="G586" s="421" t="s">
        <v>7042</v>
      </c>
      <c r="H586" s="421" t="s">
        <v>76</v>
      </c>
      <c r="I586" s="421" t="s">
        <v>76</v>
      </c>
      <c r="J586" s="421" t="s">
        <v>76</v>
      </c>
      <c r="K586" s="421" t="s">
        <v>76</v>
      </c>
      <c r="L586" s="421" t="s">
        <v>76</v>
      </c>
      <c r="M586" s="421" t="s">
        <v>76</v>
      </c>
      <c r="N586" s="421" t="s">
        <v>76</v>
      </c>
      <c r="O586" s="421" t="s">
        <v>76</v>
      </c>
      <c r="P586" s="421" t="s">
        <v>76</v>
      </c>
      <c r="Q586" s="421" t="s">
        <v>7042</v>
      </c>
      <c r="R586" s="422" t="s">
        <v>7042</v>
      </c>
    </row>
    <row r="587" spans="1:18">
      <c r="A587" s="420" t="s">
        <v>7958</v>
      </c>
      <c r="B587" s="421" t="s">
        <v>6885</v>
      </c>
      <c r="C587" s="423" t="s">
        <v>7982</v>
      </c>
      <c r="D587" s="423" t="s">
        <v>7983</v>
      </c>
      <c r="E587" s="421" t="s">
        <v>7369</v>
      </c>
      <c r="F587" s="421" t="s">
        <v>7042</v>
      </c>
      <c r="G587" s="421" t="s">
        <v>7042</v>
      </c>
      <c r="H587" s="421" t="s">
        <v>76</v>
      </c>
      <c r="I587" s="421" t="s">
        <v>76</v>
      </c>
      <c r="J587" s="421" t="s">
        <v>76</v>
      </c>
      <c r="K587" s="421" t="s">
        <v>76</v>
      </c>
      <c r="L587" s="421" t="s">
        <v>76</v>
      </c>
      <c r="M587" s="421" t="s">
        <v>76</v>
      </c>
      <c r="N587" s="421" t="s">
        <v>76</v>
      </c>
      <c r="O587" s="421" t="s">
        <v>76</v>
      </c>
      <c r="P587" s="421" t="s">
        <v>76</v>
      </c>
      <c r="Q587" s="421" t="s">
        <v>7042</v>
      </c>
      <c r="R587" s="422" t="s">
        <v>7042</v>
      </c>
    </row>
    <row r="588" spans="1:18">
      <c r="A588" s="420" t="s">
        <v>7958</v>
      </c>
      <c r="B588" s="421" t="s">
        <v>6885</v>
      </c>
      <c r="C588" s="423" t="s">
        <v>7984</v>
      </c>
      <c r="D588" s="423" t="s">
        <v>7985</v>
      </c>
      <c r="E588" s="421" t="s">
        <v>7369</v>
      </c>
      <c r="F588" s="421" t="s">
        <v>7042</v>
      </c>
      <c r="G588" s="421" t="s">
        <v>7042</v>
      </c>
      <c r="H588" s="421" t="s">
        <v>76</v>
      </c>
      <c r="I588" s="421" t="s">
        <v>76</v>
      </c>
      <c r="J588" s="421" t="s">
        <v>76</v>
      </c>
      <c r="K588" s="421" t="s">
        <v>76</v>
      </c>
      <c r="L588" s="421" t="s">
        <v>76</v>
      </c>
      <c r="M588" s="421" t="s">
        <v>76</v>
      </c>
      <c r="N588" s="421" t="s">
        <v>76</v>
      </c>
      <c r="O588" s="421" t="s">
        <v>76</v>
      </c>
      <c r="P588" s="421" t="s">
        <v>76</v>
      </c>
      <c r="Q588" s="421" t="s">
        <v>7042</v>
      </c>
      <c r="R588" s="422" t="s">
        <v>7042</v>
      </c>
    </row>
    <row r="589" spans="1:18">
      <c r="A589" s="420" t="s">
        <v>7958</v>
      </c>
      <c r="B589" s="421" t="s">
        <v>6885</v>
      </c>
      <c r="C589" s="423" t="s">
        <v>7986</v>
      </c>
      <c r="D589" s="423" t="s">
        <v>7987</v>
      </c>
      <c r="E589" s="423" t="s">
        <v>7753</v>
      </c>
      <c r="F589" s="423" t="s">
        <v>76</v>
      </c>
      <c r="G589" s="423" t="s">
        <v>7042</v>
      </c>
      <c r="H589" s="421" t="s">
        <v>76</v>
      </c>
      <c r="I589" s="421" t="s">
        <v>76</v>
      </c>
      <c r="J589" s="421" t="s">
        <v>76</v>
      </c>
      <c r="K589" s="421" t="s">
        <v>76</v>
      </c>
      <c r="L589" s="421" t="s">
        <v>76</v>
      </c>
      <c r="M589" s="421" t="s">
        <v>76</v>
      </c>
      <c r="N589" s="421" t="s">
        <v>76</v>
      </c>
      <c r="O589" s="421" t="s">
        <v>76</v>
      </c>
      <c r="P589" s="423" t="s">
        <v>7043</v>
      </c>
      <c r="Q589" s="421" t="s">
        <v>76</v>
      </c>
      <c r="R589" s="422" t="s">
        <v>76</v>
      </c>
    </row>
    <row r="590" spans="1:18">
      <c r="A590" s="420" t="s">
        <v>7958</v>
      </c>
      <c r="B590" s="421" t="s">
        <v>6885</v>
      </c>
      <c r="C590" s="423" t="s">
        <v>7988</v>
      </c>
      <c r="D590" s="423" t="s">
        <v>7989</v>
      </c>
      <c r="E590" s="423" t="s">
        <v>7753</v>
      </c>
      <c r="F590" s="423" t="s">
        <v>76</v>
      </c>
      <c r="G590" s="423" t="s">
        <v>7042</v>
      </c>
      <c r="H590" s="421" t="s">
        <v>76</v>
      </c>
      <c r="I590" s="421" t="s">
        <v>76</v>
      </c>
      <c r="J590" s="421" t="s">
        <v>76</v>
      </c>
      <c r="K590" s="421" t="s">
        <v>76</v>
      </c>
      <c r="L590" s="421" t="s">
        <v>76</v>
      </c>
      <c r="M590" s="421" t="s">
        <v>76</v>
      </c>
      <c r="N590" s="421" t="s">
        <v>76</v>
      </c>
      <c r="O590" s="421" t="s">
        <v>76</v>
      </c>
      <c r="P590" s="423" t="s">
        <v>7043</v>
      </c>
      <c r="Q590" s="421" t="s">
        <v>76</v>
      </c>
      <c r="R590" s="422" t="s">
        <v>76</v>
      </c>
    </row>
    <row r="591" spans="1:18">
      <c r="A591" s="420" t="s">
        <v>7990</v>
      </c>
      <c r="B591" s="421" t="s">
        <v>6873</v>
      </c>
      <c r="C591" s="421" t="s">
        <v>7991</v>
      </c>
      <c r="D591" s="421" t="s">
        <v>7992</v>
      </c>
      <c r="E591" s="421" t="s">
        <v>7042</v>
      </c>
      <c r="F591" s="421" t="s">
        <v>7042</v>
      </c>
      <c r="G591" s="421" t="s">
        <v>7042</v>
      </c>
      <c r="H591" s="421" t="s">
        <v>76</v>
      </c>
      <c r="I591" s="421" t="s">
        <v>76</v>
      </c>
      <c r="J591" s="421" t="s">
        <v>76</v>
      </c>
      <c r="K591" s="421" t="s">
        <v>76</v>
      </c>
      <c r="L591" s="421" t="s">
        <v>76</v>
      </c>
      <c r="M591" s="421" t="s">
        <v>76</v>
      </c>
      <c r="N591" s="421" t="s">
        <v>76</v>
      </c>
      <c r="O591" s="421" t="s">
        <v>76</v>
      </c>
      <c r="P591" s="421" t="s">
        <v>76</v>
      </c>
      <c r="Q591" s="421" t="s">
        <v>7042</v>
      </c>
      <c r="R591" s="422" t="s">
        <v>7042</v>
      </c>
    </row>
    <row r="592" spans="1:18">
      <c r="A592" s="420" t="s">
        <v>7990</v>
      </c>
      <c r="B592" s="421" t="s">
        <v>6873</v>
      </c>
      <c r="C592" s="421" t="s">
        <v>7993</v>
      </c>
      <c r="D592" s="421" t="s">
        <v>7994</v>
      </c>
      <c r="E592" s="421" t="s">
        <v>7369</v>
      </c>
      <c r="F592" s="421" t="s">
        <v>76</v>
      </c>
      <c r="G592" s="421" t="s">
        <v>76</v>
      </c>
      <c r="H592" s="421" t="s">
        <v>76</v>
      </c>
      <c r="I592" s="421" t="s">
        <v>7043</v>
      </c>
      <c r="J592" s="421" t="s">
        <v>76</v>
      </c>
      <c r="K592" s="421" t="s">
        <v>76</v>
      </c>
      <c r="L592" s="421" t="s">
        <v>76</v>
      </c>
      <c r="M592" s="421" t="s">
        <v>76</v>
      </c>
      <c r="N592" s="421" t="s">
        <v>76</v>
      </c>
      <c r="O592" s="421" t="s">
        <v>76</v>
      </c>
      <c r="P592" s="421" t="s">
        <v>76</v>
      </c>
      <c r="Q592" s="421" t="s">
        <v>7042</v>
      </c>
      <c r="R592" s="422" t="s">
        <v>7369</v>
      </c>
    </row>
    <row r="593" spans="1:18">
      <c r="A593" s="420" t="s">
        <v>7990</v>
      </c>
      <c r="B593" s="421" t="s">
        <v>6873</v>
      </c>
      <c r="C593" s="421" t="s">
        <v>7995</v>
      </c>
      <c r="D593" s="421" t="s">
        <v>7996</v>
      </c>
      <c r="E593" s="421" t="s">
        <v>7369</v>
      </c>
      <c r="F593" s="421" t="s">
        <v>7042</v>
      </c>
      <c r="G593" s="421" t="s">
        <v>7042</v>
      </c>
      <c r="H593" s="421" t="s">
        <v>7042</v>
      </c>
      <c r="I593" s="421" t="s">
        <v>76</v>
      </c>
      <c r="J593" s="421" t="s">
        <v>76</v>
      </c>
      <c r="K593" s="421" t="s">
        <v>76</v>
      </c>
      <c r="L593" s="421" t="s">
        <v>7043</v>
      </c>
      <c r="M593" s="421" t="s">
        <v>7043</v>
      </c>
      <c r="N593" s="421" t="s">
        <v>7043</v>
      </c>
      <c r="O593" s="421" t="s">
        <v>7043</v>
      </c>
      <c r="P593" s="421" t="s">
        <v>7043</v>
      </c>
      <c r="Q593" s="421" t="s">
        <v>7042</v>
      </c>
      <c r="R593" s="422" t="s">
        <v>7369</v>
      </c>
    </row>
    <row r="594" spans="1:18">
      <c r="A594" s="420" t="s">
        <v>7997</v>
      </c>
      <c r="B594" s="423" t="s">
        <v>6791</v>
      </c>
      <c r="C594" s="421" t="s">
        <v>7491</v>
      </c>
      <c r="D594" s="421" t="s">
        <v>7998</v>
      </c>
      <c r="E594" s="421" t="s">
        <v>7369</v>
      </c>
      <c r="F594" s="421" t="s">
        <v>7042</v>
      </c>
      <c r="G594" s="421" t="s">
        <v>7042</v>
      </c>
      <c r="H594" s="421" t="s">
        <v>76</v>
      </c>
      <c r="I594" s="421" t="s">
        <v>76</v>
      </c>
      <c r="J594" s="421" t="s">
        <v>76</v>
      </c>
      <c r="K594" s="421" t="s">
        <v>76</v>
      </c>
      <c r="L594" s="421" t="s">
        <v>76</v>
      </c>
      <c r="M594" s="421" t="s">
        <v>76</v>
      </c>
      <c r="N594" s="421" t="s">
        <v>76</v>
      </c>
      <c r="O594" s="421" t="s">
        <v>76</v>
      </c>
      <c r="P594" s="421" t="s">
        <v>76</v>
      </c>
      <c r="Q594" s="421" t="s">
        <v>7042</v>
      </c>
      <c r="R594" s="422" t="s">
        <v>7042</v>
      </c>
    </row>
    <row r="595" spans="1:18">
      <c r="A595" s="420" t="s">
        <v>7958</v>
      </c>
      <c r="B595" s="421" t="s">
        <v>6885</v>
      </c>
      <c r="C595" s="421" t="s">
        <v>7999</v>
      </c>
      <c r="D595" s="421" t="s">
        <v>8000</v>
      </c>
      <c r="E595" s="421" t="s">
        <v>7369</v>
      </c>
      <c r="F595" s="421" t="s">
        <v>7042</v>
      </c>
      <c r="G595" s="421" t="s">
        <v>7042</v>
      </c>
      <c r="H595" s="421" t="s">
        <v>76</v>
      </c>
      <c r="I595" s="421" t="s">
        <v>7043</v>
      </c>
      <c r="J595" s="421" t="s">
        <v>76</v>
      </c>
      <c r="K595" s="421" t="s">
        <v>76</v>
      </c>
      <c r="L595" s="421" t="s">
        <v>76</v>
      </c>
      <c r="M595" s="421" t="s">
        <v>76</v>
      </c>
      <c r="N595" s="421" t="s">
        <v>76</v>
      </c>
      <c r="O595" s="421" t="s">
        <v>76</v>
      </c>
      <c r="P595" s="421" t="s">
        <v>76</v>
      </c>
      <c r="Q595" s="421" t="s">
        <v>7042</v>
      </c>
      <c r="R595" s="422" t="s">
        <v>7042</v>
      </c>
    </row>
    <row r="596" spans="1:18">
      <c r="A596" s="420" t="s">
        <v>7958</v>
      </c>
      <c r="B596" s="421" t="s">
        <v>6885</v>
      </c>
      <c r="C596" s="421" t="s">
        <v>8001</v>
      </c>
      <c r="D596" s="421" t="s">
        <v>8002</v>
      </c>
      <c r="E596" s="421" t="s">
        <v>7042</v>
      </c>
      <c r="F596" s="421" t="s">
        <v>7042</v>
      </c>
      <c r="G596" s="421" t="s">
        <v>7042</v>
      </c>
      <c r="H596" s="421" t="s">
        <v>76</v>
      </c>
      <c r="I596" s="421" t="s">
        <v>76</v>
      </c>
      <c r="J596" s="421" t="s">
        <v>76</v>
      </c>
      <c r="K596" s="421" t="s">
        <v>76</v>
      </c>
      <c r="L596" s="421" t="s">
        <v>76</v>
      </c>
      <c r="M596" s="421" t="s">
        <v>76</v>
      </c>
      <c r="N596" s="421" t="s">
        <v>76</v>
      </c>
      <c r="O596" s="421" t="s">
        <v>76</v>
      </c>
      <c r="P596" s="421" t="s">
        <v>76</v>
      </c>
      <c r="Q596" s="421" t="s">
        <v>7042</v>
      </c>
      <c r="R596" s="422" t="s">
        <v>7042</v>
      </c>
    </row>
    <row r="597" spans="1:18">
      <c r="A597" s="420" t="s">
        <v>7990</v>
      </c>
      <c r="B597" s="421" t="s">
        <v>6873</v>
      </c>
      <c r="C597" s="421" t="s">
        <v>8003</v>
      </c>
      <c r="D597" s="421" t="s">
        <v>8004</v>
      </c>
      <c r="E597" s="421" t="s">
        <v>7042</v>
      </c>
      <c r="F597" s="421" t="s">
        <v>7042</v>
      </c>
      <c r="G597" s="421" t="s">
        <v>7042</v>
      </c>
      <c r="H597" s="421" t="s">
        <v>76</v>
      </c>
      <c r="I597" s="421" t="s">
        <v>76</v>
      </c>
      <c r="J597" s="421" t="s">
        <v>76</v>
      </c>
      <c r="K597" s="421" t="s">
        <v>1198</v>
      </c>
      <c r="L597" s="421" t="s">
        <v>1198</v>
      </c>
      <c r="M597" s="421" t="s">
        <v>1198</v>
      </c>
      <c r="N597" s="421" t="s">
        <v>1198</v>
      </c>
      <c r="O597" s="421" t="s">
        <v>1198</v>
      </c>
      <c r="P597" s="421" t="s">
        <v>76</v>
      </c>
      <c r="Q597" s="421" t="s">
        <v>7042</v>
      </c>
      <c r="R597" s="422" t="s">
        <v>7042</v>
      </c>
    </row>
    <row r="598" spans="1:18">
      <c r="A598" s="420" t="s">
        <v>7990</v>
      </c>
      <c r="B598" s="423" t="s">
        <v>6873</v>
      </c>
      <c r="C598" s="421" t="s">
        <v>8005</v>
      </c>
      <c r="D598" s="421" t="s">
        <v>8006</v>
      </c>
      <c r="E598" s="421" t="s">
        <v>7369</v>
      </c>
      <c r="F598" s="421" t="s">
        <v>7369</v>
      </c>
      <c r="G598" s="421" t="s">
        <v>7369</v>
      </c>
      <c r="H598" s="421" t="s">
        <v>7042</v>
      </c>
      <c r="I598" s="421" t="s">
        <v>76</v>
      </c>
      <c r="J598" s="421" t="s">
        <v>76</v>
      </c>
      <c r="K598" s="421" t="s">
        <v>76</v>
      </c>
      <c r="L598" s="421" t="s">
        <v>7043</v>
      </c>
      <c r="M598" s="421" t="s">
        <v>7043</v>
      </c>
      <c r="N598" s="421" t="s">
        <v>7043</v>
      </c>
      <c r="O598" s="421" t="s">
        <v>7043</v>
      </c>
      <c r="P598" s="421" t="s">
        <v>7043</v>
      </c>
      <c r="Q598" s="421" t="s">
        <v>7042</v>
      </c>
      <c r="R598" s="422" t="s">
        <v>7042</v>
      </c>
    </row>
    <row r="599" spans="1:18">
      <c r="A599" s="420" t="s">
        <v>7990</v>
      </c>
      <c r="B599" s="421" t="s">
        <v>6873</v>
      </c>
      <c r="C599" s="421" t="s">
        <v>8007</v>
      </c>
      <c r="D599" s="421" t="s">
        <v>8008</v>
      </c>
      <c r="E599" s="421" t="s">
        <v>7042</v>
      </c>
      <c r="F599" s="421" t="s">
        <v>7042</v>
      </c>
      <c r="G599" s="421" t="s">
        <v>7042</v>
      </c>
      <c r="H599" s="421" t="s">
        <v>76</v>
      </c>
      <c r="I599" s="421" t="s">
        <v>7043</v>
      </c>
      <c r="J599" s="421" t="s">
        <v>76</v>
      </c>
      <c r="K599" s="421" t="s">
        <v>76</v>
      </c>
      <c r="L599" s="421" t="s">
        <v>76</v>
      </c>
      <c r="M599" s="421" t="s">
        <v>76</v>
      </c>
      <c r="N599" s="421" t="s">
        <v>76</v>
      </c>
      <c r="O599" s="421" t="s">
        <v>76</v>
      </c>
      <c r="P599" s="421" t="s">
        <v>76</v>
      </c>
      <c r="Q599" s="421" t="s">
        <v>7042</v>
      </c>
      <c r="R599" s="422" t="s">
        <v>7369</v>
      </c>
    </row>
    <row r="600" spans="1:18">
      <c r="A600" s="420" t="s">
        <v>7958</v>
      </c>
      <c r="B600" s="421" t="s">
        <v>6885</v>
      </c>
      <c r="C600" s="421" t="s">
        <v>8009</v>
      </c>
      <c r="D600" s="421" t="s">
        <v>8010</v>
      </c>
      <c r="E600" s="421" t="s">
        <v>7042</v>
      </c>
      <c r="F600" s="421" t="s">
        <v>7042</v>
      </c>
      <c r="G600" s="421" t="s">
        <v>7042</v>
      </c>
      <c r="H600" s="421" t="s">
        <v>76</v>
      </c>
      <c r="I600" s="421" t="s">
        <v>7043</v>
      </c>
      <c r="J600" s="421" t="s">
        <v>76</v>
      </c>
      <c r="K600" s="421" t="s">
        <v>76</v>
      </c>
      <c r="L600" s="421" t="s">
        <v>76</v>
      </c>
      <c r="M600" s="421" t="s">
        <v>76</v>
      </c>
      <c r="N600" s="421" t="s">
        <v>76</v>
      </c>
      <c r="O600" s="421" t="s">
        <v>76</v>
      </c>
      <c r="P600" s="421" t="s">
        <v>76</v>
      </c>
      <c r="Q600" s="421" t="s">
        <v>76</v>
      </c>
      <c r="R600" s="422" t="s">
        <v>76</v>
      </c>
    </row>
    <row r="601" spans="1:18">
      <c r="A601" s="420" t="s">
        <v>7958</v>
      </c>
      <c r="B601" s="421" t="s">
        <v>6885</v>
      </c>
      <c r="C601" s="421" t="s">
        <v>8011</v>
      </c>
      <c r="D601" s="421" t="s">
        <v>8012</v>
      </c>
      <c r="E601" s="421" t="s">
        <v>7042</v>
      </c>
      <c r="F601" s="421" t="s">
        <v>7042</v>
      </c>
      <c r="G601" s="421" t="s">
        <v>7042</v>
      </c>
      <c r="H601" s="421" t="s">
        <v>76</v>
      </c>
      <c r="I601" s="421" t="s">
        <v>76</v>
      </c>
      <c r="J601" s="421" t="s">
        <v>76</v>
      </c>
      <c r="K601" s="421" t="s">
        <v>76</v>
      </c>
      <c r="L601" s="421" t="s">
        <v>76</v>
      </c>
      <c r="M601" s="421" t="s">
        <v>76</v>
      </c>
      <c r="N601" s="421" t="s">
        <v>76</v>
      </c>
      <c r="O601" s="421" t="s">
        <v>76</v>
      </c>
      <c r="P601" s="421" t="s">
        <v>76</v>
      </c>
      <c r="Q601" s="421" t="s">
        <v>7042</v>
      </c>
      <c r="R601" s="422" t="s">
        <v>7042</v>
      </c>
    </row>
    <row r="602" spans="1:18">
      <c r="A602" s="420" t="s">
        <v>7965</v>
      </c>
      <c r="B602" s="421" t="s">
        <v>6880</v>
      </c>
      <c r="C602" s="421" t="s">
        <v>8013</v>
      </c>
      <c r="D602" s="421" t="s">
        <v>8014</v>
      </c>
      <c r="E602" s="421" t="s">
        <v>7369</v>
      </c>
      <c r="F602" s="421" t="s">
        <v>7042</v>
      </c>
      <c r="G602" s="421" t="s">
        <v>7042</v>
      </c>
      <c r="H602" s="421" t="s">
        <v>76</v>
      </c>
      <c r="I602" s="421" t="s">
        <v>76</v>
      </c>
      <c r="J602" s="421" t="s">
        <v>76</v>
      </c>
      <c r="K602" s="421" t="s">
        <v>76</v>
      </c>
      <c r="L602" s="421" t="s">
        <v>7043</v>
      </c>
      <c r="M602" s="421" t="s">
        <v>7043</v>
      </c>
      <c r="N602" s="421" t="s">
        <v>7043</v>
      </c>
      <c r="O602" s="421" t="s">
        <v>7043</v>
      </c>
      <c r="P602" s="421" t="s">
        <v>76</v>
      </c>
      <c r="Q602" s="421" t="s">
        <v>7042</v>
      </c>
      <c r="R602" s="422" t="s">
        <v>7042</v>
      </c>
    </row>
    <row r="603" spans="1:18">
      <c r="A603" s="420" t="s">
        <v>7958</v>
      </c>
      <c r="B603" s="421" t="s">
        <v>6885</v>
      </c>
      <c r="C603" s="423" t="s">
        <v>8015</v>
      </c>
      <c r="D603" s="421" t="s">
        <v>8016</v>
      </c>
      <c r="E603" s="421" t="s">
        <v>7042</v>
      </c>
      <c r="F603" s="421" t="s">
        <v>7042</v>
      </c>
      <c r="G603" s="421" t="s">
        <v>7042</v>
      </c>
      <c r="H603" s="421" t="s">
        <v>76</v>
      </c>
      <c r="I603" s="421" t="s">
        <v>76</v>
      </c>
      <c r="J603" s="421" t="s">
        <v>76</v>
      </c>
      <c r="K603" s="421" t="s">
        <v>76</v>
      </c>
      <c r="L603" s="421" t="s">
        <v>76</v>
      </c>
      <c r="M603" s="421" t="s">
        <v>76</v>
      </c>
      <c r="N603" s="421" t="s">
        <v>76</v>
      </c>
      <c r="O603" s="421" t="s">
        <v>76</v>
      </c>
      <c r="P603" s="421" t="s">
        <v>76</v>
      </c>
      <c r="Q603" s="421" t="s">
        <v>7042</v>
      </c>
      <c r="R603" s="422" t="s">
        <v>7042</v>
      </c>
    </row>
    <row r="604" spans="1:18">
      <c r="A604" s="420" t="s">
        <v>7958</v>
      </c>
      <c r="B604" s="421" t="s">
        <v>6885</v>
      </c>
      <c r="C604" s="421" t="s">
        <v>8017</v>
      </c>
      <c r="D604" s="421" t="s">
        <v>8018</v>
      </c>
      <c r="E604" s="421" t="s">
        <v>7369</v>
      </c>
      <c r="F604" s="421" t="s">
        <v>7042</v>
      </c>
      <c r="G604" s="421" t="s">
        <v>7042</v>
      </c>
      <c r="H604" s="421" t="s">
        <v>7042</v>
      </c>
      <c r="I604" s="421" t="s">
        <v>76</v>
      </c>
      <c r="J604" s="421" t="s">
        <v>76</v>
      </c>
      <c r="K604" s="421" t="s">
        <v>76</v>
      </c>
      <c r="L604" s="421" t="s">
        <v>7043</v>
      </c>
      <c r="M604" s="421" t="s">
        <v>7043</v>
      </c>
      <c r="N604" s="421" t="s">
        <v>7043</v>
      </c>
      <c r="O604" s="421" t="s">
        <v>7043</v>
      </c>
      <c r="P604" s="421" t="s">
        <v>76</v>
      </c>
      <c r="Q604" s="421" t="s">
        <v>7042</v>
      </c>
      <c r="R604" s="422" t="s">
        <v>7042</v>
      </c>
    </row>
    <row r="605" spans="1:18">
      <c r="A605" s="420" t="s">
        <v>7958</v>
      </c>
      <c r="B605" s="421" t="s">
        <v>6885</v>
      </c>
      <c r="C605" s="421" t="s">
        <v>8019</v>
      </c>
      <c r="D605" s="421" t="s">
        <v>8020</v>
      </c>
      <c r="E605" s="421" t="s">
        <v>7369</v>
      </c>
      <c r="F605" s="421" t="s">
        <v>7042</v>
      </c>
      <c r="G605" s="421" t="s">
        <v>7042</v>
      </c>
      <c r="H605" s="421" t="s">
        <v>76</v>
      </c>
      <c r="I605" s="421" t="s">
        <v>76</v>
      </c>
      <c r="J605" s="421" t="s">
        <v>76</v>
      </c>
      <c r="K605" s="421" t="s">
        <v>76</v>
      </c>
      <c r="L605" s="421" t="s">
        <v>7043</v>
      </c>
      <c r="M605" s="421" t="s">
        <v>7043</v>
      </c>
      <c r="N605" s="421" t="s">
        <v>7043</v>
      </c>
      <c r="O605" s="421" t="s">
        <v>7043</v>
      </c>
      <c r="P605" s="421" t="s">
        <v>76</v>
      </c>
      <c r="Q605" s="421" t="s">
        <v>7042</v>
      </c>
      <c r="R605" s="422" t="s">
        <v>7042</v>
      </c>
    </row>
    <row r="606" spans="1:18">
      <c r="A606" s="420" t="s">
        <v>7958</v>
      </c>
      <c r="B606" s="421" t="s">
        <v>6885</v>
      </c>
      <c r="C606" s="421" t="s">
        <v>8021</v>
      </c>
      <c r="D606" s="421" t="s">
        <v>8022</v>
      </c>
      <c r="E606" s="421" t="s">
        <v>7369</v>
      </c>
      <c r="F606" s="421" t="s">
        <v>7042</v>
      </c>
      <c r="G606" s="421" t="s">
        <v>7042</v>
      </c>
      <c r="H606" s="421" t="s">
        <v>76</v>
      </c>
      <c r="I606" s="421" t="s">
        <v>76</v>
      </c>
      <c r="J606" s="421" t="s">
        <v>76</v>
      </c>
      <c r="K606" s="421" t="s">
        <v>76</v>
      </c>
      <c r="L606" s="421" t="s">
        <v>76</v>
      </c>
      <c r="M606" s="421" t="s">
        <v>76</v>
      </c>
      <c r="N606" s="421" t="s">
        <v>76</v>
      </c>
      <c r="O606" s="421" t="s">
        <v>76</v>
      </c>
      <c r="P606" s="421" t="s">
        <v>76</v>
      </c>
      <c r="Q606" s="421" t="s">
        <v>7042</v>
      </c>
      <c r="R606" s="422" t="s">
        <v>7042</v>
      </c>
    </row>
    <row r="607" spans="1:18">
      <c r="A607" s="420" t="s">
        <v>7990</v>
      </c>
      <c r="B607" s="421" t="s">
        <v>6873</v>
      </c>
      <c r="C607" s="421" t="s">
        <v>8023</v>
      </c>
      <c r="D607" s="421" t="s">
        <v>8024</v>
      </c>
      <c r="E607" s="421" t="s">
        <v>7042</v>
      </c>
      <c r="F607" s="421" t="s">
        <v>7042</v>
      </c>
      <c r="G607" s="421" t="s">
        <v>7042</v>
      </c>
      <c r="H607" s="421" t="s">
        <v>76</v>
      </c>
      <c r="I607" s="421" t="s">
        <v>76</v>
      </c>
      <c r="J607" s="421" t="s">
        <v>76</v>
      </c>
      <c r="K607" s="421" t="s">
        <v>76</v>
      </c>
      <c r="L607" s="421" t="s">
        <v>76</v>
      </c>
      <c r="M607" s="421" t="s">
        <v>76</v>
      </c>
      <c r="N607" s="421" t="s">
        <v>76</v>
      </c>
      <c r="O607" s="421" t="s">
        <v>76</v>
      </c>
      <c r="P607" s="421" t="s">
        <v>76</v>
      </c>
      <c r="Q607" s="421" t="s">
        <v>7042</v>
      </c>
      <c r="R607" s="422" t="s">
        <v>7369</v>
      </c>
    </row>
    <row r="608" spans="1:18">
      <c r="A608" s="420" t="s">
        <v>7990</v>
      </c>
      <c r="B608" s="421" t="s">
        <v>6873</v>
      </c>
      <c r="C608" s="421" t="s">
        <v>8025</v>
      </c>
      <c r="D608" s="421" t="s">
        <v>8026</v>
      </c>
      <c r="E608" s="421" t="s">
        <v>7369</v>
      </c>
      <c r="F608" s="421" t="s">
        <v>76</v>
      </c>
      <c r="G608" s="421" t="s">
        <v>76</v>
      </c>
      <c r="H608" s="421" t="s">
        <v>76</v>
      </c>
      <c r="I608" s="421" t="s">
        <v>7043</v>
      </c>
      <c r="J608" s="421" t="s">
        <v>76</v>
      </c>
      <c r="K608" s="421" t="s">
        <v>76</v>
      </c>
      <c r="L608" s="421" t="s">
        <v>76</v>
      </c>
      <c r="M608" s="421" t="s">
        <v>76</v>
      </c>
      <c r="N608" s="421" t="s">
        <v>76</v>
      </c>
      <c r="O608" s="421" t="s">
        <v>76</v>
      </c>
      <c r="P608" s="421" t="s">
        <v>76</v>
      </c>
      <c r="Q608" s="421" t="s">
        <v>7042</v>
      </c>
      <c r="R608" s="422" t="s">
        <v>7369</v>
      </c>
    </row>
    <row r="609" spans="1:18">
      <c r="A609" s="420" t="s">
        <v>7990</v>
      </c>
      <c r="B609" s="421" t="s">
        <v>6873</v>
      </c>
      <c r="C609" s="421" t="s">
        <v>8027</v>
      </c>
      <c r="D609" s="421" t="s">
        <v>8028</v>
      </c>
      <c r="E609" s="421" t="s">
        <v>7369</v>
      </c>
      <c r="F609" s="421" t="s">
        <v>7042</v>
      </c>
      <c r="G609" s="421" t="s">
        <v>7042</v>
      </c>
      <c r="H609" s="421" t="s">
        <v>7042</v>
      </c>
      <c r="I609" s="421" t="s">
        <v>76</v>
      </c>
      <c r="J609" s="421" t="s">
        <v>76</v>
      </c>
      <c r="K609" s="421" t="s">
        <v>76</v>
      </c>
      <c r="L609" s="421" t="s">
        <v>7043</v>
      </c>
      <c r="M609" s="421" t="s">
        <v>7043</v>
      </c>
      <c r="N609" s="421" t="s">
        <v>7043</v>
      </c>
      <c r="O609" s="421" t="s">
        <v>7043</v>
      </c>
      <c r="P609" s="421" t="s">
        <v>7043</v>
      </c>
      <c r="Q609" s="421" t="s">
        <v>7042</v>
      </c>
      <c r="R609" s="422" t="s">
        <v>7369</v>
      </c>
    </row>
    <row r="610" spans="1:18">
      <c r="A610" s="420" t="s">
        <v>7997</v>
      </c>
      <c r="B610" s="421" t="s">
        <v>6791</v>
      </c>
      <c r="C610" s="421" t="s">
        <v>8029</v>
      </c>
      <c r="D610" s="421" t="s">
        <v>8030</v>
      </c>
      <c r="E610" s="421" t="s">
        <v>7042</v>
      </c>
      <c r="F610" s="421" t="s">
        <v>7042</v>
      </c>
      <c r="G610" s="421" t="s">
        <v>7042</v>
      </c>
      <c r="H610" s="421" t="s">
        <v>76</v>
      </c>
      <c r="I610" s="421" t="s">
        <v>76</v>
      </c>
      <c r="J610" s="421" t="s">
        <v>76</v>
      </c>
      <c r="K610" s="421" t="s">
        <v>76</v>
      </c>
      <c r="L610" s="421" t="s">
        <v>76</v>
      </c>
      <c r="M610" s="421" t="s">
        <v>76</v>
      </c>
      <c r="N610" s="421" t="s">
        <v>76</v>
      </c>
      <c r="O610" s="421" t="s">
        <v>76</v>
      </c>
      <c r="P610" s="421" t="s">
        <v>76</v>
      </c>
      <c r="Q610" s="421" t="s">
        <v>7042</v>
      </c>
      <c r="R610" s="422" t="s">
        <v>7042</v>
      </c>
    </row>
    <row r="611" spans="1:18" ht="12.6" customHeight="1">
      <c r="A611" s="420" t="s">
        <v>7997</v>
      </c>
      <c r="B611" s="421" t="s">
        <v>6791</v>
      </c>
      <c r="C611" s="423" t="s">
        <v>8031</v>
      </c>
      <c r="D611" s="423" t="s">
        <v>8032</v>
      </c>
      <c r="E611" s="423" t="s">
        <v>7753</v>
      </c>
      <c r="F611" s="423" t="s">
        <v>76</v>
      </c>
      <c r="G611" s="423" t="s">
        <v>7042</v>
      </c>
      <c r="H611" s="421" t="s">
        <v>76</v>
      </c>
      <c r="I611" s="421" t="s">
        <v>76</v>
      </c>
      <c r="J611" s="421" t="s">
        <v>76</v>
      </c>
      <c r="K611" s="421" t="s">
        <v>76</v>
      </c>
      <c r="L611" s="421" t="s">
        <v>76</v>
      </c>
      <c r="M611" s="421" t="s">
        <v>76</v>
      </c>
      <c r="N611" s="421" t="s">
        <v>76</v>
      </c>
      <c r="O611" s="421" t="s">
        <v>76</v>
      </c>
      <c r="P611" s="423" t="s">
        <v>7043</v>
      </c>
      <c r="Q611" s="421" t="s">
        <v>76</v>
      </c>
      <c r="R611" s="422" t="s">
        <v>76</v>
      </c>
    </row>
    <row r="612" spans="1:18">
      <c r="A612" s="420" t="s">
        <v>8033</v>
      </c>
      <c r="B612" s="423" t="s">
        <v>6806</v>
      </c>
      <c r="C612" s="421" t="s">
        <v>8034</v>
      </c>
      <c r="D612" s="423" t="s">
        <v>8035</v>
      </c>
      <c r="E612" s="421" t="s">
        <v>7369</v>
      </c>
      <c r="F612" s="421" t="s">
        <v>7042</v>
      </c>
      <c r="G612" s="421" t="s">
        <v>7042</v>
      </c>
      <c r="H612" s="421" t="s">
        <v>76</v>
      </c>
      <c r="I612" s="421" t="s">
        <v>76</v>
      </c>
      <c r="J612" s="421" t="s">
        <v>76</v>
      </c>
      <c r="K612" s="421" t="s">
        <v>76</v>
      </c>
      <c r="L612" s="421" t="s">
        <v>7043</v>
      </c>
      <c r="M612" s="421" t="s">
        <v>7043</v>
      </c>
      <c r="N612" s="421" t="s">
        <v>7043</v>
      </c>
      <c r="O612" s="421" t="s">
        <v>7043</v>
      </c>
      <c r="P612" s="421" t="s">
        <v>76</v>
      </c>
      <c r="Q612" s="421" t="s">
        <v>7042</v>
      </c>
      <c r="R612" s="422" t="s">
        <v>7042</v>
      </c>
    </row>
    <row r="613" spans="1:18">
      <c r="A613" s="420" t="s">
        <v>7997</v>
      </c>
      <c r="B613" s="421" t="s">
        <v>6791</v>
      </c>
      <c r="C613" s="421" t="s">
        <v>8036</v>
      </c>
      <c r="D613" s="421" t="s">
        <v>8037</v>
      </c>
      <c r="E613" s="421" t="s">
        <v>7042</v>
      </c>
      <c r="F613" s="421" t="s">
        <v>7042</v>
      </c>
      <c r="G613" s="421" t="s">
        <v>7042</v>
      </c>
      <c r="H613" s="421" t="s">
        <v>76</v>
      </c>
      <c r="I613" s="421" t="s">
        <v>76</v>
      </c>
      <c r="J613" s="421" t="s">
        <v>76</v>
      </c>
      <c r="K613" s="421" t="s">
        <v>76</v>
      </c>
      <c r="L613" s="421" t="s">
        <v>76</v>
      </c>
      <c r="M613" s="421" t="s">
        <v>76</v>
      </c>
      <c r="N613" s="421" t="s">
        <v>76</v>
      </c>
      <c r="O613" s="421" t="s">
        <v>76</v>
      </c>
      <c r="P613" s="421" t="s">
        <v>76</v>
      </c>
      <c r="Q613" s="421" t="s">
        <v>7042</v>
      </c>
      <c r="R613" s="422" t="s">
        <v>7042</v>
      </c>
    </row>
    <row r="614" spans="1:18">
      <c r="A614" s="420" t="s">
        <v>7997</v>
      </c>
      <c r="B614" s="421" t="s">
        <v>6791</v>
      </c>
      <c r="C614" s="421" t="s">
        <v>8038</v>
      </c>
      <c r="D614" s="421" t="s">
        <v>8039</v>
      </c>
      <c r="E614" s="421" t="s">
        <v>7369</v>
      </c>
      <c r="F614" s="421" t="s">
        <v>7042</v>
      </c>
      <c r="G614" s="421" t="s">
        <v>7042</v>
      </c>
      <c r="H614" s="421" t="s">
        <v>7042</v>
      </c>
      <c r="I614" s="421" t="s">
        <v>76</v>
      </c>
      <c r="J614" s="421" t="s">
        <v>76</v>
      </c>
      <c r="K614" s="421" t="s">
        <v>76</v>
      </c>
      <c r="L614" s="421" t="s">
        <v>7043</v>
      </c>
      <c r="M614" s="421" t="s">
        <v>7043</v>
      </c>
      <c r="N614" s="421" t="s">
        <v>7043</v>
      </c>
      <c r="O614" s="421" t="s">
        <v>7043</v>
      </c>
      <c r="P614" s="421" t="s">
        <v>76</v>
      </c>
      <c r="Q614" s="421" t="s">
        <v>7042</v>
      </c>
      <c r="R614" s="422" t="s">
        <v>7042</v>
      </c>
    </row>
    <row r="615" spans="1:18">
      <c r="A615" s="420" t="s">
        <v>7997</v>
      </c>
      <c r="B615" s="421" t="s">
        <v>6791</v>
      </c>
      <c r="C615" s="421" t="s">
        <v>8040</v>
      </c>
      <c r="D615" s="421" t="s">
        <v>8041</v>
      </c>
      <c r="E615" s="421" t="s">
        <v>7369</v>
      </c>
      <c r="F615" s="421" t="s">
        <v>7042</v>
      </c>
      <c r="G615" s="421" t="s">
        <v>7042</v>
      </c>
      <c r="H615" s="421" t="s">
        <v>76</v>
      </c>
      <c r="I615" s="421" t="s">
        <v>76</v>
      </c>
      <c r="J615" s="421" t="s">
        <v>76</v>
      </c>
      <c r="K615" s="421" t="s">
        <v>76</v>
      </c>
      <c r="L615" s="421" t="s">
        <v>7043</v>
      </c>
      <c r="M615" s="421" t="s">
        <v>7043</v>
      </c>
      <c r="N615" s="421" t="s">
        <v>7043</v>
      </c>
      <c r="O615" s="421" t="s">
        <v>7043</v>
      </c>
      <c r="P615" s="421" t="s">
        <v>76</v>
      </c>
      <c r="Q615" s="421" t="s">
        <v>7042</v>
      </c>
      <c r="R615" s="422" t="s">
        <v>7042</v>
      </c>
    </row>
    <row r="616" spans="1:18">
      <c r="A616" s="420" t="s">
        <v>8042</v>
      </c>
      <c r="B616" s="423" t="s">
        <v>6797</v>
      </c>
      <c r="C616" s="421" t="s">
        <v>8043</v>
      </c>
      <c r="D616" s="421" t="s">
        <v>8044</v>
      </c>
      <c r="E616" s="421" t="s">
        <v>7369</v>
      </c>
      <c r="F616" s="421" t="s">
        <v>7042</v>
      </c>
      <c r="G616" s="421" t="s">
        <v>7042</v>
      </c>
      <c r="H616" s="421" t="s">
        <v>76</v>
      </c>
      <c r="I616" s="421" t="s">
        <v>76</v>
      </c>
      <c r="J616" s="421" t="s">
        <v>76</v>
      </c>
      <c r="K616" s="421" t="s">
        <v>76</v>
      </c>
      <c r="L616" s="421" t="s">
        <v>76</v>
      </c>
      <c r="M616" s="421" t="s">
        <v>76</v>
      </c>
      <c r="N616" s="421" t="s">
        <v>76</v>
      </c>
      <c r="O616" s="421" t="s">
        <v>76</v>
      </c>
      <c r="P616" s="421" t="s">
        <v>76</v>
      </c>
      <c r="Q616" s="421" t="s">
        <v>7042</v>
      </c>
      <c r="R616" s="422" t="s">
        <v>7042</v>
      </c>
    </row>
    <row r="617" spans="1:18">
      <c r="A617" s="420" t="s">
        <v>8042</v>
      </c>
      <c r="B617" s="421" t="s">
        <v>6797</v>
      </c>
      <c r="C617" s="421" t="s">
        <v>8045</v>
      </c>
      <c r="D617" s="421" t="s">
        <v>8046</v>
      </c>
      <c r="E617" s="421" t="s">
        <v>7369</v>
      </c>
      <c r="F617" s="421" t="s">
        <v>76</v>
      </c>
      <c r="G617" s="421" t="s">
        <v>76</v>
      </c>
      <c r="H617" s="421" t="s">
        <v>76</v>
      </c>
      <c r="I617" s="421" t="s">
        <v>7043</v>
      </c>
      <c r="J617" s="421" t="s">
        <v>76</v>
      </c>
      <c r="K617" s="421" t="s">
        <v>76</v>
      </c>
      <c r="L617" s="421" t="s">
        <v>76</v>
      </c>
      <c r="M617" s="421" t="s">
        <v>76</v>
      </c>
      <c r="N617" s="421" t="s">
        <v>76</v>
      </c>
      <c r="O617" s="421" t="s">
        <v>76</v>
      </c>
      <c r="P617" s="421" t="s">
        <v>76</v>
      </c>
      <c r="Q617" s="421" t="s">
        <v>7042</v>
      </c>
      <c r="R617" s="422" t="s">
        <v>7042</v>
      </c>
    </row>
    <row r="618" spans="1:18">
      <c r="A618" s="420" t="s">
        <v>8042</v>
      </c>
      <c r="B618" s="421" t="s">
        <v>6797</v>
      </c>
      <c r="C618" s="421" t="s">
        <v>8047</v>
      </c>
      <c r="D618" s="421" t="s">
        <v>8048</v>
      </c>
      <c r="E618" s="421" t="s">
        <v>7369</v>
      </c>
      <c r="F618" s="421" t="s">
        <v>7042</v>
      </c>
      <c r="G618" s="421" t="s">
        <v>7042</v>
      </c>
      <c r="H618" s="421" t="s">
        <v>7042</v>
      </c>
      <c r="I618" s="421" t="s">
        <v>76</v>
      </c>
      <c r="J618" s="421" t="s">
        <v>76</v>
      </c>
      <c r="K618" s="421" t="s">
        <v>76</v>
      </c>
      <c r="L618" s="421" t="s">
        <v>7043</v>
      </c>
      <c r="M618" s="421" t="s">
        <v>7043</v>
      </c>
      <c r="N618" s="421" t="s">
        <v>7043</v>
      </c>
      <c r="O618" s="421" t="s">
        <v>7043</v>
      </c>
      <c r="P618" s="421" t="s">
        <v>7043</v>
      </c>
      <c r="Q618" s="421" t="s">
        <v>7042</v>
      </c>
      <c r="R618" s="422" t="s">
        <v>7042</v>
      </c>
    </row>
    <row r="619" spans="1:18">
      <c r="A619" s="420" t="s">
        <v>7958</v>
      </c>
      <c r="B619" s="421" t="s">
        <v>6885</v>
      </c>
      <c r="C619" s="421" t="s">
        <v>8049</v>
      </c>
      <c r="D619" s="421" t="s">
        <v>8050</v>
      </c>
      <c r="E619" s="421" t="s">
        <v>7042</v>
      </c>
      <c r="F619" s="421" t="s">
        <v>7042</v>
      </c>
      <c r="G619" s="421" t="s">
        <v>7042</v>
      </c>
      <c r="H619" s="421" t="s">
        <v>76</v>
      </c>
      <c r="I619" s="421" t="s">
        <v>76</v>
      </c>
      <c r="J619" s="421" t="s">
        <v>76</v>
      </c>
      <c r="K619" s="421" t="s">
        <v>76</v>
      </c>
      <c r="L619" s="421" t="s">
        <v>7043</v>
      </c>
      <c r="M619" s="421" t="s">
        <v>7043</v>
      </c>
      <c r="N619" s="421" t="s">
        <v>7043</v>
      </c>
      <c r="O619" s="421" t="s">
        <v>7043</v>
      </c>
      <c r="P619" s="421" t="s">
        <v>76</v>
      </c>
      <c r="Q619" s="421" t="s">
        <v>7042</v>
      </c>
      <c r="R619" s="422" t="s">
        <v>7042</v>
      </c>
    </row>
    <row r="620" spans="1:18">
      <c r="A620" s="420" t="s">
        <v>7958</v>
      </c>
      <c r="B620" s="421" t="s">
        <v>6885</v>
      </c>
      <c r="C620" s="421" t="s">
        <v>8051</v>
      </c>
      <c r="D620" s="421" t="s">
        <v>8052</v>
      </c>
      <c r="E620" s="421" t="s">
        <v>7042</v>
      </c>
      <c r="F620" s="421" t="s">
        <v>7042</v>
      </c>
      <c r="G620" s="421" t="s">
        <v>7042</v>
      </c>
      <c r="H620" s="421" t="s">
        <v>76</v>
      </c>
      <c r="I620" s="421" t="s">
        <v>76</v>
      </c>
      <c r="J620" s="421" t="s">
        <v>76</v>
      </c>
      <c r="K620" s="421" t="s">
        <v>76</v>
      </c>
      <c r="L620" s="421" t="s">
        <v>76</v>
      </c>
      <c r="M620" s="421" t="s">
        <v>76</v>
      </c>
      <c r="N620" s="421" t="s">
        <v>76</v>
      </c>
      <c r="O620" s="421" t="s">
        <v>76</v>
      </c>
      <c r="P620" s="421" t="s">
        <v>76</v>
      </c>
      <c r="Q620" s="421" t="s">
        <v>7042</v>
      </c>
      <c r="R620" s="422" t="s">
        <v>7042</v>
      </c>
    </row>
    <row r="621" spans="1:18">
      <c r="A621" s="420" t="s">
        <v>7990</v>
      </c>
      <c r="B621" s="421" t="s">
        <v>6873</v>
      </c>
      <c r="C621" s="421" t="s">
        <v>8053</v>
      </c>
      <c r="D621" s="421" t="s">
        <v>8054</v>
      </c>
      <c r="E621" s="421" t="s">
        <v>7369</v>
      </c>
      <c r="F621" s="421" t="s">
        <v>7042</v>
      </c>
      <c r="G621" s="421" t="s">
        <v>7042</v>
      </c>
      <c r="H621" s="421" t="s">
        <v>76</v>
      </c>
      <c r="I621" s="421" t="s">
        <v>76</v>
      </c>
      <c r="J621" s="421" t="s">
        <v>76</v>
      </c>
      <c r="K621" s="421" t="s">
        <v>76</v>
      </c>
      <c r="L621" s="421" t="s">
        <v>76</v>
      </c>
      <c r="M621" s="421" t="s">
        <v>76</v>
      </c>
      <c r="N621" s="421" t="s">
        <v>76</v>
      </c>
      <c r="O621" s="421" t="s">
        <v>76</v>
      </c>
      <c r="P621" s="421" t="s">
        <v>7043</v>
      </c>
      <c r="Q621" s="421" t="s">
        <v>7042</v>
      </c>
      <c r="R621" s="422" t="s">
        <v>7042</v>
      </c>
    </row>
    <row r="622" spans="1:18">
      <c r="A622" s="420" t="s">
        <v>7965</v>
      </c>
      <c r="B622" s="421" t="s">
        <v>6880</v>
      </c>
      <c r="C622" s="421" t="s">
        <v>8055</v>
      </c>
      <c r="D622" s="421" t="s">
        <v>8056</v>
      </c>
      <c r="E622" s="421" t="s">
        <v>7369</v>
      </c>
      <c r="F622" s="421" t="s">
        <v>7042</v>
      </c>
      <c r="G622" s="421" t="s">
        <v>7042</v>
      </c>
      <c r="H622" s="421" t="s">
        <v>76</v>
      </c>
      <c r="I622" s="421" t="s">
        <v>76</v>
      </c>
      <c r="J622" s="421" t="s">
        <v>76</v>
      </c>
      <c r="K622" s="421" t="s">
        <v>76</v>
      </c>
      <c r="L622" s="421" t="s">
        <v>7043</v>
      </c>
      <c r="M622" s="421" t="s">
        <v>7043</v>
      </c>
      <c r="N622" s="421" t="s">
        <v>7043</v>
      </c>
      <c r="O622" s="421" t="s">
        <v>7043</v>
      </c>
      <c r="P622" s="421" t="s">
        <v>76</v>
      </c>
      <c r="Q622" s="421" t="s">
        <v>7042</v>
      </c>
      <c r="R622" s="422" t="s">
        <v>7042</v>
      </c>
    </row>
    <row r="623" spans="1:18">
      <c r="A623" s="420" t="s">
        <v>7958</v>
      </c>
      <c r="B623" s="421" t="s">
        <v>6885</v>
      </c>
      <c r="C623" s="421" t="s">
        <v>8057</v>
      </c>
      <c r="D623" s="421" t="s">
        <v>8058</v>
      </c>
      <c r="E623" s="421" t="s">
        <v>7753</v>
      </c>
      <c r="F623" s="421" t="s">
        <v>76</v>
      </c>
      <c r="G623" s="421" t="s">
        <v>76</v>
      </c>
      <c r="H623" s="421" t="s">
        <v>76</v>
      </c>
      <c r="I623" s="421" t="s">
        <v>76</v>
      </c>
      <c r="J623" s="421" t="s">
        <v>76</v>
      </c>
      <c r="K623" s="421" t="s">
        <v>76</v>
      </c>
      <c r="L623" s="421" t="s">
        <v>76</v>
      </c>
      <c r="M623" s="421" t="s">
        <v>76</v>
      </c>
      <c r="N623" s="421" t="s">
        <v>76</v>
      </c>
      <c r="O623" s="421" t="s">
        <v>76</v>
      </c>
      <c r="P623" s="421" t="s">
        <v>7753</v>
      </c>
      <c r="Q623" s="421" t="s">
        <v>7753</v>
      </c>
      <c r="R623" s="422" t="s">
        <v>76</v>
      </c>
    </row>
    <row r="624" spans="1:18">
      <c r="A624" s="420" t="s">
        <v>7958</v>
      </c>
      <c r="B624" s="421" t="s">
        <v>6885</v>
      </c>
      <c r="C624" s="421" t="s">
        <v>8059</v>
      </c>
      <c r="D624" s="421" t="s">
        <v>8060</v>
      </c>
      <c r="E624" s="421" t="s">
        <v>7042</v>
      </c>
      <c r="F624" s="421" t="s">
        <v>7042</v>
      </c>
      <c r="G624" s="421" t="s">
        <v>7042</v>
      </c>
      <c r="H624" s="421" t="s">
        <v>76</v>
      </c>
      <c r="I624" s="421" t="s">
        <v>76</v>
      </c>
      <c r="J624" s="421" t="s">
        <v>76</v>
      </c>
      <c r="K624" s="421" t="s">
        <v>76</v>
      </c>
      <c r="L624" s="421" t="s">
        <v>76</v>
      </c>
      <c r="M624" s="421" t="s">
        <v>76</v>
      </c>
      <c r="N624" s="421" t="s">
        <v>76</v>
      </c>
      <c r="O624" s="421" t="s">
        <v>76</v>
      </c>
      <c r="P624" s="421" t="s">
        <v>76</v>
      </c>
      <c r="Q624" s="421" t="s">
        <v>7042</v>
      </c>
      <c r="R624" s="422" t="s">
        <v>7042</v>
      </c>
    </row>
    <row r="625" spans="1:18">
      <c r="A625" s="420" t="s">
        <v>7958</v>
      </c>
      <c r="B625" s="421" t="s">
        <v>6885</v>
      </c>
      <c r="C625" s="421" t="s">
        <v>8061</v>
      </c>
      <c r="D625" s="421" t="s">
        <v>8062</v>
      </c>
      <c r="E625" s="421" t="s">
        <v>7042</v>
      </c>
      <c r="F625" s="421" t="s">
        <v>7042</v>
      </c>
      <c r="G625" s="421" t="s">
        <v>7042</v>
      </c>
      <c r="H625" s="421" t="s">
        <v>76</v>
      </c>
      <c r="I625" s="421" t="s">
        <v>76</v>
      </c>
      <c r="J625" s="421" t="s">
        <v>76</v>
      </c>
      <c r="K625" s="421" t="s">
        <v>76</v>
      </c>
      <c r="L625" s="421" t="s">
        <v>76</v>
      </c>
      <c r="M625" s="421" t="s">
        <v>76</v>
      </c>
      <c r="N625" s="421" t="s">
        <v>76</v>
      </c>
      <c r="O625" s="421" t="s">
        <v>76</v>
      </c>
      <c r="P625" s="421" t="s">
        <v>76</v>
      </c>
      <c r="Q625" s="421" t="s">
        <v>7042</v>
      </c>
      <c r="R625" s="422" t="s">
        <v>7042</v>
      </c>
    </row>
    <row r="626" spans="1:18">
      <c r="A626" s="420" t="s">
        <v>7990</v>
      </c>
      <c r="B626" s="421" t="s">
        <v>6873</v>
      </c>
      <c r="C626" s="421" t="s">
        <v>8063</v>
      </c>
      <c r="D626" s="421" t="s">
        <v>8064</v>
      </c>
      <c r="E626" s="421" t="s">
        <v>7042</v>
      </c>
      <c r="F626" s="421" t="s">
        <v>7042</v>
      </c>
      <c r="G626" s="421" t="s">
        <v>7042</v>
      </c>
      <c r="H626" s="421" t="s">
        <v>76</v>
      </c>
      <c r="I626" s="421" t="s">
        <v>76</v>
      </c>
      <c r="J626" s="421" t="s">
        <v>76</v>
      </c>
      <c r="K626" s="421" t="s">
        <v>1198</v>
      </c>
      <c r="L626" s="421" t="s">
        <v>1198</v>
      </c>
      <c r="M626" s="421" t="s">
        <v>1198</v>
      </c>
      <c r="N626" s="421" t="s">
        <v>1198</v>
      </c>
      <c r="O626" s="421" t="s">
        <v>1198</v>
      </c>
      <c r="P626" s="421" t="s">
        <v>76</v>
      </c>
      <c r="Q626" s="421" t="s">
        <v>7042</v>
      </c>
      <c r="R626" s="422" t="s">
        <v>7042</v>
      </c>
    </row>
    <row r="627" spans="1:18">
      <c r="A627" s="420" t="s">
        <v>8065</v>
      </c>
      <c r="B627" s="421" t="s">
        <v>8065</v>
      </c>
      <c r="C627" s="421" t="s">
        <v>8066</v>
      </c>
      <c r="D627" s="421" t="s">
        <v>8067</v>
      </c>
      <c r="E627" s="421" t="s">
        <v>76</v>
      </c>
      <c r="F627" s="421" t="s">
        <v>76</v>
      </c>
      <c r="G627" s="421" t="s">
        <v>76</v>
      </c>
      <c r="H627" s="421" t="s">
        <v>76</v>
      </c>
      <c r="I627" s="421" t="s">
        <v>76</v>
      </c>
      <c r="J627" s="421" t="s">
        <v>76</v>
      </c>
      <c r="K627" s="421" t="s">
        <v>7043</v>
      </c>
      <c r="L627" s="421" t="s">
        <v>76</v>
      </c>
      <c r="M627" s="421" t="s">
        <v>76</v>
      </c>
      <c r="N627" s="421" t="s">
        <v>76</v>
      </c>
      <c r="O627" s="421" t="s">
        <v>76</v>
      </c>
      <c r="P627" s="421" t="s">
        <v>76</v>
      </c>
      <c r="Q627" s="421" t="s">
        <v>76</v>
      </c>
      <c r="R627" s="422" t="s">
        <v>76</v>
      </c>
    </row>
    <row r="628" spans="1:18">
      <c r="A628" s="420" t="s">
        <v>8068</v>
      </c>
      <c r="B628" s="421" t="s">
        <v>8068</v>
      </c>
      <c r="C628" s="421" t="s">
        <v>8069</v>
      </c>
      <c r="D628" s="421" t="s">
        <v>8070</v>
      </c>
      <c r="E628" s="421" t="s">
        <v>76</v>
      </c>
      <c r="F628" s="421" t="s">
        <v>76</v>
      </c>
      <c r="G628" s="421" t="s">
        <v>76</v>
      </c>
      <c r="H628" s="421" t="s">
        <v>76</v>
      </c>
      <c r="I628" s="421" t="s">
        <v>76</v>
      </c>
      <c r="J628" s="421" t="s">
        <v>76</v>
      </c>
      <c r="K628" s="421" t="s">
        <v>7043</v>
      </c>
      <c r="L628" s="421" t="s">
        <v>76</v>
      </c>
      <c r="M628" s="421" t="s">
        <v>76</v>
      </c>
      <c r="N628" s="421" t="s">
        <v>76</v>
      </c>
      <c r="O628" s="421" t="s">
        <v>76</v>
      </c>
      <c r="P628" s="421" t="s">
        <v>76</v>
      </c>
      <c r="Q628" s="421" t="s">
        <v>76</v>
      </c>
      <c r="R628" s="422" t="s">
        <v>76</v>
      </c>
    </row>
    <row r="629" spans="1:18">
      <c r="A629" s="420" t="s">
        <v>8071</v>
      </c>
      <c r="B629" s="421" t="s">
        <v>8071</v>
      </c>
      <c r="C629" s="421" t="s">
        <v>8072</v>
      </c>
      <c r="D629" s="421" t="s">
        <v>8073</v>
      </c>
      <c r="E629" s="421" t="s">
        <v>7041</v>
      </c>
      <c r="F629" s="421" t="s">
        <v>7042</v>
      </c>
      <c r="G629" s="421" t="s">
        <v>7042</v>
      </c>
      <c r="H629" s="421" t="s">
        <v>7042</v>
      </c>
      <c r="I629" s="421" t="s">
        <v>7043</v>
      </c>
      <c r="J629" s="421" t="s">
        <v>7043</v>
      </c>
      <c r="K629" s="421" t="s">
        <v>7043</v>
      </c>
      <c r="L629" s="421" t="s">
        <v>7044</v>
      </c>
      <c r="M629" s="421" t="s">
        <v>7043</v>
      </c>
      <c r="N629" s="421" t="s">
        <v>7044</v>
      </c>
      <c r="O629" s="421" t="s">
        <v>7043</v>
      </c>
      <c r="P629" s="421" t="s">
        <v>76</v>
      </c>
      <c r="Q629" s="421" t="s">
        <v>76</v>
      </c>
      <c r="R629" s="422" t="s">
        <v>76</v>
      </c>
    </row>
    <row r="630" spans="1:18">
      <c r="A630" s="420" t="s">
        <v>7951</v>
      </c>
      <c r="B630" s="421" t="s">
        <v>6868</v>
      </c>
      <c r="C630" s="421" t="s">
        <v>8074</v>
      </c>
      <c r="D630" s="421" t="s">
        <v>8075</v>
      </c>
      <c r="E630" s="421" t="s">
        <v>76</v>
      </c>
      <c r="F630" s="421" t="s">
        <v>76</v>
      </c>
      <c r="G630" s="421" t="s">
        <v>76</v>
      </c>
      <c r="H630" s="421" t="s">
        <v>76</v>
      </c>
      <c r="I630" s="421" t="s">
        <v>76</v>
      </c>
      <c r="J630" s="421" t="s">
        <v>76</v>
      </c>
      <c r="K630" s="421" t="s">
        <v>7043</v>
      </c>
      <c r="L630" s="421" t="s">
        <v>76</v>
      </c>
      <c r="M630" s="421" t="s">
        <v>76</v>
      </c>
      <c r="N630" s="421" t="s">
        <v>76</v>
      </c>
      <c r="O630" s="421" t="s">
        <v>76</v>
      </c>
      <c r="P630" s="421" t="s">
        <v>76</v>
      </c>
      <c r="Q630" s="421" t="s">
        <v>76</v>
      </c>
      <c r="R630" s="422" t="s">
        <v>76</v>
      </c>
    </row>
    <row r="631" spans="1:18">
      <c r="A631" s="420" t="s">
        <v>8076</v>
      </c>
      <c r="B631" s="421" t="s">
        <v>6891</v>
      </c>
      <c r="C631" s="421" t="s">
        <v>8077</v>
      </c>
      <c r="D631" s="421" t="s">
        <v>8078</v>
      </c>
      <c r="E631" s="421" t="s">
        <v>7042</v>
      </c>
      <c r="F631" s="421" t="s">
        <v>7042</v>
      </c>
      <c r="G631" s="421" t="s">
        <v>7042</v>
      </c>
      <c r="H631" s="421" t="s">
        <v>7042</v>
      </c>
      <c r="I631" s="421" t="s">
        <v>7043</v>
      </c>
      <c r="J631" s="421" t="s">
        <v>76</v>
      </c>
      <c r="K631" s="421" t="s">
        <v>76</v>
      </c>
      <c r="L631" s="421" t="s">
        <v>7043</v>
      </c>
      <c r="M631" s="421" t="s">
        <v>7043</v>
      </c>
      <c r="N631" s="421" t="s">
        <v>7043</v>
      </c>
      <c r="O631" s="421" t="s">
        <v>7043</v>
      </c>
      <c r="P631" s="421" t="s">
        <v>7043</v>
      </c>
      <c r="Q631" s="421" t="s">
        <v>76</v>
      </c>
      <c r="R631" s="422" t="s">
        <v>76</v>
      </c>
    </row>
    <row r="632" spans="1:18">
      <c r="A632" s="420" t="s">
        <v>8079</v>
      </c>
      <c r="B632" s="421" t="s">
        <v>6898</v>
      </c>
      <c r="C632" s="421" t="s">
        <v>8080</v>
      </c>
      <c r="D632" s="421" t="s">
        <v>8081</v>
      </c>
      <c r="E632" s="421" t="s">
        <v>7042</v>
      </c>
      <c r="F632" s="421" t="s">
        <v>7042</v>
      </c>
      <c r="G632" s="421" t="s">
        <v>7042</v>
      </c>
      <c r="H632" s="421" t="s">
        <v>76</v>
      </c>
      <c r="I632" s="421" t="s">
        <v>76</v>
      </c>
      <c r="J632" s="421" t="s">
        <v>76</v>
      </c>
      <c r="K632" s="421" t="s">
        <v>76</v>
      </c>
      <c r="L632" s="421" t="s">
        <v>8082</v>
      </c>
      <c r="M632" s="421" t="s">
        <v>8082</v>
      </c>
      <c r="N632" s="421" t="s">
        <v>8082</v>
      </c>
      <c r="O632" s="421" t="s">
        <v>8082</v>
      </c>
      <c r="P632" s="421" t="s">
        <v>76</v>
      </c>
      <c r="Q632" s="421" t="s">
        <v>76</v>
      </c>
      <c r="R632" s="422" t="s">
        <v>76</v>
      </c>
    </row>
    <row r="633" spans="1:18">
      <c r="A633" s="420" t="s">
        <v>8079</v>
      </c>
      <c r="B633" s="421" t="s">
        <v>6898</v>
      </c>
      <c r="C633" s="421" t="s">
        <v>8080</v>
      </c>
      <c r="D633" s="421" t="s">
        <v>8083</v>
      </c>
      <c r="E633" s="421" t="s">
        <v>7042</v>
      </c>
      <c r="F633" s="421" t="s">
        <v>7042</v>
      </c>
      <c r="G633" s="421" t="s">
        <v>7042</v>
      </c>
      <c r="H633" s="421" t="s">
        <v>76</v>
      </c>
      <c r="I633" s="421" t="s">
        <v>76</v>
      </c>
      <c r="J633" s="421" t="s">
        <v>76</v>
      </c>
      <c r="K633" s="421" t="s">
        <v>76</v>
      </c>
      <c r="L633" s="421" t="s">
        <v>8082</v>
      </c>
      <c r="M633" s="421" t="s">
        <v>8082</v>
      </c>
      <c r="N633" s="421" t="s">
        <v>8082</v>
      </c>
      <c r="O633" s="421" t="s">
        <v>8082</v>
      </c>
      <c r="P633" s="421" t="s">
        <v>76</v>
      </c>
      <c r="Q633" s="421" t="s">
        <v>76</v>
      </c>
      <c r="R633" s="422" t="s">
        <v>76</v>
      </c>
    </row>
    <row r="634" spans="1:18">
      <c r="A634" s="420" t="s">
        <v>8084</v>
      </c>
      <c r="B634" s="421" t="s">
        <v>6905</v>
      </c>
      <c r="C634" s="421" t="s">
        <v>8085</v>
      </c>
      <c r="D634" s="421" t="s">
        <v>8086</v>
      </c>
      <c r="E634" s="421" t="s">
        <v>7042</v>
      </c>
      <c r="F634" s="421" t="s">
        <v>7042</v>
      </c>
      <c r="G634" s="421" t="s">
        <v>7042</v>
      </c>
      <c r="H634" s="421" t="s">
        <v>76</v>
      </c>
      <c r="I634" s="421" t="s">
        <v>76</v>
      </c>
      <c r="J634" s="421" t="s">
        <v>76</v>
      </c>
      <c r="K634" s="421" t="s">
        <v>76</v>
      </c>
      <c r="L634" s="421" t="s">
        <v>8082</v>
      </c>
      <c r="M634" s="421" t="s">
        <v>8082</v>
      </c>
      <c r="N634" s="421" t="s">
        <v>8082</v>
      </c>
      <c r="O634" s="421" t="s">
        <v>8082</v>
      </c>
      <c r="P634" s="421" t="s">
        <v>76</v>
      </c>
      <c r="Q634" s="421" t="s">
        <v>7042</v>
      </c>
      <c r="R634" s="422" t="s">
        <v>7369</v>
      </c>
    </row>
    <row r="635" spans="1:18">
      <c r="A635" s="420" t="s">
        <v>8079</v>
      </c>
      <c r="B635" s="421" t="s">
        <v>6898</v>
      </c>
      <c r="C635" s="421" t="s">
        <v>8080</v>
      </c>
      <c r="D635" s="421" t="s">
        <v>8087</v>
      </c>
      <c r="E635" s="421" t="s">
        <v>7042</v>
      </c>
      <c r="F635" s="421" t="s">
        <v>7042</v>
      </c>
      <c r="G635" s="421" t="s">
        <v>7042</v>
      </c>
      <c r="H635" s="421" t="s">
        <v>76</v>
      </c>
      <c r="I635" s="421" t="s">
        <v>76</v>
      </c>
      <c r="J635" s="421" t="s">
        <v>76</v>
      </c>
      <c r="K635" s="421" t="s">
        <v>76</v>
      </c>
      <c r="L635" s="421" t="s">
        <v>8082</v>
      </c>
      <c r="M635" s="421" t="s">
        <v>8082</v>
      </c>
      <c r="N635" s="421" t="s">
        <v>8082</v>
      </c>
      <c r="O635" s="421" t="s">
        <v>8082</v>
      </c>
      <c r="P635" s="421" t="s">
        <v>76</v>
      </c>
      <c r="Q635" s="421" t="s">
        <v>76</v>
      </c>
      <c r="R635" s="422" t="s">
        <v>76</v>
      </c>
    </row>
    <row r="636" spans="1:18">
      <c r="A636" s="420" t="s">
        <v>8088</v>
      </c>
      <c r="B636" s="421" t="s">
        <v>8089</v>
      </c>
      <c r="C636" s="421" t="s">
        <v>8090</v>
      </c>
      <c r="D636" s="421" t="s">
        <v>8091</v>
      </c>
      <c r="E636" s="421" t="s">
        <v>7042</v>
      </c>
      <c r="F636" s="421" t="s">
        <v>7042</v>
      </c>
      <c r="G636" s="421" t="s">
        <v>7042</v>
      </c>
      <c r="H636" s="421" t="s">
        <v>76</v>
      </c>
      <c r="I636" s="421" t="s">
        <v>76</v>
      </c>
      <c r="J636" s="421" t="s">
        <v>76</v>
      </c>
      <c r="K636" s="421" t="s">
        <v>76</v>
      </c>
      <c r="L636" s="421" t="s">
        <v>76</v>
      </c>
      <c r="M636" s="421" t="s">
        <v>76</v>
      </c>
      <c r="N636" s="421" t="s">
        <v>76</v>
      </c>
      <c r="O636" s="421" t="s">
        <v>76</v>
      </c>
      <c r="P636" s="421" t="s">
        <v>76</v>
      </c>
      <c r="Q636" s="421" t="s">
        <v>7042</v>
      </c>
      <c r="R636" s="422" t="s">
        <v>7369</v>
      </c>
    </row>
    <row r="637" spans="1:18">
      <c r="A637" s="420" t="s">
        <v>8088</v>
      </c>
      <c r="B637" s="421" t="s">
        <v>8089</v>
      </c>
      <c r="C637" s="421" t="s">
        <v>8090</v>
      </c>
      <c r="D637" s="421" t="s">
        <v>8092</v>
      </c>
      <c r="E637" s="421" t="s">
        <v>7042</v>
      </c>
      <c r="F637" s="421" t="s">
        <v>7042</v>
      </c>
      <c r="G637" s="421" t="s">
        <v>7042</v>
      </c>
      <c r="H637" s="421" t="s">
        <v>76</v>
      </c>
      <c r="I637" s="421" t="s">
        <v>76</v>
      </c>
      <c r="J637" s="421" t="s">
        <v>76</v>
      </c>
      <c r="K637" s="421" t="s">
        <v>76</v>
      </c>
      <c r="L637" s="421" t="s">
        <v>76</v>
      </c>
      <c r="M637" s="421" t="s">
        <v>76</v>
      </c>
      <c r="N637" s="421" t="s">
        <v>76</v>
      </c>
      <c r="O637" s="421" t="s">
        <v>76</v>
      </c>
      <c r="P637" s="421" t="s">
        <v>76</v>
      </c>
      <c r="Q637" s="421" t="s">
        <v>7042</v>
      </c>
      <c r="R637" s="422" t="s">
        <v>7369</v>
      </c>
    </row>
    <row r="638" spans="1:18">
      <c r="A638" s="420" t="s">
        <v>8093</v>
      </c>
      <c r="B638" s="421" t="s">
        <v>8094</v>
      </c>
      <c r="C638" s="421" t="s">
        <v>8095</v>
      </c>
      <c r="D638" s="421" t="s">
        <v>8096</v>
      </c>
      <c r="E638" s="421" t="s">
        <v>7042</v>
      </c>
      <c r="F638" s="421" t="s">
        <v>7042</v>
      </c>
      <c r="G638" s="421" t="s">
        <v>7042</v>
      </c>
      <c r="H638" s="421" t="s">
        <v>76</v>
      </c>
      <c r="I638" s="421" t="s">
        <v>76</v>
      </c>
      <c r="J638" s="421" t="s">
        <v>76</v>
      </c>
      <c r="K638" s="421" t="s">
        <v>76</v>
      </c>
      <c r="L638" s="421" t="s">
        <v>76</v>
      </c>
      <c r="M638" s="421" t="s">
        <v>76</v>
      </c>
      <c r="N638" s="421" t="s">
        <v>76</v>
      </c>
      <c r="O638" s="421" t="s">
        <v>76</v>
      </c>
      <c r="P638" s="421" t="s">
        <v>76</v>
      </c>
      <c r="Q638" s="421" t="s">
        <v>7042</v>
      </c>
      <c r="R638" s="422" t="s">
        <v>7369</v>
      </c>
    </row>
    <row r="639" spans="1:18">
      <c r="A639" s="420" t="s">
        <v>8097</v>
      </c>
      <c r="B639" s="421" t="s">
        <v>6913</v>
      </c>
      <c r="C639" s="421" t="s">
        <v>8098</v>
      </c>
      <c r="D639" s="421" t="s">
        <v>8099</v>
      </c>
      <c r="E639" s="421" t="s">
        <v>7042</v>
      </c>
      <c r="F639" s="421" t="s">
        <v>7042</v>
      </c>
      <c r="G639" s="421" t="s">
        <v>7042</v>
      </c>
      <c r="H639" s="421" t="s">
        <v>76</v>
      </c>
      <c r="I639" s="421" t="s">
        <v>76</v>
      </c>
      <c r="J639" s="421" t="s">
        <v>76</v>
      </c>
      <c r="K639" s="421" t="s">
        <v>76</v>
      </c>
      <c r="L639" s="421" t="s">
        <v>7043</v>
      </c>
      <c r="M639" s="421" t="s">
        <v>7043</v>
      </c>
      <c r="N639" s="421" t="s">
        <v>7043</v>
      </c>
      <c r="O639" s="421" t="s">
        <v>7043</v>
      </c>
      <c r="P639" s="421" t="s">
        <v>76</v>
      </c>
      <c r="Q639" s="421" t="s">
        <v>7042</v>
      </c>
      <c r="R639" s="422" t="s">
        <v>7369</v>
      </c>
    </row>
    <row r="640" spans="1:18">
      <c r="A640" s="420" t="s">
        <v>8097</v>
      </c>
      <c r="B640" s="421" t="s">
        <v>6913</v>
      </c>
      <c r="C640" s="421" t="s">
        <v>8098</v>
      </c>
      <c r="D640" s="421" t="s">
        <v>8100</v>
      </c>
      <c r="E640" s="421" t="s">
        <v>7042</v>
      </c>
      <c r="F640" s="421" t="s">
        <v>7042</v>
      </c>
      <c r="G640" s="421" t="s">
        <v>7042</v>
      </c>
      <c r="H640" s="421" t="s">
        <v>76</v>
      </c>
      <c r="I640" s="421" t="s">
        <v>76</v>
      </c>
      <c r="J640" s="421" t="s">
        <v>76</v>
      </c>
      <c r="K640" s="421" t="s">
        <v>76</v>
      </c>
      <c r="L640" s="421" t="s">
        <v>7043</v>
      </c>
      <c r="M640" s="421" t="s">
        <v>7043</v>
      </c>
      <c r="N640" s="421" t="s">
        <v>7043</v>
      </c>
      <c r="O640" s="421" t="s">
        <v>7043</v>
      </c>
      <c r="P640" s="421" t="s">
        <v>76</v>
      </c>
      <c r="Q640" s="421" t="s">
        <v>7042</v>
      </c>
      <c r="R640" s="422" t="s">
        <v>7042</v>
      </c>
    </row>
    <row r="641" spans="1:18">
      <c r="A641" s="420" t="s">
        <v>6923</v>
      </c>
      <c r="B641" s="421" t="s">
        <v>965</v>
      </c>
      <c r="C641" s="421" t="s">
        <v>8101</v>
      </c>
      <c r="D641" s="421" t="s">
        <v>8102</v>
      </c>
      <c r="E641" s="421" t="s">
        <v>7042</v>
      </c>
      <c r="F641" s="421" t="s">
        <v>7042</v>
      </c>
      <c r="G641" s="421" t="s">
        <v>7042</v>
      </c>
      <c r="H641" s="421" t="s">
        <v>7042</v>
      </c>
      <c r="I641" s="421" t="s">
        <v>7043</v>
      </c>
      <c r="J641" s="421" t="s">
        <v>7043</v>
      </c>
      <c r="K641" s="421" t="s">
        <v>7043</v>
      </c>
      <c r="L641" s="421" t="s">
        <v>7043</v>
      </c>
      <c r="M641" s="421" t="s">
        <v>7043</v>
      </c>
      <c r="N641" s="421" t="s">
        <v>7043</v>
      </c>
      <c r="O641" s="421" t="s">
        <v>7043</v>
      </c>
      <c r="P641" s="421" t="s">
        <v>7043</v>
      </c>
      <c r="Q641" s="421" t="s">
        <v>7042</v>
      </c>
      <c r="R641" s="422" t="s">
        <v>7042</v>
      </c>
    </row>
    <row r="642" spans="1:18">
      <c r="A642" s="420" t="s">
        <v>6923</v>
      </c>
      <c r="B642" s="421" t="s">
        <v>965</v>
      </c>
      <c r="C642" s="421" t="s">
        <v>8101</v>
      </c>
      <c r="D642" s="421" t="s">
        <v>8103</v>
      </c>
      <c r="E642" s="421" t="s">
        <v>7042</v>
      </c>
      <c r="F642" s="421" t="s">
        <v>7042</v>
      </c>
      <c r="G642" s="421" t="s">
        <v>7042</v>
      </c>
      <c r="H642" s="421" t="s">
        <v>7042</v>
      </c>
      <c r="I642" s="421" t="s">
        <v>7043</v>
      </c>
      <c r="J642" s="421" t="s">
        <v>7043</v>
      </c>
      <c r="K642" s="421" t="s">
        <v>7043</v>
      </c>
      <c r="L642" s="421" t="s">
        <v>7043</v>
      </c>
      <c r="M642" s="421" t="s">
        <v>7043</v>
      </c>
      <c r="N642" s="421" t="s">
        <v>7043</v>
      </c>
      <c r="O642" s="421" t="s">
        <v>7043</v>
      </c>
      <c r="P642" s="421" t="s">
        <v>7043</v>
      </c>
      <c r="Q642" s="421" t="s">
        <v>7042</v>
      </c>
      <c r="R642" s="422" t="s">
        <v>7042</v>
      </c>
    </row>
    <row r="643" spans="1:18">
      <c r="A643" s="420" t="s">
        <v>6923</v>
      </c>
      <c r="B643" s="421" t="s">
        <v>965</v>
      </c>
      <c r="C643" s="421" t="s">
        <v>8101</v>
      </c>
      <c r="D643" s="421" t="s">
        <v>8104</v>
      </c>
      <c r="E643" s="421" t="s">
        <v>7042</v>
      </c>
      <c r="F643" s="421" t="s">
        <v>7042</v>
      </c>
      <c r="G643" s="421" t="s">
        <v>7042</v>
      </c>
      <c r="H643" s="421" t="s">
        <v>7042</v>
      </c>
      <c r="I643" s="421" t="s">
        <v>7043</v>
      </c>
      <c r="J643" s="421" t="s">
        <v>7043</v>
      </c>
      <c r="K643" s="421" t="s">
        <v>7043</v>
      </c>
      <c r="L643" s="421" t="s">
        <v>7043</v>
      </c>
      <c r="M643" s="421" t="s">
        <v>7043</v>
      </c>
      <c r="N643" s="421" t="s">
        <v>7043</v>
      </c>
      <c r="O643" s="421" t="s">
        <v>7043</v>
      </c>
      <c r="P643" s="421" t="s">
        <v>7043</v>
      </c>
      <c r="Q643" s="421" t="s">
        <v>7042</v>
      </c>
      <c r="R643" s="422" t="s">
        <v>7042</v>
      </c>
    </row>
    <row r="644" spans="1:18">
      <c r="A644" s="420" t="s">
        <v>6923</v>
      </c>
      <c r="B644" s="421" t="s">
        <v>965</v>
      </c>
      <c r="C644" s="421" t="s">
        <v>8101</v>
      </c>
      <c r="D644" s="421" t="s">
        <v>8105</v>
      </c>
      <c r="E644" s="421" t="s">
        <v>7042</v>
      </c>
      <c r="F644" s="421" t="s">
        <v>7042</v>
      </c>
      <c r="G644" s="421" t="s">
        <v>7042</v>
      </c>
      <c r="H644" s="421" t="s">
        <v>7042</v>
      </c>
      <c r="I644" s="421" t="s">
        <v>7043</v>
      </c>
      <c r="J644" s="421" t="s">
        <v>7043</v>
      </c>
      <c r="K644" s="421" t="s">
        <v>7043</v>
      </c>
      <c r="L644" s="421" t="s">
        <v>7043</v>
      </c>
      <c r="M644" s="421" t="s">
        <v>7043</v>
      </c>
      <c r="N644" s="421" t="s">
        <v>7043</v>
      </c>
      <c r="O644" s="421" t="s">
        <v>7043</v>
      </c>
      <c r="P644" s="421" t="s">
        <v>7043</v>
      </c>
      <c r="Q644" s="421" t="s">
        <v>7042</v>
      </c>
      <c r="R644" s="422" t="s">
        <v>7042</v>
      </c>
    </row>
    <row r="645" spans="1:18">
      <c r="A645" s="420" t="s">
        <v>6923</v>
      </c>
      <c r="B645" s="421" t="s">
        <v>965</v>
      </c>
      <c r="C645" s="421" t="s">
        <v>8101</v>
      </c>
      <c r="D645" s="421" t="s">
        <v>8106</v>
      </c>
      <c r="E645" s="421" t="s">
        <v>7042</v>
      </c>
      <c r="F645" s="421" t="s">
        <v>7042</v>
      </c>
      <c r="G645" s="421" t="s">
        <v>7042</v>
      </c>
      <c r="H645" s="421" t="s">
        <v>7042</v>
      </c>
      <c r="I645" s="421" t="s">
        <v>7043</v>
      </c>
      <c r="J645" s="421" t="s">
        <v>7043</v>
      </c>
      <c r="K645" s="421" t="s">
        <v>7043</v>
      </c>
      <c r="L645" s="421" t="s">
        <v>7043</v>
      </c>
      <c r="M645" s="421" t="s">
        <v>7043</v>
      </c>
      <c r="N645" s="421" t="s">
        <v>7043</v>
      </c>
      <c r="O645" s="421" t="s">
        <v>7043</v>
      </c>
      <c r="P645" s="421" t="s">
        <v>7043</v>
      </c>
      <c r="Q645" s="421" t="s">
        <v>7042</v>
      </c>
      <c r="R645" s="422" t="s">
        <v>7042</v>
      </c>
    </row>
    <row r="646" spans="1:18">
      <c r="A646" s="420" t="s">
        <v>6923</v>
      </c>
      <c r="B646" s="421" t="s">
        <v>965</v>
      </c>
      <c r="C646" s="421" t="s">
        <v>8101</v>
      </c>
      <c r="D646" s="421" t="s">
        <v>8107</v>
      </c>
      <c r="E646" s="421" t="s">
        <v>7042</v>
      </c>
      <c r="F646" s="421" t="s">
        <v>7042</v>
      </c>
      <c r="G646" s="421" t="s">
        <v>7042</v>
      </c>
      <c r="H646" s="421" t="s">
        <v>7042</v>
      </c>
      <c r="I646" s="421" t="s">
        <v>7043</v>
      </c>
      <c r="J646" s="421" t="s">
        <v>7043</v>
      </c>
      <c r="K646" s="421" t="s">
        <v>7043</v>
      </c>
      <c r="L646" s="421" t="s">
        <v>7043</v>
      </c>
      <c r="M646" s="421" t="s">
        <v>7043</v>
      </c>
      <c r="N646" s="421" t="s">
        <v>7043</v>
      </c>
      <c r="O646" s="421" t="s">
        <v>7043</v>
      </c>
      <c r="P646" s="421" t="s">
        <v>7043</v>
      </c>
      <c r="Q646" s="421" t="s">
        <v>7042</v>
      </c>
      <c r="R646" s="422" t="s">
        <v>7042</v>
      </c>
    </row>
    <row r="647" spans="1:18">
      <c r="A647" s="420" t="s">
        <v>6923</v>
      </c>
      <c r="B647" s="421" t="s">
        <v>965</v>
      </c>
      <c r="C647" s="421" t="s">
        <v>8101</v>
      </c>
      <c r="D647" s="421" t="s">
        <v>8108</v>
      </c>
      <c r="E647" s="421" t="s">
        <v>7042</v>
      </c>
      <c r="F647" s="421" t="s">
        <v>7042</v>
      </c>
      <c r="G647" s="421" t="s">
        <v>7042</v>
      </c>
      <c r="H647" s="421" t="s">
        <v>7042</v>
      </c>
      <c r="I647" s="421" t="s">
        <v>7043</v>
      </c>
      <c r="J647" s="421" t="s">
        <v>7043</v>
      </c>
      <c r="K647" s="421" t="s">
        <v>7043</v>
      </c>
      <c r="L647" s="421" t="s">
        <v>7043</v>
      </c>
      <c r="M647" s="421" t="s">
        <v>7043</v>
      </c>
      <c r="N647" s="421" t="s">
        <v>7043</v>
      </c>
      <c r="O647" s="421" t="s">
        <v>7043</v>
      </c>
      <c r="P647" s="421" t="s">
        <v>7043</v>
      </c>
      <c r="Q647" s="421" t="s">
        <v>7042</v>
      </c>
      <c r="R647" s="422" t="s">
        <v>7042</v>
      </c>
    </row>
    <row r="648" spans="1:18">
      <c r="A648" s="420" t="s">
        <v>6923</v>
      </c>
      <c r="B648" s="421" t="s">
        <v>965</v>
      </c>
      <c r="C648" s="421" t="s">
        <v>8101</v>
      </c>
      <c r="D648" s="421" t="s">
        <v>8109</v>
      </c>
      <c r="E648" s="421" t="s">
        <v>7042</v>
      </c>
      <c r="F648" s="421" t="s">
        <v>7042</v>
      </c>
      <c r="G648" s="421" t="s">
        <v>7042</v>
      </c>
      <c r="H648" s="421" t="s">
        <v>7042</v>
      </c>
      <c r="I648" s="421" t="s">
        <v>7043</v>
      </c>
      <c r="J648" s="421" t="s">
        <v>7043</v>
      </c>
      <c r="K648" s="421" t="s">
        <v>7043</v>
      </c>
      <c r="L648" s="421" t="s">
        <v>7043</v>
      </c>
      <c r="M648" s="421" t="s">
        <v>7043</v>
      </c>
      <c r="N648" s="421" t="s">
        <v>7043</v>
      </c>
      <c r="O648" s="421" t="s">
        <v>7043</v>
      </c>
      <c r="P648" s="421" t="s">
        <v>7043</v>
      </c>
      <c r="Q648" s="421" t="s">
        <v>7042</v>
      </c>
      <c r="R648" s="422" t="s">
        <v>7042</v>
      </c>
    </row>
    <row r="649" spans="1:18">
      <c r="A649" s="420" t="s">
        <v>7039</v>
      </c>
      <c r="B649" s="421" t="s">
        <v>6358</v>
      </c>
      <c r="C649" s="421" t="s">
        <v>8110</v>
      </c>
      <c r="D649" s="421" t="s">
        <v>8111</v>
      </c>
      <c r="E649" s="421" t="s">
        <v>7044</v>
      </c>
      <c r="F649" s="421" t="s">
        <v>7042</v>
      </c>
      <c r="G649" s="421" t="s">
        <v>7042</v>
      </c>
      <c r="H649" s="421" t="s">
        <v>7042</v>
      </c>
      <c r="I649" s="421" t="s">
        <v>7043</v>
      </c>
      <c r="J649" s="421" t="s">
        <v>7043</v>
      </c>
      <c r="K649" s="421" t="s">
        <v>7043</v>
      </c>
      <c r="L649" s="421" t="s">
        <v>7044</v>
      </c>
      <c r="M649" s="421" t="s">
        <v>7043</v>
      </c>
      <c r="N649" s="421" t="s">
        <v>7044</v>
      </c>
      <c r="O649" s="421" t="s">
        <v>7043</v>
      </c>
      <c r="P649" s="421" t="s">
        <v>76</v>
      </c>
      <c r="Q649" s="421" t="s">
        <v>76</v>
      </c>
      <c r="R649" s="422" t="s">
        <v>76</v>
      </c>
    </row>
    <row r="650" spans="1:18">
      <c r="A650" s="420" t="s">
        <v>7039</v>
      </c>
      <c r="B650" s="421" t="s">
        <v>6358</v>
      </c>
      <c r="C650" s="421" t="s">
        <v>8112</v>
      </c>
      <c r="D650" s="421" t="s">
        <v>8113</v>
      </c>
      <c r="E650" s="421" t="s">
        <v>7044</v>
      </c>
      <c r="F650" s="421" t="s">
        <v>7042</v>
      </c>
      <c r="G650" s="421" t="s">
        <v>7042</v>
      </c>
      <c r="H650" s="421" t="s">
        <v>7042</v>
      </c>
      <c r="I650" s="421" t="s">
        <v>7043</v>
      </c>
      <c r="J650" s="421" t="s">
        <v>7043</v>
      </c>
      <c r="K650" s="421" t="s">
        <v>7043</v>
      </c>
      <c r="L650" s="421" t="s">
        <v>7044</v>
      </c>
      <c r="M650" s="421" t="s">
        <v>7043</v>
      </c>
      <c r="N650" s="421" t="s">
        <v>7044</v>
      </c>
      <c r="O650" s="421" t="s">
        <v>7043</v>
      </c>
      <c r="P650" s="421" t="s">
        <v>76</v>
      </c>
      <c r="Q650" s="421" t="s">
        <v>76</v>
      </c>
      <c r="R650" s="422" t="s">
        <v>76</v>
      </c>
    </row>
    <row r="651" spans="1:18">
      <c r="A651" s="420" t="s">
        <v>7039</v>
      </c>
      <c r="B651" s="421" t="s">
        <v>6358</v>
      </c>
      <c r="C651" s="421" t="s">
        <v>8114</v>
      </c>
      <c r="D651" s="421" t="s">
        <v>8115</v>
      </c>
      <c r="E651" s="421" t="s">
        <v>7044</v>
      </c>
      <c r="F651" s="421" t="s">
        <v>7042</v>
      </c>
      <c r="G651" s="421" t="s">
        <v>7042</v>
      </c>
      <c r="H651" s="421" t="s">
        <v>7042</v>
      </c>
      <c r="I651" s="421" t="s">
        <v>7043</v>
      </c>
      <c r="J651" s="421" t="s">
        <v>7043</v>
      </c>
      <c r="K651" s="421" t="s">
        <v>7043</v>
      </c>
      <c r="L651" s="421" t="s">
        <v>7044</v>
      </c>
      <c r="M651" s="421" t="s">
        <v>7043</v>
      </c>
      <c r="N651" s="421" t="s">
        <v>7044</v>
      </c>
      <c r="O651" s="421" t="s">
        <v>7043</v>
      </c>
      <c r="P651" s="421" t="s">
        <v>76</v>
      </c>
      <c r="Q651" s="421" t="s">
        <v>76</v>
      </c>
      <c r="R651" s="422" t="s">
        <v>76</v>
      </c>
    </row>
    <row r="652" spans="1:18">
      <c r="A652" s="420" t="s">
        <v>7039</v>
      </c>
      <c r="B652" s="421" t="s">
        <v>6358</v>
      </c>
      <c r="C652" s="421" t="s">
        <v>8116</v>
      </c>
      <c r="D652" s="421" t="s">
        <v>8117</v>
      </c>
      <c r="E652" s="421" t="s">
        <v>7044</v>
      </c>
      <c r="F652" s="421" t="s">
        <v>7042</v>
      </c>
      <c r="G652" s="421" t="s">
        <v>7042</v>
      </c>
      <c r="H652" s="421" t="s">
        <v>7042</v>
      </c>
      <c r="I652" s="421" t="s">
        <v>7043</v>
      </c>
      <c r="J652" s="421" t="s">
        <v>7043</v>
      </c>
      <c r="K652" s="421" t="s">
        <v>7043</v>
      </c>
      <c r="L652" s="421" t="s">
        <v>7044</v>
      </c>
      <c r="M652" s="421" t="s">
        <v>7043</v>
      </c>
      <c r="N652" s="421" t="s">
        <v>7044</v>
      </c>
      <c r="O652" s="421" t="s">
        <v>7043</v>
      </c>
      <c r="P652" s="421" t="s">
        <v>76</v>
      </c>
      <c r="Q652" s="421" t="s">
        <v>76</v>
      </c>
      <c r="R652" s="422" t="s">
        <v>76</v>
      </c>
    </row>
    <row r="653" spans="1:18">
      <c r="A653" s="420" t="s">
        <v>7039</v>
      </c>
      <c r="B653" s="421" t="s">
        <v>6358</v>
      </c>
      <c r="C653" s="421" t="s">
        <v>8118</v>
      </c>
      <c r="D653" s="421" t="s">
        <v>8119</v>
      </c>
      <c r="E653" s="421" t="s">
        <v>7044</v>
      </c>
      <c r="F653" s="421" t="s">
        <v>7042</v>
      </c>
      <c r="G653" s="421" t="s">
        <v>7042</v>
      </c>
      <c r="H653" s="421" t="s">
        <v>7042</v>
      </c>
      <c r="I653" s="421" t="s">
        <v>7043</v>
      </c>
      <c r="J653" s="421" t="s">
        <v>7043</v>
      </c>
      <c r="K653" s="421" t="s">
        <v>7043</v>
      </c>
      <c r="L653" s="421" t="s">
        <v>7044</v>
      </c>
      <c r="M653" s="421" t="s">
        <v>7043</v>
      </c>
      <c r="N653" s="421" t="s">
        <v>7044</v>
      </c>
      <c r="O653" s="421" t="s">
        <v>7043</v>
      </c>
      <c r="P653" s="421" t="s">
        <v>76</v>
      </c>
      <c r="Q653" s="421" t="s">
        <v>76</v>
      </c>
      <c r="R653" s="422" t="s">
        <v>76</v>
      </c>
    </row>
    <row r="654" spans="1:18">
      <c r="A654" s="420" t="s">
        <v>7326</v>
      </c>
      <c r="B654" s="421" t="s">
        <v>6417</v>
      </c>
      <c r="C654" s="421" t="s">
        <v>7327</v>
      </c>
      <c r="D654" s="421" t="s">
        <v>8120</v>
      </c>
      <c r="E654" s="421" t="s">
        <v>7044</v>
      </c>
      <c r="F654" s="421" t="s">
        <v>7043</v>
      </c>
      <c r="G654" s="421" t="s">
        <v>7043</v>
      </c>
      <c r="H654" s="421" t="s">
        <v>7043</v>
      </c>
      <c r="I654" s="421" t="s">
        <v>76</v>
      </c>
      <c r="J654" s="421" t="s">
        <v>7043</v>
      </c>
      <c r="K654" s="421" t="s">
        <v>7043</v>
      </c>
      <c r="L654" s="421" t="s">
        <v>7044</v>
      </c>
      <c r="M654" s="421" t="s">
        <v>7043</v>
      </c>
      <c r="N654" s="421" t="s">
        <v>7044</v>
      </c>
      <c r="O654" s="421" t="s">
        <v>7043</v>
      </c>
      <c r="P654" s="421" t="s">
        <v>76</v>
      </c>
      <c r="Q654" s="421" t="s">
        <v>76</v>
      </c>
      <c r="R654" s="422" t="s">
        <v>76</v>
      </c>
    </row>
    <row r="655" spans="1:18">
      <c r="A655" s="420" t="s">
        <v>7326</v>
      </c>
      <c r="B655" s="421" t="s">
        <v>6417</v>
      </c>
      <c r="C655" s="421" t="s">
        <v>7327</v>
      </c>
      <c r="D655" s="421" t="s">
        <v>8121</v>
      </c>
      <c r="E655" s="421" t="s">
        <v>7044</v>
      </c>
      <c r="F655" s="421" t="s">
        <v>7043</v>
      </c>
      <c r="G655" s="421" t="s">
        <v>7043</v>
      </c>
      <c r="H655" s="421" t="s">
        <v>7043</v>
      </c>
      <c r="I655" s="421" t="s">
        <v>76</v>
      </c>
      <c r="J655" s="421" t="s">
        <v>7043</v>
      </c>
      <c r="K655" s="421" t="s">
        <v>76</v>
      </c>
      <c r="L655" s="421" t="s">
        <v>7044</v>
      </c>
      <c r="M655" s="421" t="s">
        <v>7043</v>
      </c>
      <c r="N655" s="421" t="s">
        <v>7044</v>
      </c>
      <c r="O655" s="421" t="s">
        <v>7043</v>
      </c>
      <c r="P655" s="421" t="s">
        <v>76</v>
      </c>
      <c r="Q655" s="421" t="s">
        <v>76</v>
      </c>
      <c r="R655" s="422" t="s">
        <v>76</v>
      </c>
    </row>
    <row r="656" spans="1:18">
      <c r="A656" s="420" t="s">
        <v>7329</v>
      </c>
      <c r="B656" s="421" t="s">
        <v>6426</v>
      </c>
      <c r="C656" s="421"/>
      <c r="D656" s="421" t="s">
        <v>8122</v>
      </c>
      <c r="E656" s="421" t="s">
        <v>76</v>
      </c>
      <c r="F656" s="421" t="s">
        <v>76</v>
      </c>
      <c r="G656" s="421" t="s">
        <v>76</v>
      </c>
      <c r="H656" s="421" t="s">
        <v>7044</v>
      </c>
      <c r="I656" s="421" t="s">
        <v>76</v>
      </c>
      <c r="J656" s="421" t="s">
        <v>76</v>
      </c>
      <c r="K656" s="421" t="s">
        <v>76</v>
      </c>
      <c r="L656" s="421" t="s">
        <v>76</v>
      </c>
      <c r="M656" s="421" t="s">
        <v>76</v>
      </c>
      <c r="N656" s="421" t="s">
        <v>76</v>
      </c>
      <c r="O656" s="421" t="s">
        <v>76</v>
      </c>
      <c r="P656" s="421" t="s">
        <v>7043</v>
      </c>
      <c r="Q656" s="421" t="s">
        <v>76</v>
      </c>
      <c r="R656" s="422" t="s">
        <v>76</v>
      </c>
    </row>
    <row r="657" spans="1:18">
      <c r="A657" s="420" t="s">
        <v>7332</v>
      </c>
      <c r="B657" s="421" t="s">
        <v>6435</v>
      </c>
      <c r="C657" s="421"/>
      <c r="D657" s="421" t="s">
        <v>8123</v>
      </c>
      <c r="E657" s="421" t="s">
        <v>76</v>
      </c>
      <c r="F657" s="421" t="s">
        <v>76</v>
      </c>
      <c r="G657" s="421" t="s">
        <v>76</v>
      </c>
      <c r="H657" s="421" t="s">
        <v>7044</v>
      </c>
      <c r="I657" s="421" t="s">
        <v>76</v>
      </c>
      <c r="J657" s="421" t="s">
        <v>76</v>
      </c>
      <c r="K657" s="421" t="s">
        <v>76</v>
      </c>
      <c r="L657" s="421" t="s">
        <v>76</v>
      </c>
      <c r="M657" s="421" t="s">
        <v>76</v>
      </c>
      <c r="N657" s="421" t="s">
        <v>76</v>
      </c>
      <c r="O657" s="421" t="s">
        <v>76</v>
      </c>
      <c r="P657" s="421" t="s">
        <v>7043</v>
      </c>
      <c r="Q657" s="421" t="s">
        <v>76</v>
      </c>
      <c r="R657" s="422" t="s">
        <v>76</v>
      </c>
    </row>
    <row r="658" spans="1:18">
      <c r="A658" s="420" t="s">
        <v>7335</v>
      </c>
      <c r="B658" s="421" t="s">
        <v>6440</v>
      </c>
      <c r="C658" s="421"/>
      <c r="D658" s="421" t="s">
        <v>8124</v>
      </c>
      <c r="E658" s="421" t="s">
        <v>76</v>
      </c>
      <c r="F658" s="421" t="s">
        <v>76</v>
      </c>
      <c r="G658" s="421" t="s">
        <v>76</v>
      </c>
      <c r="H658" s="421" t="s">
        <v>76</v>
      </c>
      <c r="I658" s="421" t="s">
        <v>76</v>
      </c>
      <c r="J658" s="421" t="s">
        <v>76</v>
      </c>
      <c r="K658" s="421" t="s">
        <v>76</v>
      </c>
      <c r="L658" s="421" t="s">
        <v>76</v>
      </c>
      <c r="M658" s="421" t="s">
        <v>76</v>
      </c>
      <c r="N658" s="421" t="s">
        <v>7043</v>
      </c>
      <c r="O658" s="421" t="s">
        <v>76</v>
      </c>
      <c r="P658" s="421" t="s">
        <v>76</v>
      </c>
      <c r="Q658" s="421" t="s">
        <v>76</v>
      </c>
      <c r="R658" s="422" t="s">
        <v>76</v>
      </c>
    </row>
    <row r="659" spans="1:18">
      <c r="A659" s="420" t="s">
        <v>7338</v>
      </c>
      <c r="B659" s="421" t="s">
        <v>6446</v>
      </c>
      <c r="C659" s="421"/>
      <c r="D659" s="421" t="s">
        <v>8125</v>
      </c>
      <c r="E659" s="421" t="s">
        <v>76</v>
      </c>
      <c r="F659" s="421" t="s">
        <v>76</v>
      </c>
      <c r="G659" s="421" t="s">
        <v>76</v>
      </c>
      <c r="H659" s="421" t="s">
        <v>76</v>
      </c>
      <c r="I659" s="421" t="s">
        <v>76</v>
      </c>
      <c r="J659" s="421" t="s">
        <v>76</v>
      </c>
      <c r="K659" s="421" t="s">
        <v>76</v>
      </c>
      <c r="L659" s="421" t="s">
        <v>76</v>
      </c>
      <c r="M659" s="421" t="s">
        <v>76</v>
      </c>
      <c r="N659" s="421" t="s">
        <v>7043</v>
      </c>
      <c r="O659" s="421" t="s">
        <v>76</v>
      </c>
      <c r="P659" s="421" t="s">
        <v>76</v>
      </c>
      <c r="Q659" s="421" t="s">
        <v>76</v>
      </c>
      <c r="R659" s="422" t="s">
        <v>76</v>
      </c>
    </row>
    <row r="660" spans="1:18">
      <c r="A660" s="420" t="s">
        <v>7039</v>
      </c>
      <c r="B660" s="421" t="s">
        <v>6358</v>
      </c>
      <c r="C660" s="421" t="s">
        <v>7162</v>
      </c>
      <c r="D660" s="421" t="s">
        <v>8126</v>
      </c>
      <c r="E660" s="421" t="s">
        <v>7041</v>
      </c>
      <c r="F660" s="421" t="s">
        <v>7042</v>
      </c>
      <c r="G660" s="421" t="s">
        <v>7042</v>
      </c>
      <c r="H660" s="421" t="s">
        <v>7042</v>
      </c>
      <c r="I660" s="421" t="s">
        <v>7043</v>
      </c>
      <c r="J660" s="421" t="s">
        <v>7043</v>
      </c>
      <c r="K660" s="421" t="s">
        <v>7043</v>
      </c>
      <c r="L660" s="421" t="s">
        <v>7044</v>
      </c>
      <c r="M660" s="421" t="s">
        <v>7043</v>
      </c>
      <c r="N660" s="421" t="s">
        <v>7044</v>
      </c>
      <c r="O660" s="421" t="s">
        <v>7043</v>
      </c>
      <c r="P660" s="421" t="s">
        <v>76</v>
      </c>
      <c r="Q660" s="421" t="s">
        <v>76</v>
      </c>
      <c r="R660" s="422" t="s">
        <v>76</v>
      </c>
    </row>
    <row r="661" spans="1:18">
      <c r="A661" s="420" t="s">
        <v>7039</v>
      </c>
      <c r="B661" s="421" t="s">
        <v>6358</v>
      </c>
      <c r="C661" s="421" t="s">
        <v>8127</v>
      </c>
      <c r="D661" s="421" t="s">
        <v>8128</v>
      </c>
      <c r="E661" s="421" t="s">
        <v>7041</v>
      </c>
      <c r="F661" s="421" t="s">
        <v>7042</v>
      </c>
      <c r="G661" s="421" t="s">
        <v>7042</v>
      </c>
      <c r="H661" s="421" t="s">
        <v>7042</v>
      </c>
      <c r="I661" s="421" t="s">
        <v>7043</v>
      </c>
      <c r="J661" s="421" t="s">
        <v>7043</v>
      </c>
      <c r="K661" s="421" t="s">
        <v>7043</v>
      </c>
      <c r="L661" s="421" t="s">
        <v>7044</v>
      </c>
      <c r="M661" s="421" t="s">
        <v>7043</v>
      </c>
      <c r="N661" s="421" t="s">
        <v>7044</v>
      </c>
      <c r="O661" s="421" t="s">
        <v>7043</v>
      </c>
      <c r="P661" s="421" t="s">
        <v>76</v>
      </c>
      <c r="Q661" s="421" t="s">
        <v>76</v>
      </c>
      <c r="R661" s="422" t="s">
        <v>76</v>
      </c>
    </row>
    <row r="662" spans="1:18">
      <c r="A662" s="420" t="s">
        <v>7039</v>
      </c>
      <c r="B662" s="421" t="s">
        <v>6358</v>
      </c>
      <c r="C662" s="421" t="s">
        <v>8129</v>
      </c>
      <c r="D662" s="421" t="s">
        <v>8130</v>
      </c>
      <c r="E662" s="421" t="s">
        <v>7041</v>
      </c>
      <c r="F662" s="421" t="s">
        <v>7042</v>
      </c>
      <c r="G662" s="421" t="s">
        <v>7042</v>
      </c>
      <c r="H662" s="421" t="s">
        <v>7042</v>
      </c>
      <c r="I662" s="421" t="s">
        <v>7043</v>
      </c>
      <c r="J662" s="421" t="s">
        <v>7043</v>
      </c>
      <c r="K662" s="421" t="s">
        <v>7043</v>
      </c>
      <c r="L662" s="421" t="s">
        <v>7044</v>
      </c>
      <c r="M662" s="421" t="s">
        <v>7043</v>
      </c>
      <c r="N662" s="421" t="s">
        <v>7044</v>
      </c>
      <c r="O662" s="421" t="s">
        <v>7043</v>
      </c>
      <c r="P662" s="421" t="s">
        <v>76</v>
      </c>
      <c r="Q662" s="421" t="s">
        <v>76</v>
      </c>
      <c r="R662" s="422" t="s">
        <v>76</v>
      </c>
    </row>
    <row r="663" spans="1:18">
      <c r="A663" s="420" t="s">
        <v>8131</v>
      </c>
      <c r="B663" s="421" t="s">
        <v>6564</v>
      </c>
      <c r="C663" s="421" t="s">
        <v>8132</v>
      </c>
      <c r="D663" s="421" t="s">
        <v>8133</v>
      </c>
      <c r="E663" s="421" t="s">
        <v>76</v>
      </c>
      <c r="F663" s="421" t="s">
        <v>76</v>
      </c>
      <c r="G663" s="421" t="s">
        <v>76</v>
      </c>
      <c r="H663" s="421" t="s">
        <v>76</v>
      </c>
      <c r="I663" s="421" t="s">
        <v>76</v>
      </c>
      <c r="J663" s="421" t="s">
        <v>76</v>
      </c>
      <c r="K663" s="421" t="s">
        <v>76</v>
      </c>
      <c r="L663" s="421" t="s">
        <v>76</v>
      </c>
      <c r="M663" s="421" t="s">
        <v>76</v>
      </c>
      <c r="N663" s="421" t="s">
        <v>7043</v>
      </c>
      <c r="O663" s="421" t="s">
        <v>76</v>
      </c>
      <c r="P663" s="421" t="s">
        <v>76</v>
      </c>
      <c r="Q663" s="421" t="s">
        <v>76</v>
      </c>
      <c r="R663" s="422" t="s">
        <v>76</v>
      </c>
    </row>
    <row r="664" spans="1:18">
      <c r="A664" s="420" t="s">
        <v>8134</v>
      </c>
      <c r="B664" s="421" t="s">
        <v>6573</v>
      </c>
      <c r="C664" s="421" t="s">
        <v>8135</v>
      </c>
      <c r="D664" s="421" t="s">
        <v>8136</v>
      </c>
      <c r="E664" s="421" t="s">
        <v>76</v>
      </c>
      <c r="F664" s="421" t="s">
        <v>76</v>
      </c>
      <c r="G664" s="421" t="s">
        <v>76</v>
      </c>
      <c r="H664" s="421" t="s">
        <v>76</v>
      </c>
      <c r="I664" s="421" t="s">
        <v>76</v>
      </c>
      <c r="J664" s="421" t="s">
        <v>76</v>
      </c>
      <c r="K664" s="421" t="s">
        <v>76</v>
      </c>
      <c r="L664" s="421" t="s">
        <v>76</v>
      </c>
      <c r="M664" s="421" t="s">
        <v>76</v>
      </c>
      <c r="N664" s="421" t="s">
        <v>7043</v>
      </c>
      <c r="O664" s="421" t="s">
        <v>76</v>
      </c>
      <c r="P664" s="421" t="s">
        <v>76</v>
      </c>
      <c r="Q664" s="421" t="s">
        <v>76</v>
      </c>
      <c r="R664" s="422" t="s">
        <v>76</v>
      </c>
    </row>
    <row r="665" spans="1:18">
      <c r="A665" s="420" t="s">
        <v>8137</v>
      </c>
      <c r="B665" s="421" t="s">
        <v>6576</v>
      </c>
      <c r="C665" s="421" t="s">
        <v>8138</v>
      </c>
      <c r="D665" s="421" t="s">
        <v>8139</v>
      </c>
      <c r="E665" s="421" t="s">
        <v>76</v>
      </c>
      <c r="F665" s="421" t="s">
        <v>76</v>
      </c>
      <c r="G665" s="421" t="s">
        <v>76</v>
      </c>
      <c r="H665" s="421" t="s">
        <v>7044</v>
      </c>
      <c r="I665" s="421" t="s">
        <v>76</v>
      </c>
      <c r="J665" s="421" t="s">
        <v>76</v>
      </c>
      <c r="K665" s="421" t="s">
        <v>76</v>
      </c>
      <c r="L665" s="421" t="s">
        <v>76</v>
      </c>
      <c r="M665" s="421" t="s">
        <v>76</v>
      </c>
      <c r="N665" s="421" t="s">
        <v>76</v>
      </c>
      <c r="O665" s="421" t="s">
        <v>76</v>
      </c>
      <c r="P665" s="421" t="s">
        <v>7043</v>
      </c>
      <c r="Q665" s="421" t="s">
        <v>76</v>
      </c>
      <c r="R665" s="422" t="s">
        <v>76</v>
      </c>
    </row>
    <row r="666" spans="1:18">
      <c r="A666" s="420" t="s">
        <v>8140</v>
      </c>
      <c r="B666" s="421" t="s">
        <v>6579</v>
      </c>
      <c r="C666" s="421" t="s">
        <v>8141</v>
      </c>
      <c r="D666" s="421" t="s">
        <v>8142</v>
      </c>
      <c r="E666" s="421" t="s">
        <v>76</v>
      </c>
      <c r="F666" s="421" t="s">
        <v>76</v>
      </c>
      <c r="G666" s="421" t="s">
        <v>76</v>
      </c>
      <c r="H666" s="421" t="s">
        <v>7044</v>
      </c>
      <c r="I666" s="421" t="s">
        <v>76</v>
      </c>
      <c r="J666" s="421" t="s">
        <v>76</v>
      </c>
      <c r="K666" s="421" t="s">
        <v>76</v>
      </c>
      <c r="L666" s="421" t="s">
        <v>76</v>
      </c>
      <c r="M666" s="421" t="s">
        <v>76</v>
      </c>
      <c r="N666" s="421" t="s">
        <v>76</v>
      </c>
      <c r="O666" s="421" t="s">
        <v>76</v>
      </c>
      <c r="P666" s="421" t="s">
        <v>7043</v>
      </c>
      <c r="Q666" s="421" t="s">
        <v>76</v>
      </c>
      <c r="R666" s="422" t="s">
        <v>76</v>
      </c>
    </row>
    <row r="667" spans="1:18">
      <c r="A667" s="420" t="s">
        <v>8143</v>
      </c>
      <c r="B667" s="421" t="s">
        <v>6582</v>
      </c>
      <c r="C667" s="421" t="s">
        <v>8144</v>
      </c>
      <c r="D667" s="421" t="s">
        <v>8145</v>
      </c>
      <c r="E667" s="421" t="s">
        <v>76</v>
      </c>
      <c r="F667" s="421" t="s">
        <v>76</v>
      </c>
      <c r="G667" s="421" t="s">
        <v>76</v>
      </c>
      <c r="H667" s="421" t="s">
        <v>76</v>
      </c>
      <c r="I667" s="421" t="s">
        <v>76</v>
      </c>
      <c r="J667" s="421" t="s">
        <v>76</v>
      </c>
      <c r="K667" s="421" t="s">
        <v>76</v>
      </c>
      <c r="L667" s="421" t="s">
        <v>76</v>
      </c>
      <c r="M667" s="421" t="s">
        <v>76</v>
      </c>
      <c r="N667" s="421" t="s">
        <v>7043</v>
      </c>
      <c r="O667" s="421" t="s">
        <v>76</v>
      </c>
      <c r="P667" s="421" t="s">
        <v>76</v>
      </c>
      <c r="Q667" s="421" t="s">
        <v>76</v>
      </c>
      <c r="R667" s="422" t="s">
        <v>76</v>
      </c>
    </row>
    <row r="668" spans="1:18">
      <c r="A668" s="420" t="s">
        <v>8143</v>
      </c>
      <c r="B668" s="421" t="s">
        <v>6582</v>
      </c>
      <c r="C668" s="421" t="s">
        <v>8144</v>
      </c>
      <c r="D668" s="421" t="s">
        <v>8146</v>
      </c>
      <c r="E668" s="421" t="s">
        <v>76</v>
      </c>
      <c r="F668" s="421" t="s">
        <v>76</v>
      </c>
      <c r="G668" s="421" t="s">
        <v>76</v>
      </c>
      <c r="H668" s="421" t="s">
        <v>76</v>
      </c>
      <c r="I668" s="421" t="s">
        <v>76</v>
      </c>
      <c r="J668" s="421" t="s">
        <v>76</v>
      </c>
      <c r="K668" s="421" t="s">
        <v>76</v>
      </c>
      <c r="L668" s="421" t="s">
        <v>76</v>
      </c>
      <c r="M668" s="421" t="s">
        <v>76</v>
      </c>
      <c r="N668" s="421" t="s">
        <v>7043</v>
      </c>
      <c r="O668" s="421" t="s">
        <v>76</v>
      </c>
      <c r="P668" s="421" t="s">
        <v>76</v>
      </c>
      <c r="Q668" s="421" t="s">
        <v>76</v>
      </c>
      <c r="R668" s="422" t="s">
        <v>76</v>
      </c>
    </row>
    <row r="669" spans="1:18">
      <c r="A669" s="420" t="s">
        <v>8143</v>
      </c>
      <c r="B669" s="421" t="s">
        <v>6582</v>
      </c>
      <c r="C669" s="421" t="s">
        <v>8144</v>
      </c>
      <c r="D669" s="421" t="s">
        <v>8147</v>
      </c>
      <c r="E669" s="421" t="s">
        <v>76</v>
      </c>
      <c r="F669" s="421" t="s">
        <v>76</v>
      </c>
      <c r="G669" s="421" t="s">
        <v>76</v>
      </c>
      <c r="H669" s="421" t="s">
        <v>76</v>
      </c>
      <c r="I669" s="421" t="s">
        <v>76</v>
      </c>
      <c r="J669" s="421" t="s">
        <v>76</v>
      </c>
      <c r="K669" s="421" t="s">
        <v>76</v>
      </c>
      <c r="L669" s="421" t="s">
        <v>76</v>
      </c>
      <c r="M669" s="421" t="s">
        <v>76</v>
      </c>
      <c r="N669" s="421" t="s">
        <v>7043</v>
      </c>
      <c r="O669" s="421" t="s">
        <v>76</v>
      </c>
      <c r="P669" s="421" t="s">
        <v>76</v>
      </c>
      <c r="Q669" s="421" t="s">
        <v>76</v>
      </c>
      <c r="R669" s="422" t="s">
        <v>76</v>
      </c>
    </row>
    <row r="670" spans="1:18">
      <c r="A670" s="420" t="s">
        <v>8143</v>
      </c>
      <c r="B670" s="421" t="s">
        <v>6582</v>
      </c>
      <c r="C670" s="421" t="s">
        <v>8144</v>
      </c>
      <c r="D670" s="421" t="s">
        <v>8148</v>
      </c>
      <c r="E670" s="421" t="s">
        <v>76</v>
      </c>
      <c r="F670" s="421" t="s">
        <v>76</v>
      </c>
      <c r="G670" s="421" t="s">
        <v>76</v>
      </c>
      <c r="H670" s="421" t="s">
        <v>76</v>
      </c>
      <c r="I670" s="421" t="s">
        <v>76</v>
      </c>
      <c r="J670" s="421" t="s">
        <v>76</v>
      </c>
      <c r="K670" s="421" t="s">
        <v>76</v>
      </c>
      <c r="L670" s="421" t="s">
        <v>76</v>
      </c>
      <c r="M670" s="421" t="s">
        <v>76</v>
      </c>
      <c r="N670" s="421" t="s">
        <v>7043</v>
      </c>
      <c r="O670" s="421" t="s">
        <v>76</v>
      </c>
      <c r="P670" s="421" t="s">
        <v>76</v>
      </c>
      <c r="Q670" s="421" t="s">
        <v>76</v>
      </c>
      <c r="R670" s="422" t="s">
        <v>76</v>
      </c>
    </row>
    <row r="671" spans="1:18">
      <c r="A671" s="420" t="s">
        <v>8143</v>
      </c>
      <c r="B671" s="421" t="s">
        <v>6582</v>
      </c>
      <c r="C671" s="421" t="s">
        <v>8144</v>
      </c>
      <c r="D671" s="421" t="s">
        <v>8149</v>
      </c>
      <c r="E671" s="421" t="s">
        <v>76</v>
      </c>
      <c r="F671" s="421" t="s">
        <v>76</v>
      </c>
      <c r="G671" s="421" t="s">
        <v>76</v>
      </c>
      <c r="H671" s="421" t="s">
        <v>76</v>
      </c>
      <c r="I671" s="421" t="s">
        <v>76</v>
      </c>
      <c r="J671" s="421" t="s">
        <v>76</v>
      </c>
      <c r="K671" s="421" t="s">
        <v>76</v>
      </c>
      <c r="L671" s="421" t="s">
        <v>76</v>
      </c>
      <c r="M671" s="421" t="s">
        <v>76</v>
      </c>
      <c r="N671" s="421" t="s">
        <v>7043</v>
      </c>
      <c r="O671" s="421" t="s">
        <v>76</v>
      </c>
      <c r="P671" s="421" t="s">
        <v>76</v>
      </c>
      <c r="Q671" s="421" t="s">
        <v>76</v>
      </c>
      <c r="R671" s="422" t="s">
        <v>76</v>
      </c>
    </row>
    <row r="672" spans="1:18">
      <c r="A672" s="420" t="s">
        <v>8143</v>
      </c>
      <c r="B672" s="421" t="s">
        <v>6582</v>
      </c>
      <c r="C672" s="421" t="s">
        <v>8144</v>
      </c>
      <c r="D672" s="421" t="s">
        <v>8150</v>
      </c>
      <c r="E672" s="421" t="s">
        <v>76</v>
      </c>
      <c r="F672" s="421" t="s">
        <v>76</v>
      </c>
      <c r="G672" s="421" t="s">
        <v>76</v>
      </c>
      <c r="H672" s="421" t="s">
        <v>76</v>
      </c>
      <c r="I672" s="421" t="s">
        <v>76</v>
      </c>
      <c r="J672" s="421" t="s">
        <v>76</v>
      </c>
      <c r="K672" s="421" t="s">
        <v>76</v>
      </c>
      <c r="L672" s="421" t="s">
        <v>76</v>
      </c>
      <c r="M672" s="421" t="s">
        <v>76</v>
      </c>
      <c r="N672" s="421" t="s">
        <v>7043</v>
      </c>
      <c r="O672" s="421" t="s">
        <v>76</v>
      </c>
      <c r="P672" s="421" t="s">
        <v>76</v>
      </c>
      <c r="Q672" s="421" t="s">
        <v>76</v>
      </c>
      <c r="R672" s="422" t="s">
        <v>76</v>
      </c>
    </row>
    <row r="673" spans="1:18">
      <c r="A673" s="420" t="s">
        <v>8143</v>
      </c>
      <c r="B673" s="421" t="s">
        <v>6582</v>
      </c>
      <c r="C673" s="421" t="s">
        <v>8144</v>
      </c>
      <c r="D673" s="421" t="s">
        <v>8151</v>
      </c>
      <c r="E673" s="421" t="s">
        <v>76</v>
      </c>
      <c r="F673" s="421" t="s">
        <v>76</v>
      </c>
      <c r="G673" s="421" t="s">
        <v>76</v>
      </c>
      <c r="H673" s="421" t="s">
        <v>76</v>
      </c>
      <c r="I673" s="421" t="s">
        <v>76</v>
      </c>
      <c r="J673" s="421" t="s">
        <v>76</v>
      </c>
      <c r="K673" s="421" t="s">
        <v>76</v>
      </c>
      <c r="L673" s="421" t="s">
        <v>76</v>
      </c>
      <c r="M673" s="421" t="s">
        <v>76</v>
      </c>
      <c r="N673" s="421" t="s">
        <v>7043</v>
      </c>
      <c r="O673" s="421" t="s">
        <v>76</v>
      </c>
      <c r="P673" s="421" t="s">
        <v>76</v>
      </c>
      <c r="Q673" s="421" t="s">
        <v>76</v>
      </c>
      <c r="R673" s="422" t="s">
        <v>76</v>
      </c>
    </row>
    <row r="674" spans="1:18">
      <c r="A674" s="420" t="s">
        <v>8143</v>
      </c>
      <c r="B674" s="421" t="s">
        <v>6582</v>
      </c>
      <c r="C674" s="421" t="s">
        <v>8144</v>
      </c>
      <c r="D674" s="421" t="s">
        <v>8152</v>
      </c>
      <c r="E674" s="421" t="s">
        <v>76</v>
      </c>
      <c r="F674" s="421" t="s">
        <v>76</v>
      </c>
      <c r="G674" s="421" t="s">
        <v>76</v>
      </c>
      <c r="H674" s="421" t="s">
        <v>76</v>
      </c>
      <c r="I674" s="421" t="s">
        <v>76</v>
      </c>
      <c r="J674" s="421" t="s">
        <v>76</v>
      </c>
      <c r="K674" s="421" t="s">
        <v>76</v>
      </c>
      <c r="L674" s="421" t="s">
        <v>76</v>
      </c>
      <c r="M674" s="421" t="s">
        <v>76</v>
      </c>
      <c r="N674" s="421" t="s">
        <v>7043</v>
      </c>
      <c r="O674" s="421" t="s">
        <v>76</v>
      </c>
      <c r="P674" s="421" t="s">
        <v>76</v>
      </c>
      <c r="Q674" s="421" t="s">
        <v>76</v>
      </c>
      <c r="R674" s="422" t="s">
        <v>76</v>
      </c>
    </row>
    <row r="675" spans="1:18">
      <c r="A675" s="420" t="s">
        <v>8143</v>
      </c>
      <c r="B675" s="421" t="s">
        <v>6582</v>
      </c>
      <c r="C675" s="421" t="s">
        <v>8144</v>
      </c>
      <c r="D675" s="421" t="s">
        <v>8153</v>
      </c>
      <c r="E675" s="421" t="s">
        <v>76</v>
      </c>
      <c r="F675" s="421" t="s">
        <v>76</v>
      </c>
      <c r="G675" s="421" t="s">
        <v>76</v>
      </c>
      <c r="H675" s="421" t="s">
        <v>76</v>
      </c>
      <c r="I675" s="421" t="s">
        <v>76</v>
      </c>
      <c r="J675" s="421" t="s">
        <v>76</v>
      </c>
      <c r="K675" s="421" t="s">
        <v>76</v>
      </c>
      <c r="L675" s="421" t="s">
        <v>76</v>
      </c>
      <c r="M675" s="421" t="s">
        <v>76</v>
      </c>
      <c r="N675" s="421" t="s">
        <v>7043</v>
      </c>
      <c r="O675" s="421" t="s">
        <v>76</v>
      </c>
      <c r="P675" s="421" t="s">
        <v>76</v>
      </c>
      <c r="Q675" s="421" t="s">
        <v>76</v>
      </c>
      <c r="R675" s="422" t="s">
        <v>76</v>
      </c>
    </row>
    <row r="676" spans="1:18">
      <c r="A676" s="420" t="s">
        <v>8143</v>
      </c>
      <c r="B676" s="421" t="s">
        <v>6582</v>
      </c>
      <c r="C676" s="421" t="s">
        <v>8144</v>
      </c>
      <c r="D676" s="421" t="s">
        <v>8154</v>
      </c>
      <c r="E676" s="421" t="s">
        <v>76</v>
      </c>
      <c r="F676" s="421" t="s">
        <v>76</v>
      </c>
      <c r="G676" s="421" t="s">
        <v>76</v>
      </c>
      <c r="H676" s="421" t="s">
        <v>76</v>
      </c>
      <c r="I676" s="421" t="s">
        <v>76</v>
      </c>
      <c r="J676" s="421" t="s">
        <v>76</v>
      </c>
      <c r="K676" s="421" t="s">
        <v>76</v>
      </c>
      <c r="L676" s="421" t="s">
        <v>76</v>
      </c>
      <c r="M676" s="421" t="s">
        <v>76</v>
      </c>
      <c r="N676" s="421" t="s">
        <v>7043</v>
      </c>
      <c r="O676" s="421" t="s">
        <v>76</v>
      </c>
      <c r="P676" s="421" t="s">
        <v>76</v>
      </c>
      <c r="Q676" s="421" t="s">
        <v>76</v>
      </c>
      <c r="R676" s="422" t="s">
        <v>76</v>
      </c>
    </row>
    <row r="677" spans="1:18">
      <c r="A677" s="420" t="s">
        <v>8143</v>
      </c>
      <c r="B677" s="421" t="s">
        <v>6582</v>
      </c>
      <c r="C677" s="421" t="s">
        <v>8144</v>
      </c>
      <c r="D677" s="421" t="s">
        <v>8155</v>
      </c>
      <c r="E677" s="421" t="s">
        <v>76</v>
      </c>
      <c r="F677" s="421" t="s">
        <v>76</v>
      </c>
      <c r="G677" s="421" t="s">
        <v>76</v>
      </c>
      <c r="H677" s="421" t="s">
        <v>76</v>
      </c>
      <c r="I677" s="421" t="s">
        <v>76</v>
      </c>
      <c r="J677" s="421" t="s">
        <v>76</v>
      </c>
      <c r="K677" s="421" t="s">
        <v>76</v>
      </c>
      <c r="L677" s="421" t="s">
        <v>76</v>
      </c>
      <c r="M677" s="421" t="s">
        <v>76</v>
      </c>
      <c r="N677" s="421" t="s">
        <v>7043</v>
      </c>
      <c r="O677" s="421" t="s">
        <v>76</v>
      </c>
      <c r="P677" s="421" t="s">
        <v>76</v>
      </c>
      <c r="Q677" s="421" t="s">
        <v>76</v>
      </c>
      <c r="R677" s="422" t="s">
        <v>76</v>
      </c>
    </row>
    <row r="678" spans="1:18">
      <c r="A678" s="420" t="s">
        <v>8143</v>
      </c>
      <c r="B678" s="421" t="s">
        <v>6582</v>
      </c>
      <c r="C678" s="421" t="s">
        <v>8144</v>
      </c>
      <c r="D678" s="421" t="s">
        <v>8156</v>
      </c>
      <c r="E678" s="421" t="s">
        <v>76</v>
      </c>
      <c r="F678" s="421" t="s">
        <v>76</v>
      </c>
      <c r="G678" s="421" t="s">
        <v>76</v>
      </c>
      <c r="H678" s="421" t="s">
        <v>76</v>
      </c>
      <c r="I678" s="421" t="s">
        <v>76</v>
      </c>
      <c r="J678" s="421" t="s">
        <v>76</v>
      </c>
      <c r="K678" s="421" t="s">
        <v>76</v>
      </c>
      <c r="L678" s="421" t="s">
        <v>76</v>
      </c>
      <c r="M678" s="421" t="s">
        <v>76</v>
      </c>
      <c r="N678" s="421" t="s">
        <v>7043</v>
      </c>
      <c r="O678" s="421" t="s">
        <v>76</v>
      </c>
      <c r="P678" s="421" t="s">
        <v>76</v>
      </c>
      <c r="Q678" s="421" t="s">
        <v>76</v>
      </c>
      <c r="R678" s="422" t="s">
        <v>76</v>
      </c>
    </row>
    <row r="679" spans="1:18">
      <c r="A679" s="420" t="s">
        <v>8143</v>
      </c>
      <c r="B679" s="421" t="s">
        <v>6582</v>
      </c>
      <c r="C679" s="421" t="s">
        <v>8144</v>
      </c>
      <c r="D679" s="421" t="s">
        <v>8157</v>
      </c>
      <c r="E679" s="421" t="s">
        <v>76</v>
      </c>
      <c r="F679" s="421" t="s">
        <v>76</v>
      </c>
      <c r="G679" s="421" t="s">
        <v>76</v>
      </c>
      <c r="H679" s="421" t="s">
        <v>76</v>
      </c>
      <c r="I679" s="421" t="s">
        <v>76</v>
      </c>
      <c r="J679" s="421" t="s">
        <v>76</v>
      </c>
      <c r="K679" s="421" t="s">
        <v>76</v>
      </c>
      <c r="L679" s="421" t="s">
        <v>76</v>
      </c>
      <c r="M679" s="421" t="s">
        <v>76</v>
      </c>
      <c r="N679" s="421" t="s">
        <v>7043</v>
      </c>
      <c r="O679" s="421" t="s">
        <v>76</v>
      </c>
      <c r="P679" s="421" t="s">
        <v>76</v>
      </c>
      <c r="Q679" s="421" t="s">
        <v>76</v>
      </c>
      <c r="R679" s="422" t="s">
        <v>76</v>
      </c>
    </row>
    <row r="680" spans="1:18">
      <c r="A680" s="420" t="s">
        <v>8143</v>
      </c>
      <c r="B680" s="421" t="s">
        <v>6582</v>
      </c>
      <c r="C680" s="421" t="s">
        <v>8144</v>
      </c>
      <c r="D680" s="421" t="s">
        <v>8158</v>
      </c>
      <c r="E680" s="421" t="s">
        <v>76</v>
      </c>
      <c r="F680" s="421" t="s">
        <v>76</v>
      </c>
      <c r="G680" s="421" t="s">
        <v>76</v>
      </c>
      <c r="H680" s="421" t="s">
        <v>76</v>
      </c>
      <c r="I680" s="421" t="s">
        <v>76</v>
      </c>
      <c r="J680" s="421" t="s">
        <v>76</v>
      </c>
      <c r="K680" s="421" t="s">
        <v>76</v>
      </c>
      <c r="L680" s="421" t="s">
        <v>76</v>
      </c>
      <c r="M680" s="421" t="s">
        <v>76</v>
      </c>
      <c r="N680" s="421" t="s">
        <v>7043</v>
      </c>
      <c r="O680" s="421" t="s">
        <v>76</v>
      </c>
      <c r="P680" s="421" t="s">
        <v>76</v>
      </c>
      <c r="Q680" s="421" t="s">
        <v>76</v>
      </c>
      <c r="R680" s="422" t="s">
        <v>76</v>
      </c>
    </row>
    <row r="681" spans="1:18">
      <c r="A681" s="420" t="s">
        <v>8143</v>
      </c>
      <c r="B681" s="421" t="s">
        <v>6582</v>
      </c>
      <c r="C681" s="421" t="s">
        <v>8144</v>
      </c>
      <c r="D681" s="421" t="s">
        <v>8159</v>
      </c>
      <c r="E681" s="421" t="s">
        <v>76</v>
      </c>
      <c r="F681" s="421" t="s">
        <v>76</v>
      </c>
      <c r="G681" s="421" t="s">
        <v>76</v>
      </c>
      <c r="H681" s="421" t="s">
        <v>76</v>
      </c>
      <c r="I681" s="421" t="s">
        <v>76</v>
      </c>
      <c r="J681" s="421" t="s">
        <v>76</v>
      </c>
      <c r="K681" s="421" t="s">
        <v>76</v>
      </c>
      <c r="L681" s="421" t="s">
        <v>76</v>
      </c>
      <c r="M681" s="421" t="s">
        <v>76</v>
      </c>
      <c r="N681" s="421" t="s">
        <v>7043</v>
      </c>
      <c r="O681" s="421" t="s">
        <v>76</v>
      </c>
      <c r="P681" s="421" t="s">
        <v>76</v>
      </c>
      <c r="Q681" s="421" t="s">
        <v>76</v>
      </c>
      <c r="R681" s="422" t="s">
        <v>76</v>
      </c>
    </row>
    <row r="682" spans="1:18">
      <c r="A682" s="420" t="s">
        <v>8143</v>
      </c>
      <c r="B682" s="421" t="s">
        <v>6582</v>
      </c>
      <c r="C682" s="421" t="s">
        <v>8144</v>
      </c>
      <c r="D682" s="421" t="s">
        <v>8160</v>
      </c>
      <c r="E682" s="421" t="s">
        <v>76</v>
      </c>
      <c r="F682" s="421" t="s">
        <v>76</v>
      </c>
      <c r="G682" s="421" t="s">
        <v>76</v>
      </c>
      <c r="H682" s="421" t="s">
        <v>76</v>
      </c>
      <c r="I682" s="421" t="s">
        <v>76</v>
      </c>
      <c r="J682" s="421" t="s">
        <v>76</v>
      </c>
      <c r="K682" s="421" t="s">
        <v>76</v>
      </c>
      <c r="L682" s="421" t="s">
        <v>76</v>
      </c>
      <c r="M682" s="421" t="s">
        <v>76</v>
      </c>
      <c r="N682" s="421" t="s">
        <v>7043</v>
      </c>
      <c r="O682" s="421" t="s">
        <v>76</v>
      </c>
      <c r="P682" s="421" t="s">
        <v>76</v>
      </c>
      <c r="Q682" s="421" t="s">
        <v>76</v>
      </c>
      <c r="R682" s="422" t="s">
        <v>76</v>
      </c>
    </row>
    <row r="683" spans="1:18">
      <c r="A683" s="420" t="s">
        <v>8161</v>
      </c>
      <c r="B683" s="421" t="s">
        <v>6590</v>
      </c>
      <c r="C683" s="421" t="s">
        <v>8162</v>
      </c>
      <c r="D683" s="421" t="s">
        <v>8163</v>
      </c>
      <c r="E683" s="421" t="s">
        <v>76</v>
      </c>
      <c r="F683" s="421" t="s">
        <v>76</v>
      </c>
      <c r="G683" s="421" t="s">
        <v>76</v>
      </c>
      <c r="H683" s="421" t="s">
        <v>76</v>
      </c>
      <c r="I683" s="421" t="s">
        <v>76</v>
      </c>
      <c r="J683" s="421" t="s">
        <v>76</v>
      </c>
      <c r="K683" s="421" t="s">
        <v>76</v>
      </c>
      <c r="L683" s="421" t="s">
        <v>76</v>
      </c>
      <c r="M683" s="421" t="s">
        <v>76</v>
      </c>
      <c r="N683" s="421" t="s">
        <v>7043</v>
      </c>
      <c r="O683" s="421" t="s">
        <v>76</v>
      </c>
      <c r="P683" s="421" t="s">
        <v>76</v>
      </c>
      <c r="Q683" s="421" t="s">
        <v>76</v>
      </c>
      <c r="R683" s="422" t="s">
        <v>76</v>
      </c>
    </row>
    <row r="684" spans="1:18">
      <c r="A684" s="420" t="s">
        <v>8161</v>
      </c>
      <c r="B684" s="421" t="s">
        <v>6590</v>
      </c>
      <c r="C684" s="421" t="s">
        <v>8162</v>
      </c>
      <c r="D684" s="421" t="s">
        <v>8164</v>
      </c>
      <c r="E684" s="421" t="s">
        <v>76</v>
      </c>
      <c r="F684" s="421" t="s">
        <v>76</v>
      </c>
      <c r="G684" s="421" t="s">
        <v>76</v>
      </c>
      <c r="H684" s="421" t="s">
        <v>76</v>
      </c>
      <c r="I684" s="421" t="s">
        <v>76</v>
      </c>
      <c r="J684" s="421" t="s">
        <v>76</v>
      </c>
      <c r="K684" s="421" t="s">
        <v>76</v>
      </c>
      <c r="L684" s="421" t="s">
        <v>76</v>
      </c>
      <c r="M684" s="421" t="s">
        <v>76</v>
      </c>
      <c r="N684" s="421" t="s">
        <v>7043</v>
      </c>
      <c r="O684" s="421" t="s">
        <v>76</v>
      </c>
      <c r="P684" s="421" t="s">
        <v>76</v>
      </c>
      <c r="Q684" s="421" t="s">
        <v>76</v>
      </c>
      <c r="R684" s="422" t="s">
        <v>76</v>
      </c>
    </row>
    <row r="685" spans="1:18">
      <c r="A685" s="420" t="s">
        <v>8161</v>
      </c>
      <c r="B685" s="421" t="s">
        <v>6590</v>
      </c>
      <c r="C685" s="421" t="s">
        <v>8162</v>
      </c>
      <c r="D685" s="421" t="s">
        <v>8165</v>
      </c>
      <c r="E685" s="421" t="s">
        <v>76</v>
      </c>
      <c r="F685" s="421" t="s">
        <v>76</v>
      </c>
      <c r="G685" s="421" t="s">
        <v>76</v>
      </c>
      <c r="H685" s="421" t="s">
        <v>76</v>
      </c>
      <c r="I685" s="421" t="s">
        <v>76</v>
      </c>
      <c r="J685" s="421" t="s">
        <v>76</v>
      </c>
      <c r="K685" s="421" t="s">
        <v>76</v>
      </c>
      <c r="L685" s="421" t="s">
        <v>76</v>
      </c>
      <c r="M685" s="421" t="s">
        <v>76</v>
      </c>
      <c r="N685" s="421" t="s">
        <v>7043</v>
      </c>
      <c r="O685" s="421" t="s">
        <v>76</v>
      </c>
      <c r="P685" s="421" t="s">
        <v>76</v>
      </c>
      <c r="Q685" s="421" t="s">
        <v>76</v>
      </c>
      <c r="R685" s="422" t="s">
        <v>76</v>
      </c>
    </row>
    <row r="686" spans="1:18">
      <c r="A686" s="420" t="s">
        <v>8161</v>
      </c>
      <c r="B686" s="421" t="s">
        <v>6590</v>
      </c>
      <c r="C686" s="421" t="s">
        <v>8162</v>
      </c>
      <c r="D686" s="421" t="s">
        <v>8166</v>
      </c>
      <c r="E686" s="421" t="s">
        <v>76</v>
      </c>
      <c r="F686" s="421" t="s">
        <v>76</v>
      </c>
      <c r="G686" s="421" t="s">
        <v>76</v>
      </c>
      <c r="H686" s="421" t="s">
        <v>76</v>
      </c>
      <c r="I686" s="421" t="s">
        <v>76</v>
      </c>
      <c r="J686" s="421" t="s">
        <v>76</v>
      </c>
      <c r="K686" s="421" t="s">
        <v>76</v>
      </c>
      <c r="L686" s="421" t="s">
        <v>76</v>
      </c>
      <c r="M686" s="421" t="s">
        <v>76</v>
      </c>
      <c r="N686" s="421" t="s">
        <v>7043</v>
      </c>
      <c r="O686" s="421" t="s">
        <v>76</v>
      </c>
      <c r="P686" s="421" t="s">
        <v>76</v>
      </c>
      <c r="Q686" s="421" t="s">
        <v>76</v>
      </c>
      <c r="R686" s="422" t="s">
        <v>76</v>
      </c>
    </row>
    <row r="687" spans="1:18">
      <c r="A687" s="420" t="s">
        <v>8161</v>
      </c>
      <c r="B687" s="421" t="s">
        <v>6590</v>
      </c>
      <c r="C687" s="421" t="s">
        <v>8162</v>
      </c>
      <c r="D687" s="421" t="s">
        <v>8167</v>
      </c>
      <c r="E687" s="421" t="s">
        <v>76</v>
      </c>
      <c r="F687" s="421" t="s">
        <v>76</v>
      </c>
      <c r="G687" s="421" t="s">
        <v>76</v>
      </c>
      <c r="H687" s="421" t="s">
        <v>76</v>
      </c>
      <c r="I687" s="421" t="s">
        <v>76</v>
      </c>
      <c r="J687" s="421" t="s">
        <v>76</v>
      </c>
      <c r="K687" s="421" t="s">
        <v>76</v>
      </c>
      <c r="L687" s="421" t="s">
        <v>76</v>
      </c>
      <c r="M687" s="421" t="s">
        <v>76</v>
      </c>
      <c r="N687" s="421" t="s">
        <v>7043</v>
      </c>
      <c r="O687" s="421" t="s">
        <v>76</v>
      </c>
      <c r="P687" s="421" t="s">
        <v>76</v>
      </c>
      <c r="Q687" s="421" t="s">
        <v>76</v>
      </c>
      <c r="R687" s="422" t="s">
        <v>76</v>
      </c>
    </row>
    <row r="688" spans="1:18">
      <c r="A688" s="420" t="s">
        <v>8161</v>
      </c>
      <c r="B688" s="421" t="s">
        <v>6590</v>
      </c>
      <c r="C688" s="421" t="s">
        <v>8162</v>
      </c>
      <c r="D688" s="421" t="s">
        <v>8168</v>
      </c>
      <c r="E688" s="421" t="s">
        <v>76</v>
      </c>
      <c r="F688" s="421" t="s">
        <v>76</v>
      </c>
      <c r="G688" s="421" t="s">
        <v>76</v>
      </c>
      <c r="H688" s="421" t="s">
        <v>76</v>
      </c>
      <c r="I688" s="421" t="s">
        <v>76</v>
      </c>
      <c r="J688" s="421" t="s">
        <v>76</v>
      </c>
      <c r="K688" s="421" t="s">
        <v>76</v>
      </c>
      <c r="L688" s="421" t="s">
        <v>76</v>
      </c>
      <c r="M688" s="421" t="s">
        <v>76</v>
      </c>
      <c r="N688" s="421" t="s">
        <v>7043</v>
      </c>
      <c r="O688" s="421" t="s">
        <v>76</v>
      </c>
      <c r="P688" s="421" t="s">
        <v>76</v>
      </c>
      <c r="Q688" s="421" t="s">
        <v>76</v>
      </c>
      <c r="R688" s="422" t="s">
        <v>76</v>
      </c>
    </row>
    <row r="689" spans="1:18">
      <c r="A689" s="420" t="s">
        <v>8161</v>
      </c>
      <c r="B689" s="421" t="s">
        <v>6590</v>
      </c>
      <c r="C689" s="421" t="s">
        <v>8162</v>
      </c>
      <c r="D689" s="421" t="s">
        <v>8169</v>
      </c>
      <c r="E689" s="421" t="s">
        <v>76</v>
      </c>
      <c r="F689" s="421" t="s">
        <v>76</v>
      </c>
      <c r="G689" s="421" t="s">
        <v>76</v>
      </c>
      <c r="H689" s="421" t="s">
        <v>76</v>
      </c>
      <c r="I689" s="421" t="s">
        <v>76</v>
      </c>
      <c r="J689" s="421" t="s">
        <v>76</v>
      </c>
      <c r="K689" s="421" t="s">
        <v>76</v>
      </c>
      <c r="L689" s="421" t="s">
        <v>76</v>
      </c>
      <c r="M689" s="421" t="s">
        <v>76</v>
      </c>
      <c r="N689" s="421" t="s">
        <v>7043</v>
      </c>
      <c r="O689" s="421" t="s">
        <v>76</v>
      </c>
      <c r="P689" s="421" t="s">
        <v>76</v>
      </c>
      <c r="Q689" s="421" t="s">
        <v>76</v>
      </c>
      <c r="R689" s="422" t="s">
        <v>76</v>
      </c>
    </row>
    <row r="690" spans="1:18">
      <c r="A690" s="420" t="s">
        <v>8161</v>
      </c>
      <c r="B690" s="421" t="s">
        <v>6590</v>
      </c>
      <c r="C690" s="421" t="s">
        <v>8162</v>
      </c>
      <c r="D690" s="421" t="s">
        <v>8170</v>
      </c>
      <c r="E690" s="421" t="s">
        <v>76</v>
      </c>
      <c r="F690" s="421" t="s">
        <v>76</v>
      </c>
      <c r="G690" s="421" t="s">
        <v>76</v>
      </c>
      <c r="H690" s="421" t="s">
        <v>76</v>
      </c>
      <c r="I690" s="421" t="s">
        <v>76</v>
      </c>
      <c r="J690" s="421" t="s">
        <v>76</v>
      </c>
      <c r="K690" s="421" t="s">
        <v>76</v>
      </c>
      <c r="L690" s="421" t="s">
        <v>76</v>
      </c>
      <c r="M690" s="421" t="s">
        <v>76</v>
      </c>
      <c r="N690" s="421" t="s">
        <v>7043</v>
      </c>
      <c r="O690" s="421" t="s">
        <v>76</v>
      </c>
      <c r="P690" s="421" t="s">
        <v>76</v>
      </c>
      <c r="Q690" s="421" t="s">
        <v>76</v>
      </c>
      <c r="R690" s="422" t="s">
        <v>76</v>
      </c>
    </row>
    <row r="691" spans="1:18">
      <c r="A691" s="420" t="s">
        <v>8161</v>
      </c>
      <c r="B691" s="421" t="s">
        <v>6590</v>
      </c>
      <c r="C691" s="421" t="s">
        <v>8162</v>
      </c>
      <c r="D691" s="421" t="s">
        <v>8171</v>
      </c>
      <c r="E691" s="421" t="s">
        <v>76</v>
      </c>
      <c r="F691" s="421" t="s">
        <v>76</v>
      </c>
      <c r="G691" s="421" t="s">
        <v>76</v>
      </c>
      <c r="H691" s="421" t="s">
        <v>76</v>
      </c>
      <c r="I691" s="421" t="s">
        <v>76</v>
      </c>
      <c r="J691" s="421" t="s">
        <v>76</v>
      </c>
      <c r="K691" s="421" t="s">
        <v>76</v>
      </c>
      <c r="L691" s="421" t="s">
        <v>76</v>
      </c>
      <c r="M691" s="421" t="s">
        <v>76</v>
      </c>
      <c r="N691" s="421" t="s">
        <v>7043</v>
      </c>
      <c r="O691" s="421" t="s">
        <v>76</v>
      </c>
      <c r="P691" s="421" t="s">
        <v>76</v>
      </c>
      <c r="Q691" s="421" t="s">
        <v>76</v>
      </c>
      <c r="R691" s="422" t="s">
        <v>76</v>
      </c>
    </row>
    <row r="692" spans="1:18">
      <c r="A692" s="420" t="s">
        <v>8161</v>
      </c>
      <c r="B692" s="421" t="s">
        <v>6590</v>
      </c>
      <c r="C692" s="421" t="s">
        <v>8162</v>
      </c>
      <c r="D692" s="421" t="s">
        <v>8172</v>
      </c>
      <c r="E692" s="421" t="s">
        <v>76</v>
      </c>
      <c r="F692" s="421" t="s">
        <v>76</v>
      </c>
      <c r="G692" s="421" t="s">
        <v>76</v>
      </c>
      <c r="H692" s="421" t="s">
        <v>76</v>
      </c>
      <c r="I692" s="421" t="s">
        <v>76</v>
      </c>
      <c r="J692" s="421" t="s">
        <v>76</v>
      </c>
      <c r="K692" s="421" t="s">
        <v>76</v>
      </c>
      <c r="L692" s="421" t="s">
        <v>76</v>
      </c>
      <c r="M692" s="421" t="s">
        <v>76</v>
      </c>
      <c r="N692" s="421" t="s">
        <v>7043</v>
      </c>
      <c r="O692" s="421" t="s">
        <v>76</v>
      </c>
      <c r="P692" s="421" t="s">
        <v>76</v>
      </c>
      <c r="Q692" s="421" t="s">
        <v>76</v>
      </c>
      <c r="R692" s="422" t="s">
        <v>76</v>
      </c>
    </row>
    <row r="693" spans="1:18">
      <c r="A693" s="420" t="s">
        <v>8161</v>
      </c>
      <c r="B693" s="421" t="s">
        <v>6590</v>
      </c>
      <c r="C693" s="421" t="s">
        <v>8162</v>
      </c>
      <c r="D693" s="421" t="s">
        <v>8173</v>
      </c>
      <c r="E693" s="421" t="s">
        <v>76</v>
      </c>
      <c r="F693" s="421" t="s">
        <v>76</v>
      </c>
      <c r="G693" s="421" t="s">
        <v>76</v>
      </c>
      <c r="H693" s="421" t="s">
        <v>76</v>
      </c>
      <c r="I693" s="421" t="s">
        <v>76</v>
      </c>
      <c r="J693" s="421" t="s">
        <v>76</v>
      </c>
      <c r="K693" s="421" t="s">
        <v>76</v>
      </c>
      <c r="L693" s="421" t="s">
        <v>76</v>
      </c>
      <c r="M693" s="421" t="s">
        <v>76</v>
      </c>
      <c r="N693" s="421" t="s">
        <v>7043</v>
      </c>
      <c r="O693" s="421" t="s">
        <v>76</v>
      </c>
      <c r="P693" s="421" t="s">
        <v>76</v>
      </c>
      <c r="Q693" s="421" t="s">
        <v>76</v>
      </c>
      <c r="R693" s="422" t="s">
        <v>76</v>
      </c>
    </row>
    <row r="694" spans="1:18">
      <c r="A694" s="420" t="s">
        <v>8161</v>
      </c>
      <c r="B694" s="421" t="s">
        <v>6590</v>
      </c>
      <c r="C694" s="421" t="s">
        <v>8162</v>
      </c>
      <c r="D694" s="421" t="s">
        <v>8174</v>
      </c>
      <c r="E694" s="421" t="s">
        <v>76</v>
      </c>
      <c r="F694" s="421" t="s">
        <v>76</v>
      </c>
      <c r="G694" s="421" t="s">
        <v>76</v>
      </c>
      <c r="H694" s="421" t="s">
        <v>76</v>
      </c>
      <c r="I694" s="421" t="s">
        <v>76</v>
      </c>
      <c r="J694" s="421" t="s">
        <v>76</v>
      </c>
      <c r="K694" s="421" t="s">
        <v>76</v>
      </c>
      <c r="L694" s="421" t="s">
        <v>76</v>
      </c>
      <c r="M694" s="421" t="s">
        <v>76</v>
      </c>
      <c r="N694" s="421" t="s">
        <v>7043</v>
      </c>
      <c r="O694" s="421" t="s">
        <v>76</v>
      </c>
      <c r="P694" s="421" t="s">
        <v>76</v>
      </c>
      <c r="Q694" s="421" t="s">
        <v>76</v>
      </c>
      <c r="R694" s="422" t="s">
        <v>76</v>
      </c>
    </row>
    <row r="695" spans="1:18">
      <c r="A695" s="420" t="s">
        <v>8161</v>
      </c>
      <c r="B695" s="421" t="s">
        <v>6590</v>
      </c>
      <c r="C695" s="421" t="s">
        <v>8162</v>
      </c>
      <c r="D695" s="421" t="s">
        <v>8175</v>
      </c>
      <c r="E695" s="421" t="s">
        <v>76</v>
      </c>
      <c r="F695" s="421" t="s">
        <v>76</v>
      </c>
      <c r="G695" s="421" t="s">
        <v>76</v>
      </c>
      <c r="H695" s="421" t="s">
        <v>76</v>
      </c>
      <c r="I695" s="421" t="s">
        <v>76</v>
      </c>
      <c r="J695" s="421" t="s">
        <v>76</v>
      </c>
      <c r="K695" s="421" t="s">
        <v>76</v>
      </c>
      <c r="L695" s="421" t="s">
        <v>76</v>
      </c>
      <c r="M695" s="421" t="s">
        <v>76</v>
      </c>
      <c r="N695" s="421" t="s">
        <v>7043</v>
      </c>
      <c r="O695" s="421" t="s">
        <v>76</v>
      </c>
      <c r="P695" s="421" t="s">
        <v>76</v>
      </c>
      <c r="Q695" s="421" t="s">
        <v>76</v>
      </c>
      <c r="R695" s="422" t="s">
        <v>76</v>
      </c>
    </row>
    <row r="696" spans="1:18">
      <c r="A696" s="420" t="s">
        <v>8161</v>
      </c>
      <c r="B696" s="421" t="s">
        <v>6590</v>
      </c>
      <c r="C696" s="421" t="s">
        <v>8162</v>
      </c>
      <c r="D696" s="421" t="s">
        <v>8176</v>
      </c>
      <c r="E696" s="421" t="s">
        <v>76</v>
      </c>
      <c r="F696" s="421" t="s">
        <v>76</v>
      </c>
      <c r="G696" s="421" t="s">
        <v>76</v>
      </c>
      <c r="H696" s="421" t="s">
        <v>76</v>
      </c>
      <c r="I696" s="421" t="s">
        <v>76</v>
      </c>
      <c r="J696" s="421" t="s">
        <v>76</v>
      </c>
      <c r="K696" s="421" t="s">
        <v>76</v>
      </c>
      <c r="L696" s="421" t="s">
        <v>76</v>
      </c>
      <c r="M696" s="421" t="s">
        <v>76</v>
      </c>
      <c r="N696" s="421" t="s">
        <v>7043</v>
      </c>
      <c r="O696" s="421" t="s">
        <v>76</v>
      </c>
      <c r="P696" s="421" t="s">
        <v>76</v>
      </c>
      <c r="Q696" s="421" t="s">
        <v>76</v>
      </c>
      <c r="R696" s="422" t="s">
        <v>76</v>
      </c>
    </row>
    <row r="697" spans="1:18">
      <c r="A697" s="420" t="s">
        <v>8161</v>
      </c>
      <c r="B697" s="421" t="s">
        <v>6590</v>
      </c>
      <c r="C697" s="421" t="s">
        <v>8162</v>
      </c>
      <c r="D697" s="421" t="s">
        <v>8177</v>
      </c>
      <c r="E697" s="421" t="s">
        <v>76</v>
      </c>
      <c r="F697" s="421" t="s">
        <v>76</v>
      </c>
      <c r="G697" s="421" t="s">
        <v>76</v>
      </c>
      <c r="H697" s="421" t="s">
        <v>76</v>
      </c>
      <c r="I697" s="421" t="s">
        <v>76</v>
      </c>
      <c r="J697" s="421" t="s">
        <v>76</v>
      </c>
      <c r="K697" s="421" t="s">
        <v>76</v>
      </c>
      <c r="L697" s="421" t="s">
        <v>76</v>
      </c>
      <c r="M697" s="421" t="s">
        <v>76</v>
      </c>
      <c r="N697" s="421" t="s">
        <v>7043</v>
      </c>
      <c r="O697" s="421" t="s">
        <v>76</v>
      </c>
      <c r="P697" s="421" t="s">
        <v>76</v>
      </c>
      <c r="Q697" s="421" t="s">
        <v>76</v>
      </c>
      <c r="R697" s="422" t="s">
        <v>76</v>
      </c>
    </row>
    <row r="698" spans="1:18">
      <c r="A698" s="420" t="s">
        <v>8161</v>
      </c>
      <c r="B698" s="421" t="s">
        <v>6590</v>
      </c>
      <c r="C698" s="421" t="s">
        <v>8162</v>
      </c>
      <c r="D698" s="421" t="s">
        <v>8178</v>
      </c>
      <c r="E698" s="421" t="s">
        <v>76</v>
      </c>
      <c r="F698" s="421" t="s">
        <v>76</v>
      </c>
      <c r="G698" s="421" t="s">
        <v>76</v>
      </c>
      <c r="H698" s="421" t="s">
        <v>76</v>
      </c>
      <c r="I698" s="421" t="s">
        <v>76</v>
      </c>
      <c r="J698" s="421" t="s">
        <v>76</v>
      </c>
      <c r="K698" s="421" t="s">
        <v>76</v>
      </c>
      <c r="L698" s="421" t="s">
        <v>76</v>
      </c>
      <c r="M698" s="421" t="s">
        <v>76</v>
      </c>
      <c r="N698" s="421" t="s">
        <v>7043</v>
      </c>
      <c r="O698" s="421" t="s">
        <v>76</v>
      </c>
      <c r="P698" s="421" t="s">
        <v>76</v>
      </c>
      <c r="Q698" s="421" t="s">
        <v>76</v>
      </c>
      <c r="R698" s="422" t="s">
        <v>76</v>
      </c>
    </row>
    <row r="699" spans="1:18">
      <c r="A699" s="420" t="s">
        <v>8179</v>
      </c>
      <c r="B699" s="421" t="s">
        <v>6593</v>
      </c>
      <c r="C699" s="421" t="s">
        <v>8180</v>
      </c>
      <c r="D699" s="421" t="s">
        <v>8181</v>
      </c>
      <c r="E699" s="421" t="s">
        <v>76</v>
      </c>
      <c r="F699" s="421" t="s">
        <v>76</v>
      </c>
      <c r="G699" s="421" t="s">
        <v>76</v>
      </c>
      <c r="H699" s="421" t="s">
        <v>7044</v>
      </c>
      <c r="I699" s="421" t="s">
        <v>76</v>
      </c>
      <c r="J699" s="421" t="s">
        <v>76</v>
      </c>
      <c r="K699" s="421" t="s">
        <v>76</v>
      </c>
      <c r="L699" s="421" t="s">
        <v>76</v>
      </c>
      <c r="M699" s="421" t="s">
        <v>76</v>
      </c>
      <c r="N699" s="421" t="s">
        <v>76</v>
      </c>
      <c r="O699" s="421" t="s">
        <v>76</v>
      </c>
      <c r="P699" s="421" t="s">
        <v>7043</v>
      </c>
      <c r="Q699" s="421" t="s">
        <v>76</v>
      </c>
      <c r="R699" s="422" t="s">
        <v>76</v>
      </c>
    </row>
    <row r="700" spans="1:18">
      <c r="A700" s="420" t="s">
        <v>8179</v>
      </c>
      <c r="B700" s="421" t="s">
        <v>6593</v>
      </c>
      <c r="C700" s="421" t="s">
        <v>8180</v>
      </c>
      <c r="D700" s="421" t="s">
        <v>8182</v>
      </c>
      <c r="E700" s="421" t="s">
        <v>76</v>
      </c>
      <c r="F700" s="421" t="s">
        <v>76</v>
      </c>
      <c r="G700" s="421" t="s">
        <v>76</v>
      </c>
      <c r="H700" s="421" t="s">
        <v>7044</v>
      </c>
      <c r="I700" s="421" t="s">
        <v>76</v>
      </c>
      <c r="J700" s="421" t="s">
        <v>76</v>
      </c>
      <c r="K700" s="421" t="s">
        <v>76</v>
      </c>
      <c r="L700" s="421" t="s">
        <v>76</v>
      </c>
      <c r="M700" s="421" t="s">
        <v>76</v>
      </c>
      <c r="N700" s="421" t="s">
        <v>76</v>
      </c>
      <c r="O700" s="421" t="s">
        <v>76</v>
      </c>
      <c r="P700" s="421" t="s">
        <v>7043</v>
      </c>
      <c r="Q700" s="421" t="s">
        <v>76</v>
      </c>
      <c r="R700" s="422" t="s">
        <v>76</v>
      </c>
    </row>
    <row r="701" spans="1:18">
      <c r="A701" s="420" t="s">
        <v>8179</v>
      </c>
      <c r="B701" s="421" t="s">
        <v>6593</v>
      </c>
      <c r="C701" s="421" t="s">
        <v>8180</v>
      </c>
      <c r="D701" s="421" t="s">
        <v>8183</v>
      </c>
      <c r="E701" s="421" t="s">
        <v>76</v>
      </c>
      <c r="F701" s="421" t="s">
        <v>76</v>
      </c>
      <c r="G701" s="421" t="s">
        <v>76</v>
      </c>
      <c r="H701" s="421" t="s">
        <v>7044</v>
      </c>
      <c r="I701" s="421" t="s">
        <v>76</v>
      </c>
      <c r="J701" s="421" t="s">
        <v>76</v>
      </c>
      <c r="K701" s="421" t="s">
        <v>76</v>
      </c>
      <c r="L701" s="421" t="s">
        <v>76</v>
      </c>
      <c r="M701" s="421" t="s">
        <v>76</v>
      </c>
      <c r="N701" s="421" t="s">
        <v>76</v>
      </c>
      <c r="O701" s="421" t="s">
        <v>76</v>
      </c>
      <c r="P701" s="421" t="s">
        <v>7043</v>
      </c>
      <c r="Q701" s="421" t="s">
        <v>76</v>
      </c>
      <c r="R701" s="422" t="s">
        <v>76</v>
      </c>
    </row>
    <row r="702" spans="1:18">
      <c r="A702" s="420" t="s">
        <v>8179</v>
      </c>
      <c r="B702" s="421" t="s">
        <v>6593</v>
      </c>
      <c r="C702" s="421" t="s">
        <v>8180</v>
      </c>
      <c r="D702" s="421" t="s">
        <v>8184</v>
      </c>
      <c r="E702" s="421" t="s">
        <v>76</v>
      </c>
      <c r="F702" s="421" t="s">
        <v>76</v>
      </c>
      <c r="G702" s="421" t="s">
        <v>76</v>
      </c>
      <c r="H702" s="421" t="s">
        <v>7044</v>
      </c>
      <c r="I702" s="421" t="s">
        <v>76</v>
      </c>
      <c r="J702" s="421" t="s">
        <v>76</v>
      </c>
      <c r="K702" s="421" t="s">
        <v>76</v>
      </c>
      <c r="L702" s="421" t="s">
        <v>76</v>
      </c>
      <c r="M702" s="421" t="s">
        <v>76</v>
      </c>
      <c r="N702" s="421" t="s">
        <v>76</v>
      </c>
      <c r="O702" s="421" t="s">
        <v>76</v>
      </c>
      <c r="P702" s="421" t="s">
        <v>7043</v>
      </c>
      <c r="Q702" s="421" t="s">
        <v>76</v>
      </c>
      <c r="R702" s="422" t="s">
        <v>76</v>
      </c>
    </row>
    <row r="703" spans="1:18">
      <c r="A703" s="420" t="s">
        <v>8179</v>
      </c>
      <c r="B703" s="421" t="s">
        <v>6593</v>
      </c>
      <c r="C703" s="421" t="s">
        <v>8180</v>
      </c>
      <c r="D703" s="421" t="s">
        <v>8185</v>
      </c>
      <c r="E703" s="421" t="s">
        <v>76</v>
      </c>
      <c r="F703" s="421" t="s">
        <v>76</v>
      </c>
      <c r="G703" s="421" t="s">
        <v>76</v>
      </c>
      <c r="H703" s="421" t="s">
        <v>7044</v>
      </c>
      <c r="I703" s="421" t="s">
        <v>76</v>
      </c>
      <c r="J703" s="421" t="s">
        <v>76</v>
      </c>
      <c r="K703" s="421" t="s">
        <v>76</v>
      </c>
      <c r="L703" s="421" t="s">
        <v>76</v>
      </c>
      <c r="M703" s="421" t="s">
        <v>76</v>
      </c>
      <c r="N703" s="421" t="s">
        <v>76</v>
      </c>
      <c r="O703" s="421" t="s">
        <v>76</v>
      </c>
      <c r="P703" s="421" t="s">
        <v>7043</v>
      </c>
      <c r="Q703" s="421" t="s">
        <v>76</v>
      </c>
      <c r="R703" s="422" t="s">
        <v>76</v>
      </c>
    </row>
    <row r="704" spans="1:18">
      <c r="A704" s="420" t="s">
        <v>8179</v>
      </c>
      <c r="B704" s="421" t="s">
        <v>6593</v>
      </c>
      <c r="C704" s="421" t="s">
        <v>8180</v>
      </c>
      <c r="D704" s="421" t="s">
        <v>8186</v>
      </c>
      <c r="E704" s="421" t="s">
        <v>76</v>
      </c>
      <c r="F704" s="421" t="s">
        <v>76</v>
      </c>
      <c r="G704" s="421" t="s">
        <v>76</v>
      </c>
      <c r="H704" s="421" t="s">
        <v>7044</v>
      </c>
      <c r="I704" s="421" t="s">
        <v>76</v>
      </c>
      <c r="J704" s="421" t="s">
        <v>76</v>
      </c>
      <c r="K704" s="421" t="s">
        <v>76</v>
      </c>
      <c r="L704" s="421" t="s">
        <v>76</v>
      </c>
      <c r="M704" s="421" t="s">
        <v>76</v>
      </c>
      <c r="N704" s="421" t="s">
        <v>76</v>
      </c>
      <c r="O704" s="421" t="s">
        <v>76</v>
      </c>
      <c r="P704" s="421" t="s">
        <v>7043</v>
      </c>
      <c r="Q704" s="421" t="s">
        <v>76</v>
      </c>
      <c r="R704" s="422" t="s">
        <v>76</v>
      </c>
    </row>
    <row r="705" spans="1:18">
      <c r="A705" s="420" t="s">
        <v>8179</v>
      </c>
      <c r="B705" s="421" t="s">
        <v>6593</v>
      </c>
      <c r="C705" s="421" t="s">
        <v>8180</v>
      </c>
      <c r="D705" s="421" t="s">
        <v>8187</v>
      </c>
      <c r="E705" s="421" t="s">
        <v>76</v>
      </c>
      <c r="F705" s="421" t="s">
        <v>76</v>
      </c>
      <c r="G705" s="421" t="s">
        <v>76</v>
      </c>
      <c r="H705" s="421" t="s">
        <v>7044</v>
      </c>
      <c r="I705" s="421" t="s">
        <v>76</v>
      </c>
      <c r="J705" s="421" t="s">
        <v>76</v>
      </c>
      <c r="K705" s="421" t="s">
        <v>76</v>
      </c>
      <c r="L705" s="421" t="s">
        <v>76</v>
      </c>
      <c r="M705" s="421" t="s">
        <v>76</v>
      </c>
      <c r="N705" s="421" t="s">
        <v>76</v>
      </c>
      <c r="O705" s="421" t="s">
        <v>76</v>
      </c>
      <c r="P705" s="421" t="s">
        <v>7043</v>
      </c>
      <c r="Q705" s="421" t="s">
        <v>76</v>
      </c>
      <c r="R705" s="422" t="s">
        <v>76</v>
      </c>
    </row>
    <row r="706" spans="1:18">
      <c r="A706" s="420" t="s">
        <v>8179</v>
      </c>
      <c r="B706" s="421" t="s">
        <v>6593</v>
      </c>
      <c r="C706" s="421" t="s">
        <v>8180</v>
      </c>
      <c r="D706" s="421" t="s">
        <v>8188</v>
      </c>
      <c r="E706" s="421" t="s">
        <v>76</v>
      </c>
      <c r="F706" s="421" t="s">
        <v>76</v>
      </c>
      <c r="G706" s="421" t="s">
        <v>76</v>
      </c>
      <c r="H706" s="421" t="s">
        <v>7044</v>
      </c>
      <c r="I706" s="421" t="s">
        <v>76</v>
      </c>
      <c r="J706" s="421" t="s">
        <v>76</v>
      </c>
      <c r="K706" s="421" t="s">
        <v>76</v>
      </c>
      <c r="L706" s="421" t="s">
        <v>76</v>
      </c>
      <c r="M706" s="421" t="s">
        <v>76</v>
      </c>
      <c r="N706" s="421" t="s">
        <v>76</v>
      </c>
      <c r="O706" s="421" t="s">
        <v>76</v>
      </c>
      <c r="P706" s="421" t="s">
        <v>7043</v>
      </c>
      <c r="Q706" s="421" t="s">
        <v>76</v>
      </c>
      <c r="R706" s="422" t="s">
        <v>76</v>
      </c>
    </row>
    <row r="707" spans="1:18">
      <c r="A707" s="420" t="s">
        <v>8179</v>
      </c>
      <c r="B707" s="421" t="s">
        <v>6593</v>
      </c>
      <c r="C707" s="421" t="s">
        <v>8180</v>
      </c>
      <c r="D707" s="421" t="s">
        <v>8189</v>
      </c>
      <c r="E707" s="421" t="s">
        <v>76</v>
      </c>
      <c r="F707" s="421" t="s">
        <v>76</v>
      </c>
      <c r="G707" s="421" t="s">
        <v>76</v>
      </c>
      <c r="H707" s="421" t="s">
        <v>7044</v>
      </c>
      <c r="I707" s="421" t="s">
        <v>76</v>
      </c>
      <c r="J707" s="421" t="s">
        <v>76</v>
      </c>
      <c r="K707" s="421" t="s">
        <v>76</v>
      </c>
      <c r="L707" s="421" t="s">
        <v>76</v>
      </c>
      <c r="M707" s="421" t="s">
        <v>76</v>
      </c>
      <c r="N707" s="421" t="s">
        <v>76</v>
      </c>
      <c r="O707" s="421" t="s">
        <v>76</v>
      </c>
      <c r="P707" s="421" t="s">
        <v>7043</v>
      </c>
      <c r="Q707" s="421" t="s">
        <v>76</v>
      </c>
      <c r="R707" s="422" t="s">
        <v>76</v>
      </c>
    </row>
    <row r="708" spans="1:18">
      <c r="A708" s="420" t="s">
        <v>8179</v>
      </c>
      <c r="B708" s="421" t="s">
        <v>6593</v>
      </c>
      <c r="C708" s="421" t="s">
        <v>8180</v>
      </c>
      <c r="D708" s="421" t="s">
        <v>8190</v>
      </c>
      <c r="E708" s="421" t="s">
        <v>76</v>
      </c>
      <c r="F708" s="421" t="s">
        <v>76</v>
      </c>
      <c r="G708" s="421" t="s">
        <v>76</v>
      </c>
      <c r="H708" s="421" t="s">
        <v>7044</v>
      </c>
      <c r="I708" s="421" t="s">
        <v>76</v>
      </c>
      <c r="J708" s="421" t="s">
        <v>76</v>
      </c>
      <c r="K708" s="421" t="s">
        <v>76</v>
      </c>
      <c r="L708" s="421" t="s">
        <v>76</v>
      </c>
      <c r="M708" s="421" t="s">
        <v>76</v>
      </c>
      <c r="N708" s="421" t="s">
        <v>76</v>
      </c>
      <c r="O708" s="421" t="s">
        <v>76</v>
      </c>
      <c r="P708" s="421" t="s">
        <v>7043</v>
      </c>
      <c r="Q708" s="421" t="s">
        <v>76</v>
      </c>
      <c r="R708" s="422" t="s">
        <v>76</v>
      </c>
    </row>
    <row r="709" spans="1:18">
      <c r="A709" s="420" t="s">
        <v>8179</v>
      </c>
      <c r="B709" s="421" t="s">
        <v>6593</v>
      </c>
      <c r="C709" s="421" t="s">
        <v>8180</v>
      </c>
      <c r="D709" s="421" t="s">
        <v>8191</v>
      </c>
      <c r="E709" s="421" t="s">
        <v>76</v>
      </c>
      <c r="F709" s="421" t="s">
        <v>76</v>
      </c>
      <c r="G709" s="421" t="s">
        <v>76</v>
      </c>
      <c r="H709" s="421" t="s">
        <v>7044</v>
      </c>
      <c r="I709" s="421" t="s">
        <v>76</v>
      </c>
      <c r="J709" s="421" t="s">
        <v>76</v>
      </c>
      <c r="K709" s="421" t="s">
        <v>76</v>
      </c>
      <c r="L709" s="421" t="s">
        <v>76</v>
      </c>
      <c r="M709" s="421" t="s">
        <v>76</v>
      </c>
      <c r="N709" s="421" t="s">
        <v>76</v>
      </c>
      <c r="O709" s="421" t="s">
        <v>76</v>
      </c>
      <c r="P709" s="421" t="s">
        <v>7043</v>
      </c>
      <c r="Q709" s="421" t="s">
        <v>76</v>
      </c>
      <c r="R709" s="422" t="s">
        <v>76</v>
      </c>
    </row>
    <row r="710" spans="1:18">
      <c r="A710" s="420" t="s">
        <v>8179</v>
      </c>
      <c r="B710" s="421" t="s">
        <v>6593</v>
      </c>
      <c r="C710" s="421" t="s">
        <v>8180</v>
      </c>
      <c r="D710" s="421" t="s">
        <v>8192</v>
      </c>
      <c r="E710" s="421" t="s">
        <v>76</v>
      </c>
      <c r="F710" s="421" t="s">
        <v>76</v>
      </c>
      <c r="G710" s="421" t="s">
        <v>76</v>
      </c>
      <c r="H710" s="421" t="s">
        <v>7044</v>
      </c>
      <c r="I710" s="421" t="s">
        <v>76</v>
      </c>
      <c r="J710" s="421" t="s">
        <v>76</v>
      </c>
      <c r="K710" s="421" t="s">
        <v>76</v>
      </c>
      <c r="L710" s="421" t="s">
        <v>76</v>
      </c>
      <c r="M710" s="421" t="s">
        <v>76</v>
      </c>
      <c r="N710" s="421" t="s">
        <v>76</v>
      </c>
      <c r="O710" s="421" t="s">
        <v>76</v>
      </c>
      <c r="P710" s="421" t="s">
        <v>7043</v>
      </c>
      <c r="Q710" s="421" t="s">
        <v>76</v>
      </c>
      <c r="R710" s="422" t="s">
        <v>76</v>
      </c>
    </row>
    <row r="711" spans="1:18">
      <c r="A711" s="420" t="s">
        <v>8179</v>
      </c>
      <c r="B711" s="421" t="s">
        <v>6593</v>
      </c>
      <c r="C711" s="421" t="s">
        <v>8180</v>
      </c>
      <c r="D711" s="421" t="s">
        <v>8193</v>
      </c>
      <c r="E711" s="421" t="s">
        <v>76</v>
      </c>
      <c r="F711" s="421" t="s">
        <v>76</v>
      </c>
      <c r="G711" s="421" t="s">
        <v>76</v>
      </c>
      <c r="H711" s="421" t="s">
        <v>7044</v>
      </c>
      <c r="I711" s="421" t="s">
        <v>76</v>
      </c>
      <c r="J711" s="421" t="s">
        <v>76</v>
      </c>
      <c r="K711" s="421" t="s">
        <v>76</v>
      </c>
      <c r="L711" s="421" t="s">
        <v>76</v>
      </c>
      <c r="M711" s="421" t="s">
        <v>76</v>
      </c>
      <c r="N711" s="421" t="s">
        <v>76</v>
      </c>
      <c r="O711" s="421" t="s">
        <v>76</v>
      </c>
      <c r="P711" s="421" t="s">
        <v>7043</v>
      </c>
      <c r="Q711" s="421" t="s">
        <v>76</v>
      </c>
      <c r="R711" s="422" t="s">
        <v>76</v>
      </c>
    </row>
    <row r="712" spans="1:18">
      <c r="A712" s="420" t="s">
        <v>8179</v>
      </c>
      <c r="B712" s="421" t="s">
        <v>6593</v>
      </c>
      <c r="C712" s="421" t="s">
        <v>8180</v>
      </c>
      <c r="D712" s="421" t="s">
        <v>8194</v>
      </c>
      <c r="E712" s="421" t="s">
        <v>76</v>
      </c>
      <c r="F712" s="421" t="s">
        <v>76</v>
      </c>
      <c r="G712" s="421" t="s">
        <v>76</v>
      </c>
      <c r="H712" s="421" t="s">
        <v>7044</v>
      </c>
      <c r="I712" s="421" t="s">
        <v>76</v>
      </c>
      <c r="J712" s="421" t="s">
        <v>76</v>
      </c>
      <c r="K712" s="421" t="s">
        <v>76</v>
      </c>
      <c r="L712" s="421" t="s">
        <v>76</v>
      </c>
      <c r="M712" s="421" t="s">
        <v>76</v>
      </c>
      <c r="N712" s="421" t="s">
        <v>76</v>
      </c>
      <c r="O712" s="421" t="s">
        <v>76</v>
      </c>
      <c r="P712" s="421" t="s">
        <v>7043</v>
      </c>
      <c r="Q712" s="421" t="s">
        <v>76</v>
      </c>
      <c r="R712" s="422" t="s">
        <v>76</v>
      </c>
    </row>
    <row r="713" spans="1:18">
      <c r="A713" s="420" t="s">
        <v>8179</v>
      </c>
      <c r="B713" s="421" t="s">
        <v>6593</v>
      </c>
      <c r="C713" s="421" t="s">
        <v>8180</v>
      </c>
      <c r="D713" s="421" t="s">
        <v>8195</v>
      </c>
      <c r="E713" s="421" t="s">
        <v>76</v>
      </c>
      <c r="F713" s="421" t="s">
        <v>76</v>
      </c>
      <c r="G713" s="421" t="s">
        <v>76</v>
      </c>
      <c r="H713" s="421" t="s">
        <v>7044</v>
      </c>
      <c r="I713" s="421" t="s">
        <v>76</v>
      </c>
      <c r="J713" s="421" t="s">
        <v>76</v>
      </c>
      <c r="K713" s="421" t="s">
        <v>76</v>
      </c>
      <c r="L713" s="421" t="s">
        <v>76</v>
      </c>
      <c r="M713" s="421" t="s">
        <v>76</v>
      </c>
      <c r="N713" s="421" t="s">
        <v>76</v>
      </c>
      <c r="O713" s="421" t="s">
        <v>76</v>
      </c>
      <c r="P713" s="421" t="s">
        <v>7043</v>
      </c>
      <c r="Q713" s="421" t="s">
        <v>76</v>
      </c>
      <c r="R713" s="422" t="s">
        <v>76</v>
      </c>
    </row>
    <row r="714" spans="1:18">
      <c r="A714" s="420" t="s">
        <v>8179</v>
      </c>
      <c r="B714" s="421" t="s">
        <v>6593</v>
      </c>
      <c r="C714" s="421" t="s">
        <v>8180</v>
      </c>
      <c r="D714" s="421" t="s">
        <v>8196</v>
      </c>
      <c r="E714" s="421" t="s">
        <v>76</v>
      </c>
      <c r="F714" s="421" t="s">
        <v>76</v>
      </c>
      <c r="G714" s="421" t="s">
        <v>76</v>
      </c>
      <c r="H714" s="421" t="s">
        <v>7044</v>
      </c>
      <c r="I714" s="421" t="s">
        <v>76</v>
      </c>
      <c r="J714" s="421" t="s">
        <v>76</v>
      </c>
      <c r="K714" s="421" t="s">
        <v>76</v>
      </c>
      <c r="L714" s="421" t="s">
        <v>76</v>
      </c>
      <c r="M714" s="421" t="s">
        <v>76</v>
      </c>
      <c r="N714" s="421" t="s">
        <v>76</v>
      </c>
      <c r="O714" s="421" t="s">
        <v>76</v>
      </c>
      <c r="P714" s="421" t="s">
        <v>7043</v>
      </c>
      <c r="Q714" s="421" t="s">
        <v>76</v>
      </c>
      <c r="R714" s="422" t="s">
        <v>76</v>
      </c>
    </row>
    <row r="715" spans="1:18">
      <c r="A715" s="420" t="s">
        <v>8197</v>
      </c>
      <c r="B715" s="421" t="s">
        <v>6596</v>
      </c>
      <c r="C715" s="421" t="s">
        <v>8198</v>
      </c>
      <c r="D715" s="421" t="s">
        <v>8199</v>
      </c>
      <c r="E715" s="421" t="s">
        <v>76</v>
      </c>
      <c r="F715" s="421" t="s">
        <v>76</v>
      </c>
      <c r="G715" s="421" t="s">
        <v>76</v>
      </c>
      <c r="H715" s="421" t="s">
        <v>7044</v>
      </c>
      <c r="I715" s="421" t="s">
        <v>76</v>
      </c>
      <c r="J715" s="421" t="s">
        <v>76</v>
      </c>
      <c r="K715" s="421" t="s">
        <v>76</v>
      </c>
      <c r="L715" s="421" t="s">
        <v>76</v>
      </c>
      <c r="M715" s="421" t="s">
        <v>76</v>
      </c>
      <c r="N715" s="421" t="s">
        <v>76</v>
      </c>
      <c r="O715" s="421" t="s">
        <v>76</v>
      </c>
      <c r="P715" s="421" t="s">
        <v>7043</v>
      </c>
      <c r="Q715" s="421" t="s">
        <v>76</v>
      </c>
      <c r="R715" s="422" t="s">
        <v>76</v>
      </c>
    </row>
    <row r="716" spans="1:18">
      <c r="A716" s="420" t="s">
        <v>8197</v>
      </c>
      <c r="B716" s="421" t="s">
        <v>6596</v>
      </c>
      <c r="C716" s="421" t="s">
        <v>8198</v>
      </c>
      <c r="D716" s="421" t="s">
        <v>8200</v>
      </c>
      <c r="E716" s="421" t="s">
        <v>76</v>
      </c>
      <c r="F716" s="421" t="s">
        <v>76</v>
      </c>
      <c r="G716" s="421" t="s">
        <v>76</v>
      </c>
      <c r="H716" s="421" t="s">
        <v>7044</v>
      </c>
      <c r="I716" s="421" t="s">
        <v>76</v>
      </c>
      <c r="J716" s="421" t="s">
        <v>76</v>
      </c>
      <c r="K716" s="421" t="s">
        <v>76</v>
      </c>
      <c r="L716" s="421" t="s">
        <v>76</v>
      </c>
      <c r="M716" s="421" t="s">
        <v>76</v>
      </c>
      <c r="N716" s="421" t="s">
        <v>76</v>
      </c>
      <c r="O716" s="421" t="s">
        <v>76</v>
      </c>
      <c r="P716" s="421" t="s">
        <v>7043</v>
      </c>
      <c r="Q716" s="421" t="s">
        <v>76</v>
      </c>
      <c r="R716" s="422" t="s">
        <v>76</v>
      </c>
    </row>
    <row r="717" spans="1:18">
      <c r="A717" s="420" t="s">
        <v>8197</v>
      </c>
      <c r="B717" s="421" t="s">
        <v>6596</v>
      </c>
      <c r="C717" s="421" t="s">
        <v>8198</v>
      </c>
      <c r="D717" s="421" t="s">
        <v>8201</v>
      </c>
      <c r="E717" s="421" t="s">
        <v>76</v>
      </c>
      <c r="F717" s="421" t="s">
        <v>76</v>
      </c>
      <c r="G717" s="421" t="s">
        <v>76</v>
      </c>
      <c r="H717" s="421" t="s">
        <v>7044</v>
      </c>
      <c r="I717" s="421" t="s">
        <v>76</v>
      </c>
      <c r="J717" s="421" t="s">
        <v>76</v>
      </c>
      <c r="K717" s="421" t="s">
        <v>76</v>
      </c>
      <c r="L717" s="421" t="s">
        <v>76</v>
      </c>
      <c r="M717" s="421" t="s">
        <v>76</v>
      </c>
      <c r="N717" s="421" t="s">
        <v>76</v>
      </c>
      <c r="O717" s="421" t="s">
        <v>76</v>
      </c>
      <c r="P717" s="421" t="s">
        <v>7043</v>
      </c>
      <c r="Q717" s="421" t="s">
        <v>76</v>
      </c>
      <c r="R717" s="422" t="s">
        <v>76</v>
      </c>
    </row>
    <row r="718" spans="1:18">
      <c r="A718" s="420" t="s">
        <v>8197</v>
      </c>
      <c r="B718" s="421" t="s">
        <v>6596</v>
      </c>
      <c r="C718" s="421" t="s">
        <v>8198</v>
      </c>
      <c r="D718" s="421" t="s">
        <v>8202</v>
      </c>
      <c r="E718" s="421" t="s">
        <v>76</v>
      </c>
      <c r="F718" s="421" t="s">
        <v>76</v>
      </c>
      <c r="G718" s="421" t="s">
        <v>76</v>
      </c>
      <c r="H718" s="421" t="s">
        <v>7044</v>
      </c>
      <c r="I718" s="421" t="s">
        <v>76</v>
      </c>
      <c r="J718" s="421" t="s">
        <v>76</v>
      </c>
      <c r="K718" s="421" t="s">
        <v>76</v>
      </c>
      <c r="L718" s="421" t="s">
        <v>76</v>
      </c>
      <c r="M718" s="421" t="s">
        <v>76</v>
      </c>
      <c r="N718" s="421" t="s">
        <v>76</v>
      </c>
      <c r="O718" s="421" t="s">
        <v>76</v>
      </c>
      <c r="P718" s="421" t="s">
        <v>7043</v>
      </c>
      <c r="Q718" s="421" t="s">
        <v>76</v>
      </c>
      <c r="R718" s="422" t="s">
        <v>76</v>
      </c>
    </row>
    <row r="719" spans="1:18">
      <c r="A719" s="420" t="s">
        <v>8197</v>
      </c>
      <c r="B719" s="421" t="s">
        <v>6596</v>
      </c>
      <c r="C719" s="421" t="s">
        <v>8198</v>
      </c>
      <c r="D719" s="421" t="s">
        <v>8203</v>
      </c>
      <c r="E719" s="421" t="s">
        <v>76</v>
      </c>
      <c r="F719" s="421" t="s">
        <v>76</v>
      </c>
      <c r="G719" s="421" t="s">
        <v>76</v>
      </c>
      <c r="H719" s="421" t="s">
        <v>7044</v>
      </c>
      <c r="I719" s="421" t="s">
        <v>76</v>
      </c>
      <c r="J719" s="421" t="s">
        <v>76</v>
      </c>
      <c r="K719" s="421" t="s">
        <v>76</v>
      </c>
      <c r="L719" s="421" t="s">
        <v>76</v>
      </c>
      <c r="M719" s="421" t="s">
        <v>76</v>
      </c>
      <c r="N719" s="421" t="s">
        <v>76</v>
      </c>
      <c r="O719" s="421" t="s">
        <v>76</v>
      </c>
      <c r="P719" s="421" t="s">
        <v>7043</v>
      </c>
      <c r="Q719" s="421" t="s">
        <v>76</v>
      </c>
      <c r="R719" s="422" t="s">
        <v>76</v>
      </c>
    </row>
    <row r="720" spans="1:18">
      <c r="A720" s="420" t="s">
        <v>8197</v>
      </c>
      <c r="B720" s="421" t="s">
        <v>6596</v>
      </c>
      <c r="C720" s="421" t="s">
        <v>8198</v>
      </c>
      <c r="D720" s="421" t="s">
        <v>8204</v>
      </c>
      <c r="E720" s="421" t="s">
        <v>76</v>
      </c>
      <c r="F720" s="421" t="s">
        <v>76</v>
      </c>
      <c r="G720" s="421" t="s">
        <v>76</v>
      </c>
      <c r="H720" s="421" t="s">
        <v>7044</v>
      </c>
      <c r="I720" s="421" t="s">
        <v>76</v>
      </c>
      <c r="J720" s="421" t="s">
        <v>76</v>
      </c>
      <c r="K720" s="421" t="s">
        <v>76</v>
      </c>
      <c r="L720" s="421" t="s">
        <v>76</v>
      </c>
      <c r="M720" s="421" t="s">
        <v>76</v>
      </c>
      <c r="N720" s="421" t="s">
        <v>76</v>
      </c>
      <c r="O720" s="421" t="s">
        <v>76</v>
      </c>
      <c r="P720" s="421" t="s">
        <v>7043</v>
      </c>
      <c r="Q720" s="421" t="s">
        <v>76</v>
      </c>
      <c r="R720" s="422" t="s">
        <v>76</v>
      </c>
    </row>
    <row r="721" spans="1:18">
      <c r="A721" s="420" t="s">
        <v>8197</v>
      </c>
      <c r="B721" s="421" t="s">
        <v>6596</v>
      </c>
      <c r="C721" s="421" t="s">
        <v>8198</v>
      </c>
      <c r="D721" s="421" t="s">
        <v>8205</v>
      </c>
      <c r="E721" s="421" t="s">
        <v>76</v>
      </c>
      <c r="F721" s="421" t="s">
        <v>76</v>
      </c>
      <c r="G721" s="421" t="s">
        <v>76</v>
      </c>
      <c r="H721" s="421" t="s">
        <v>7044</v>
      </c>
      <c r="I721" s="421" t="s">
        <v>76</v>
      </c>
      <c r="J721" s="421" t="s">
        <v>76</v>
      </c>
      <c r="K721" s="421" t="s">
        <v>76</v>
      </c>
      <c r="L721" s="421" t="s">
        <v>76</v>
      </c>
      <c r="M721" s="421" t="s">
        <v>76</v>
      </c>
      <c r="N721" s="421" t="s">
        <v>76</v>
      </c>
      <c r="O721" s="421" t="s">
        <v>76</v>
      </c>
      <c r="P721" s="421" t="s">
        <v>7043</v>
      </c>
      <c r="Q721" s="421" t="s">
        <v>76</v>
      </c>
      <c r="R721" s="422" t="s">
        <v>76</v>
      </c>
    </row>
    <row r="722" spans="1:18">
      <c r="A722" s="420" t="s">
        <v>8197</v>
      </c>
      <c r="B722" s="421" t="s">
        <v>6596</v>
      </c>
      <c r="C722" s="421" t="s">
        <v>8198</v>
      </c>
      <c r="D722" s="421" t="s">
        <v>8206</v>
      </c>
      <c r="E722" s="421" t="s">
        <v>76</v>
      </c>
      <c r="F722" s="421" t="s">
        <v>76</v>
      </c>
      <c r="G722" s="421" t="s">
        <v>76</v>
      </c>
      <c r="H722" s="421" t="s">
        <v>7044</v>
      </c>
      <c r="I722" s="421" t="s">
        <v>76</v>
      </c>
      <c r="J722" s="421" t="s">
        <v>76</v>
      </c>
      <c r="K722" s="421" t="s">
        <v>76</v>
      </c>
      <c r="L722" s="421" t="s">
        <v>76</v>
      </c>
      <c r="M722" s="421" t="s">
        <v>76</v>
      </c>
      <c r="N722" s="421" t="s">
        <v>76</v>
      </c>
      <c r="O722" s="421" t="s">
        <v>76</v>
      </c>
      <c r="P722" s="421" t="s">
        <v>7043</v>
      </c>
      <c r="Q722" s="421" t="s">
        <v>76</v>
      </c>
      <c r="R722" s="422" t="s">
        <v>76</v>
      </c>
    </row>
    <row r="723" spans="1:18">
      <c r="A723" s="420" t="s">
        <v>8197</v>
      </c>
      <c r="B723" s="421" t="s">
        <v>6596</v>
      </c>
      <c r="C723" s="421" t="s">
        <v>8198</v>
      </c>
      <c r="D723" s="421" t="s">
        <v>8207</v>
      </c>
      <c r="E723" s="421" t="s">
        <v>76</v>
      </c>
      <c r="F723" s="421" t="s">
        <v>76</v>
      </c>
      <c r="G723" s="421" t="s">
        <v>76</v>
      </c>
      <c r="H723" s="421" t="s">
        <v>7044</v>
      </c>
      <c r="I723" s="421" t="s">
        <v>76</v>
      </c>
      <c r="J723" s="421" t="s">
        <v>76</v>
      </c>
      <c r="K723" s="421" t="s">
        <v>76</v>
      </c>
      <c r="L723" s="421" t="s">
        <v>76</v>
      </c>
      <c r="M723" s="421" t="s">
        <v>76</v>
      </c>
      <c r="N723" s="421" t="s">
        <v>76</v>
      </c>
      <c r="O723" s="421" t="s">
        <v>76</v>
      </c>
      <c r="P723" s="421" t="s">
        <v>7043</v>
      </c>
      <c r="Q723" s="421" t="s">
        <v>76</v>
      </c>
      <c r="R723" s="422" t="s">
        <v>76</v>
      </c>
    </row>
    <row r="724" spans="1:18">
      <c r="A724" s="420" t="s">
        <v>8197</v>
      </c>
      <c r="B724" s="421" t="s">
        <v>6596</v>
      </c>
      <c r="C724" s="421" t="s">
        <v>8198</v>
      </c>
      <c r="D724" s="421" t="s">
        <v>8208</v>
      </c>
      <c r="E724" s="421" t="s">
        <v>76</v>
      </c>
      <c r="F724" s="421" t="s">
        <v>76</v>
      </c>
      <c r="G724" s="421" t="s">
        <v>76</v>
      </c>
      <c r="H724" s="421" t="s">
        <v>7044</v>
      </c>
      <c r="I724" s="421" t="s">
        <v>76</v>
      </c>
      <c r="J724" s="421" t="s">
        <v>76</v>
      </c>
      <c r="K724" s="421" t="s">
        <v>76</v>
      </c>
      <c r="L724" s="421" t="s">
        <v>76</v>
      </c>
      <c r="M724" s="421" t="s">
        <v>76</v>
      </c>
      <c r="N724" s="421" t="s">
        <v>76</v>
      </c>
      <c r="O724" s="421" t="s">
        <v>76</v>
      </c>
      <c r="P724" s="421" t="s">
        <v>7043</v>
      </c>
      <c r="Q724" s="421" t="s">
        <v>76</v>
      </c>
      <c r="R724" s="422" t="s">
        <v>76</v>
      </c>
    </row>
    <row r="725" spans="1:18">
      <c r="A725" s="420" t="s">
        <v>8197</v>
      </c>
      <c r="B725" s="421" t="s">
        <v>6596</v>
      </c>
      <c r="C725" s="421" t="s">
        <v>8198</v>
      </c>
      <c r="D725" s="421" t="s">
        <v>8209</v>
      </c>
      <c r="E725" s="421" t="s">
        <v>76</v>
      </c>
      <c r="F725" s="421" t="s">
        <v>76</v>
      </c>
      <c r="G725" s="421" t="s">
        <v>76</v>
      </c>
      <c r="H725" s="421" t="s">
        <v>7044</v>
      </c>
      <c r="I725" s="421" t="s">
        <v>76</v>
      </c>
      <c r="J725" s="421" t="s">
        <v>76</v>
      </c>
      <c r="K725" s="421" t="s">
        <v>76</v>
      </c>
      <c r="L725" s="421" t="s">
        <v>76</v>
      </c>
      <c r="M725" s="421" t="s">
        <v>76</v>
      </c>
      <c r="N725" s="421" t="s">
        <v>76</v>
      </c>
      <c r="O725" s="421" t="s">
        <v>76</v>
      </c>
      <c r="P725" s="421" t="s">
        <v>7043</v>
      </c>
      <c r="Q725" s="421" t="s">
        <v>76</v>
      </c>
      <c r="R725" s="422" t="s">
        <v>76</v>
      </c>
    </row>
    <row r="726" spans="1:18">
      <c r="A726" s="420" t="s">
        <v>8197</v>
      </c>
      <c r="B726" s="421" t="s">
        <v>6596</v>
      </c>
      <c r="C726" s="421" t="s">
        <v>8198</v>
      </c>
      <c r="D726" s="421" t="s">
        <v>8210</v>
      </c>
      <c r="E726" s="421" t="s">
        <v>76</v>
      </c>
      <c r="F726" s="421" t="s">
        <v>76</v>
      </c>
      <c r="G726" s="421" t="s">
        <v>76</v>
      </c>
      <c r="H726" s="421" t="s">
        <v>7044</v>
      </c>
      <c r="I726" s="421" t="s">
        <v>76</v>
      </c>
      <c r="J726" s="421" t="s">
        <v>76</v>
      </c>
      <c r="K726" s="421" t="s">
        <v>76</v>
      </c>
      <c r="L726" s="421" t="s">
        <v>76</v>
      </c>
      <c r="M726" s="421" t="s">
        <v>76</v>
      </c>
      <c r="N726" s="421" t="s">
        <v>76</v>
      </c>
      <c r="O726" s="421" t="s">
        <v>76</v>
      </c>
      <c r="P726" s="421" t="s">
        <v>7043</v>
      </c>
      <c r="Q726" s="421" t="s">
        <v>76</v>
      </c>
      <c r="R726" s="422" t="s">
        <v>76</v>
      </c>
    </row>
    <row r="727" spans="1:18">
      <c r="A727" s="420" t="s">
        <v>8197</v>
      </c>
      <c r="B727" s="421" t="s">
        <v>6596</v>
      </c>
      <c r="C727" s="421" t="s">
        <v>8198</v>
      </c>
      <c r="D727" s="421" t="s">
        <v>8211</v>
      </c>
      <c r="E727" s="421" t="s">
        <v>76</v>
      </c>
      <c r="F727" s="421" t="s">
        <v>76</v>
      </c>
      <c r="G727" s="421" t="s">
        <v>76</v>
      </c>
      <c r="H727" s="421" t="s">
        <v>7044</v>
      </c>
      <c r="I727" s="421" t="s">
        <v>76</v>
      </c>
      <c r="J727" s="421" t="s">
        <v>76</v>
      </c>
      <c r="K727" s="421" t="s">
        <v>76</v>
      </c>
      <c r="L727" s="421" t="s">
        <v>76</v>
      </c>
      <c r="M727" s="421" t="s">
        <v>76</v>
      </c>
      <c r="N727" s="421" t="s">
        <v>76</v>
      </c>
      <c r="O727" s="421" t="s">
        <v>76</v>
      </c>
      <c r="P727" s="421" t="s">
        <v>7043</v>
      </c>
      <c r="Q727" s="421" t="s">
        <v>76</v>
      </c>
      <c r="R727" s="422" t="s">
        <v>76</v>
      </c>
    </row>
    <row r="728" spans="1:18">
      <c r="A728" s="420" t="s">
        <v>8197</v>
      </c>
      <c r="B728" s="421" t="s">
        <v>6596</v>
      </c>
      <c r="C728" s="421" t="s">
        <v>8198</v>
      </c>
      <c r="D728" s="421" t="s">
        <v>8212</v>
      </c>
      <c r="E728" s="421" t="s">
        <v>76</v>
      </c>
      <c r="F728" s="421" t="s">
        <v>76</v>
      </c>
      <c r="G728" s="421" t="s">
        <v>76</v>
      </c>
      <c r="H728" s="421" t="s">
        <v>7044</v>
      </c>
      <c r="I728" s="421" t="s">
        <v>76</v>
      </c>
      <c r="J728" s="421" t="s">
        <v>76</v>
      </c>
      <c r="K728" s="421" t="s">
        <v>76</v>
      </c>
      <c r="L728" s="421" t="s">
        <v>76</v>
      </c>
      <c r="M728" s="421" t="s">
        <v>76</v>
      </c>
      <c r="N728" s="421" t="s">
        <v>76</v>
      </c>
      <c r="O728" s="421" t="s">
        <v>76</v>
      </c>
      <c r="P728" s="421" t="s">
        <v>7043</v>
      </c>
      <c r="Q728" s="421" t="s">
        <v>76</v>
      </c>
      <c r="R728" s="422" t="s">
        <v>76</v>
      </c>
    </row>
    <row r="729" spans="1:18">
      <c r="A729" s="420" t="s">
        <v>8197</v>
      </c>
      <c r="B729" s="421" t="s">
        <v>6596</v>
      </c>
      <c r="C729" s="421" t="s">
        <v>8198</v>
      </c>
      <c r="D729" s="421" t="s">
        <v>8213</v>
      </c>
      <c r="E729" s="421" t="s">
        <v>76</v>
      </c>
      <c r="F729" s="421" t="s">
        <v>76</v>
      </c>
      <c r="G729" s="421" t="s">
        <v>76</v>
      </c>
      <c r="H729" s="421" t="s">
        <v>7044</v>
      </c>
      <c r="I729" s="421" t="s">
        <v>76</v>
      </c>
      <c r="J729" s="421" t="s">
        <v>76</v>
      </c>
      <c r="K729" s="421" t="s">
        <v>76</v>
      </c>
      <c r="L729" s="421" t="s">
        <v>76</v>
      </c>
      <c r="M729" s="421" t="s">
        <v>76</v>
      </c>
      <c r="N729" s="421" t="s">
        <v>76</v>
      </c>
      <c r="O729" s="421" t="s">
        <v>76</v>
      </c>
      <c r="P729" s="421" t="s">
        <v>7043</v>
      </c>
      <c r="Q729" s="421" t="s">
        <v>76</v>
      </c>
      <c r="R729" s="422" t="s">
        <v>76</v>
      </c>
    </row>
    <row r="730" spans="1:18">
      <c r="A730" s="420" t="s">
        <v>8197</v>
      </c>
      <c r="B730" s="421" t="s">
        <v>6596</v>
      </c>
      <c r="C730" s="421" t="s">
        <v>8198</v>
      </c>
      <c r="D730" s="421" t="s">
        <v>8214</v>
      </c>
      <c r="E730" s="421" t="s">
        <v>76</v>
      </c>
      <c r="F730" s="421" t="s">
        <v>76</v>
      </c>
      <c r="G730" s="421" t="s">
        <v>76</v>
      </c>
      <c r="H730" s="421" t="s">
        <v>7044</v>
      </c>
      <c r="I730" s="421" t="s">
        <v>76</v>
      </c>
      <c r="J730" s="421" t="s">
        <v>76</v>
      </c>
      <c r="K730" s="421" t="s">
        <v>76</v>
      </c>
      <c r="L730" s="421" t="s">
        <v>76</v>
      </c>
      <c r="M730" s="421" t="s">
        <v>76</v>
      </c>
      <c r="N730" s="421" t="s">
        <v>76</v>
      </c>
      <c r="O730" s="421" t="s">
        <v>76</v>
      </c>
      <c r="P730" s="421" t="s">
        <v>7043</v>
      </c>
      <c r="Q730" s="421" t="s">
        <v>76</v>
      </c>
      <c r="R730" s="422" t="s">
        <v>76</v>
      </c>
    </row>
    <row r="731" spans="1:18">
      <c r="A731" s="420" t="s">
        <v>8215</v>
      </c>
      <c r="B731" s="421" t="s">
        <v>6599</v>
      </c>
      <c r="C731" s="421" t="s">
        <v>8216</v>
      </c>
      <c r="D731" s="421" t="s">
        <v>8217</v>
      </c>
      <c r="E731" s="421" t="s">
        <v>76</v>
      </c>
      <c r="F731" s="421" t="s">
        <v>76</v>
      </c>
      <c r="G731" s="421" t="s">
        <v>76</v>
      </c>
      <c r="H731" s="421" t="s">
        <v>76</v>
      </c>
      <c r="I731" s="421" t="s">
        <v>76</v>
      </c>
      <c r="J731" s="421" t="s">
        <v>76</v>
      </c>
      <c r="K731" s="421" t="s">
        <v>76</v>
      </c>
      <c r="L731" s="421" t="s">
        <v>76</v>
      </c>
      <c r="M731" s="421" t="s">
        <v>76</v>
      </c>
      <c r="N731" s="421" t="s">
        <v>7043</v>
      </c>
      <c r="O731" s="421" t="s">
        <v>76</v>
      </c>
      <c r="P731" s="421" t="s">
        <v>76</v>
      </c>
      <c r="Q731" s="421" t="s">
        <v>76</v>
      </c>
      <c r="R731" s="422" t="s">
        <v>76</v>
      </c>
    </row>
    <row r="732" spans="1:18">
      <c r="A732" s="420" t="s">
        <v>8215</v>
      </c>
      <c r="B732" s="421" t="s">
        <v>6599</v>
      </c>
      <c r="C732" s="421" t="s">
        <v>8216</v>
      </c>
      <c r="D732" s="421" t="s">
        <v>8218</v>
      </c>
      <c r="E732" s="421" t="s">
        <v>76</v>
      </c>
      <c r="F732" s="421" t="s">
        <v>76</v>
      </c>
      <c r="G732" s="421" t="s">
        <v>76</v>
      </c>
      <c r="H732" s="421" t="s">
        <v>76</v>
      </c>
      <c r="I732" s="421" t="s">
        <v>76</v>
      </c>
      <c r="J732" s="421" t="s">
        <v>76</v>
      </c>
      <c r="K732" s="421" t="s">
        <v>76</v>
      </c>
      <c r="L732" s="421" t="s">
        <v>76</v>
      </c>
      <c r="M732" s="421" t="s">
        <v>76</v>
      </c>
      <c r="N732" s="421" t="s">
        <v>7043</v>
      </c>
      <c r="O732" s="421" t="s">
        <v>76</v>
      </c>
      <c r="P732" s="421" t="s">
        <v>76</v>
      </c>
      <c r="Q732" s="421" t="s">
        <v>76</v>
      </c>
      <c r="R732" s="422" t="s">
        <v>76</v>
      </c>
    </row>
    <row r="733" spans="1:18">
      <c r="A733" s="420" t="s">
        <v>8215</v>
      </c>
      <c r="B733" s="421" t="s">
        <v>6599</v>
      </c>
      <c r="C733" s="421" t="s">
        <v>8216</v>
      </c>
      <c r="D733" s="421" t="s">
        <v>8219</v>
      </c>
      <c r="E733" s="421" t="s">
        <v>76</v>
      </c>
      <c r="F733" s="421" t="s">
        <v>76</v>
      </c>
      <c r="G733" s="421" t="s">
        <v>76</v>
      </c>
      <c r="H733" s="421" t="s">
        <v>76</v>
      </c>
      <c r="I733" s="421" t="s">
        <v>76</v>
      </c>
      <c r="J733" s="421" t="s">
        <v>76</v>
      </c>
      <c r="K733" s="421" t="s">
        <v>76</v>
      </c>
      <c r="L733" s="421" t="s">
        <v>76</v>
      </c>
      <c r="M733" s="421" t="s">
        <v>76</v>
      </c>
      <c r="N733" s="421" t="s">
        <v>7043</v>
      </c>
      <c r="O733" s="421" t="s">
        <v>76</v>
      </c>
      <c r="P733" s="421" t="s">
        <v>76</v>
      </c>
      <c r="Q733" s="421" t="s">
        <v>76</v>
      </c>
      <c r="R733" s="422" t="s">
        <v>76</v>
      </c>
    </row>
    <row r="734" spans="1:18">
      <c r="A734" s="420" t="s">
        <v>8215</v>
      </c>
      <c r="B734" s="421" t="s">
        <v>6599</v>
      </c>
      <c r="C734" s="421" t="s">
        <v>8216</v>
      </c>
      <c r="D734" s="421" t="s">
        <v>8220</v>
      </c>
      <c r="E734" s="421" t="s">
        <v>76</v>
      </c>
      <c r="F734" s="421" t="s">
        <v>76</v>
      </c>
      <c r="G734" s="421" t="s">
        <v>76</v>
      </c>
      <c r="H734" s="421" t="s">
        <v>76</v>
      </c>
      <c r="I734" s="421" t="s">
        <v>76</v>
      </c>
      <c r="J734" s="421" t="s">
        <v>76</v>
      </c>
      <c r="K734" s="421" t="s">
        <v>76</v>
      </c>
      <c r="L734" s="421" t="s">
        <v>76</v>
      </c>
      <c r="M734" s="421" t="s">
        <v>76</v>
      </c>
      <c r="N734" s="421" t="s">
        <v>7043</v>
      </c>
      <c r="O734" s="421" t="s">
        <v>76</v>
      </c>
      <c r="P734" s="421" t="s">
        <v>76</v>
      </c>
      <c r="Q734" s="421" t="s">
        <v>76</v>
      </c>
      <c r="R734" s="422" t="s">
        <v>76</v>
      </c>
    </row>
    <row r="735" spans="1:18">
      <c r="A735" s="420" t="s">
        <v>8215</v>
      </c>
      <c r="B735" s="421" t="s">
        <v>6599</v>
      </c>
      <c r="C735" s="421" t="s">
        <v>8216</v>
      </c>
      <c r="D735" s="421" t="s">
        <v>8221</v>
      </c>
      <c r="E735" s="421" t="s">
        <v>76</v>
      </c>
      <c r="F735" s="421" t="s">
        <v>76</v>
      </c>
      <c r="G735" s="421" t="s">
        <v>76</v>
      </c>
      <c r="H735" s="421" t="s">
        <v>76</v>
      </c>
      <c r="I735" s="421" t="s">
        <v>76</v>
      </c>
      <c r="J735" s="421" t="s">
        <v>76</v>
      </c>
      <c r="K735" s="421" t="s">
        <v>76</v>
      </c>
      <c r="L735" s="421" t="s">
        <v>76</v>
      </c>
      <c r="M735" s="421" t="s">
        <v>76</v>
      </c>
      <c r="N735" s="421" t="s">
        <v>7043</v>
      </c>
      <c r="O735" s="421" t="s">
        <v>76</v>
      </c>
      <c r="P735" s="421" t="s">
        <v>76</v>
      </c>
      <c r="Q735" s="421" t="s">
        <v>76</v>
      </c>
      <c r="R735" s="422" t="s">
        <v>76</v>
      </c>
    </row>
    <row r="736" spans="1:18">
      <c r="A736" s="420" t="s">
        <v>8215</v>
      </c>
      <c r="B736" s="421" t="s">
        <v>6599</v>
      </c>
      <c r="C736" s="421" t="s">
        <v>8216</v>
      </c>
      <c r="D736" s="421" t="s">
        <v>8222</v>
      </c>
      <c r="E736" s="421" t="s">
        <v>76</v>
      </c>
      <c r="F736" s="421" t="s">
        <v>76</v>
      </c>
      <c r="G736" s="421" t="s">
        <v>76</v>
      </c>
      <c r="H736" s="421" t="s">
        <v>76</v>
      </c>
      <c r="I736" s="421" t="s">
        <v>76</v>
      </c>
      <c r="J736" s="421" t="s">
        <v>76</v>
      </c>
      <c r="K736" s="421" t="s">
        <v>76</v>
      </c>
      <c r="L736" s="421" t="s">
        <v>76</v>
      </c>
      <c r="M736" s="421" t="s">
        <v>76</v>
      </c>
      <c r="N736" s="421" t="s">
        <v>7043</v>
      </c>
      <c r="O736" s="421" t="s">
        <v>76</v>
      </c>
      <c r="P736" s="421" t="s">
        <v>76</v>
      </c>
      <c r="Q736" s="421" t="s">
        <v>76</v>
      </c>
      <c r="R736" s="422" t="s">
        <v>76</v>
      </c>
    </row>
    <row r="737" spans="1:18">
      <c r="A737" s="420" t="s">
        <v>8215</v>
      </c>
      <c r="B737" s="421" t="s">
        <v>6599</v>
      </c>
      <c r="C737" s="421" t="s">
        <v>8216</v>
      </c>
      <c r="D737" s="421" t="s">
        <v>8223</v>
      </c>
      <c r="E737" s="421" t="s">
        <v>76</v>
      </c>
      <c r="F737" s="421" t="s">
        <v>76</v>
      </c>
      <c r="G737" s="421" t="s">
        <v>76</v>
      </c>
      <c r="H737" s="421" t="s">
        <v>76</v>
      </c>
      <c r="I737" s="421" t="s">
        <v>76</v>
      </c>
      <c r="J737" s="421" t="s">
        <v>76</v>
      </c>
      <c r="K737" s="421" t="s">
        <v>76</v>
      </c>
      <c r="L737" s="421" t="s">
        <v>76</v>
      </c>
      <c r="M737" s="421" t="s">
        <v>76</v>
      </c>
      <c r="N737" s="421" t="s">
        <v>7043</v>
      </c>
      <c r="O737" s="421" t="s">
        <v>76</v>
      </c>
      <c r="P737" s="421" t="s">
        <v>76</v>
      </c>
      <c r="Q737" s="421" t="s">
        <v>76</v>
      </c>
      <c r="R737" s="422" t="s">
        <v>76</v>
      </c>
    </row>
    <row r="738" spans="1:18">
      <c r="A738" s="420" t="s">
        <v>8215</v>
      </c>
      <c r="B738" s="421" t="s">
        <v>6599</v>
      </c>
      <c r="C738" s="421" t="s">
        <v>8216</v>
      </c>
      <c r="D738" s="421" t="s">
        <v>8219</v>
      </c>
      <c r="E738" s="421" t="s">
        <v>76</v>
      </c>
      <c r="F738" s="421" t="s">
        <v>76</v>
      </c>
      <c r="G738" s="421" t="s">
        <v>76</v>
      </c>
      <c r="H738" s="421" t="s">
        <v>76</v>
      </c>
      <c r="I738" s="421" t="s">
        <v>76</v>
      </c>
      <c r="J738" s="421" t="s">
        <v>76</v>
      </c>
      <c r="K738" s="421" t="s">
        <v>76</v>
      </c>
      <c r="L738" s="421" t="s">
        <v>76</v>
      </c>
      <c r="M738" s="421" t="s">
        <v>76</v>
      </c>
      <c r="N738" s="421" t="s">
        <v>7043</v>
      </c>
      <c r="O738" s="421" t="s">
        <v>76</v>
      </c>
      <c r="P738" s="421" t="s">
        <v>76</v>
      </c>
      <c r="Q738" s="421" t="s">
        <v>76</v>
      </c>
      <c r="R738" s="422" t="s">
        <v>76</v>
      </c>
    </row>
    <row r="739" spans="1:18">
      <c r="A739" s="420" t="s">
        <v>8224</v>
      </c>
      <c r="B739" s="421" t="s">
        <v>6605</v>
      </c>
      <c r="C739" s="421" t="s">
        <v>8225</v>
      </c>
      <c r="D739" s="421" t="s">
        <v>8226</v>
      </c>
      <c r="E739" s="421" t="s">
        <v>76</v>
      </c>
      <c r="F739" s="421" t="s">
        <v>76</v>
      </c>
      <c r="G739" s="421" t="s">
        <v>76</v>
      </c>
      <c r="H739" s="421" t="s">
        <v>76</v>
      </c>
      <c r="I739" s="421" t="s">
        <v>76</v>
      </c>
      <c r="J739" s="421" t="s">
        <v>76</v>
      </c>
      <c r="K739" s="421" t="s">
        <v>76</v>
      </c>
      <c r="L739" s="421" t="s">
        <v>76</v>
      </c>
      <c r="M739" s="421" t="s">
        <v>76</v>
      </c>
      <c r="N739" s="421" t="s">
        <v>7043</v>
      </c>
      <c r="O739" s="421" t="s">
        <v>76</v>
      </c>
      <c r="P739" s="421" t="s">
        <v>76</v>
      </c>
      <c r="Q739" s="421" t="s">
        <v>76</v>
      </c>
      <c r="R739" s="422" t="s">
        <v>76</v>
      </c>
    </row>
    <row r="740" spans="1:18">
      <c r="A740" s="420" t="s">
        <v>8224</v>
      </c>
      <c r="B740" s="421" t="s">
        <v>6605</v>
      </c>
      <c r="C740" s="421" t="s">
        <v>8225</v>
      </c>
      <c r="D740" s="421" t="s">
        <v>8227</v>
      </c>
      <c r="E740" s="421" t="s">
        <v>76</v>
      </c>
      <c r="F740" s="421" t="s">
        <v>76</v>
      </c>
      <c r="G740" s="421" t="s">
        <v>76</v>
      </c>
      <c r="H740" s="421" t="s">
        <v>76</v>
      </c>
      <c r="I740" s="421" t="s">
        <v>76</v>
      </c>
      <c r="J740" s="421" t="s">
        <v>76</v>
      </c>
      <c r="K740" s="421" t="s">
        <v>76</v>
      </c>
      <c r="L740" s="421" t="s">
        <v>76</v>
      </c>
      <c r="M740" s="421" t="s">
        <v>76</v>
      </c>
      <c r="N740" s="421" t="s">
        <v>7043</v>
      </c>
      <c r="O740" s="421" t="s">
        <v>76</v>
      </c>
      <c r="P740" s="421" t="s">
        <v>76</v>
      </c>
      <c r="Q740" s="421" t="s">
        <v>76</v>
      </c>
      <c r="R740" s="422" t="s">
        <v>76</v>
      </c>
    </row>
    <row r="741" spans="1:18">
      <c r="A741" s="420" t="s">
        <v>8224</v>
      </c>
      <c r="B741" s="421" t="s">
        <v>6605</v>
      </c>
      <c r="C741" s="421" t="s">
        <v>8225</v>
      </c>
      <c r="D741" s="421" t="s">
        <v>8228</v>
      </c>
      <c r="E741" s="421" t="s">
        <v>76</v>
      </c>
      <c r="F741" s="421" t="s">
        <v>76</v>
      </c>
      <c r="G741" s="421" t="s">
        <v>76</v>
      </c>
      <c r="H741" s="421" t="s">
        <v>76</v>
      </c>
      <c r="I741" s="421" t="s">
        <v>76</v>
      </c>
      <c r="J741" s="421" t="s">
        <v>76</v>
      </c>
      <c r="K741" s="421" t="s">
        <v>76</v>
      </c>
      <c r="L741" s="421" t="s">
        <v>76</v>
      </c>
      <c r="M741" s="421" t="s">
        <v>76</v>
      </c>
      <c r="N741" s="421" t="s">
        <v>7043</v>
      </c>
      <c r="O741" s="421" t="s">
        <v>76</v>
      </c>
      <c r="P741" s="421" t="s">
        <v>76</v>
      </c>
      <c r="Q741" s="421" t="s">
        <v>76</v>
      </c>
      <c r="R741" s="422" t="s">
        <v>76</v>
      </c>
    </row>
    <row r="742" spans="1:18">
      <c r="A742" s="420" t="s">
        <v>8224</v>
      </c>
      <c r="B742" s="421" t="s">
        <v>6605</v>
      </c>
      <c r="C742" s="421" t="s">
        <v>8225</v>
      </c>
      <c r="D742" s="421" t="s">
        <v>8229</v>
      </c>
      <c r="E742" s="421" t="s">
        <v>76</v>
      </c>
      <c r="F742" s="421" t="s">
        <v>76</v>
      </c>
      <c r="G742" s="421" t="s">
        <v>76</v>
      </c>
      <c r="H742" s="421" t="s">
        <v>76</v>
      </c>
      <c r="I742" s="421" t="s">
        <v>76</v>
      </c>
      <c r="J742" s="421" t="s">
        <v>76</v>
      </c>
      <c r="K742" s="421" t="s">
        <v>76</v>
      </c>
      <c r="L742" s="421" t="s">
        <v>76</v>
      </c>
      <c r="M742" s="421" t="s">
        <v>76</v>
      </c>
      <c r="N742" s="421" t="s">
        <v>7043</v>
      </c>
      <c r="O742" s="421" t="s">
        <v>76</v>
      </c>
      <c r="P742" s="421" t="s">
        <v>76</v>
      </c>
      <c r="Q742" s="421" t="s">
        <v>76</v>
      </c>
      <c r="R742" s="422" t="s">
        <v>76</v>
      </c>
    </row>
    <row r="743" spans="1:18">
      <c r="A743" s="420" t="s">
        <v>8224</v>
      </c>
      <c r="B743" s="421" t="s">
        <v>6605</v>
      </c>
      <c r="C743" s="421" t="s">
        <v>8225</v>
      </c>
      <c r="D743" s="421" t="s">
        <v>8230</v>
      </c>
      <c r="E743" s="421" t="s">
        <v>76</v>
      </c>
      <c r="F743" s="421" t="s">
        <v>76</v>
      </c>
      <c r="G743" s="421" t="s">
        <v>76</v>
      </c>
      <c r="H743" s="421" t="s">
        <v>76</v>
      </c>
      <c r="I743" s="421" t="s">
        <v>76</v>
      </c>
      <c r="J743" s="421" t="s">
        <v>76</v>
      </c>
      <c r="K743" s="421" t="s">
        <v>76</v>
      </c>
      <c r="L743" s="421" t="s">
        <v>76</v>
      </c>
      <c r="M743" s="421" t="s">
        <v>76</v>
      </c>
      <c r="N743" s="421" t="s">
        <v>7043</v>
      </c>
      <c r="O743" s="421" t="s">
        <v>76</v>
      </c>
      <c r="P743" s="421" t="s">
        <v>76</v>
      </c>
      <c r="Q743" s="421" t="s">
        <v>76</v>
      </c>
      <c r="R743" s="422" t="s">
        <v>76</v>
      </c>
    </row>
    <row r="744" spans="1:18">
      <c r="A744" s="420" t="s">
        <v>8224</v>
      </c>
      <c r="B744" s="421" t="s">
        <v>6605</v>
      </c>
      <c r="C744" s="421" t="s">
        <v>8225</v>
      </c>
      <c r="D744" s="421" t="s">
        <v>8231</v>
      </c>
      <c r="E744" s="421" t="s">
        <v>76</v>
      </c>
      <c r="F744" s="421" t="s">
        <v>76</v>
      </c>
      <c r="G744" s="421" t="s">
        <v>76</v>
      </c>
      <c r="H744" s="421" t="s">
        <v>76</v>
      </c>
      <c r="I744" s="421" t="s">
        <v>76</v>
      </c>
      <c r="J744" s="421" t="s">
        <v>76</v>
      </c>
      <c r="K744" s="421" t="s">
        <v>76</v>
      </c>
      <c r="L744" s="421" t="s">
        <v>76</v>
      </c>
      <c r="M744" s="421" t="s">
        <v>76</v>
      </c>
      <c r="N744" s="421" t="s">
        <v>7043</v>
      </c>
      <c r="O744" s="421" t="s">
        <v>76</v>
      </c>
      <c r="P744" s="421" t="s">
        <v>76</v>
      </c>
      <c r="Q744" s="421" t="s">
        <v>76</v>
      </c>
      <c r="R744" s="422" t="s">
        <v>76</v>
      </c>
    </row>
    <row r="745" spans="1:18">
      <c r="A745" s="420" t="s">
        <v>8224</v>
      </c>
      <c r="B745" s="421" t="s">
        <v>6605</v>
      </c>
      <c r="C745" s="421" t="s">
        <v>8225</v>
      </c>
      <c r="D745" s="421" t="s">
        <v>8232</v>
      </c>
      <c r="E745" s="421" t="s">
        <v>76</v>
      </c>
      <c r="F745" s="421" t="s">
        <v>76</v>
      </c>
      <c r="G745" s="421" t="s">
        <v>76</v>
      </c>
      <c r="H745" s="421" t="s">
        <v>76</v>
      </c>
      <c r="I745" s="421" t="s">
        <v>76</v>
      </c>
      <c r="J745" s="421" t="s">
        <v>76</v>
      </c>
      <c r="K745" s="421" t="s">
        <v>76</v>
      </c>
      <c r="L745" s="421" t="s">
        <v>76</v>
      </c>
      <c r="M745" s="421" t="s">
        <v>76</v>
      </c>
      <c r="N745" s="421" t="s">
        <v>7043</v>
      </c>
      <c r="O745" s="421" t="s">
        <v>76</v>
      </c>
      <c r="P745" s="421" t="s">
        <v>76</v>
      </c>
      <c r="Q745" s="421" t="s">
        <v>76</v>
      </c>
      <c r="R745" s="422" t="s">
        <v>76</v>
      </c>
    </row>
    <row r="746" spans="1:18">
      <c r="A746" s="420" t="s">
        <v>8224</v>
      </c>
      <c r="B746" s="421" t="s">
        <v>6605</v>
      </c>
      <c r="C746" s="421" t="s">
        <v>8225</v>
      </c>
      <c r="D746" s="421" t="s">
        <v>8228</v>
      </c>
      <c r="E746" s="421" t="s">
        <v>76</v>
      </c>
      <c r="F746" s="421" t="s">
        <v>76</v>
      </c>
      <c r="G746" s="421" t="s">
        <v>76</v>
      </c>
      <c r="H746" s="421" t="s">
        <v>76</v>
      </c>
      <c r="I746" s="421" t="s">
        <v>76</v>
      </c>
      <c r="J746" s="421" t="s">
        <v>76</v>
      </c>
      <c r="K746" s="421" t="s">
        <v>76</v>
      </c>
      <c r="L746" s="421" t="s">
        <v>76</v>
      </c>
      <c r="M746" s="421" t="s">
        <v>76</v>
      </c>
      <c r="N746" s="421" t="s">
        <v>7043</v>
      </c>
      <c r="O746" s="421" t="s">
        <v>76</v>
      </c>
      <c r="P746" s="421" t="s">
        <v>76</v>
      </c>
      <c r="Q746" s="421" t="s">
        <v>76</v>
      </c>
      <c r="R746" s="422" t="s">
        <v>76</v>
      </c>
    </row>
    <row r="747" spans="1:18">
      <c r="A747" s="420" t="s">
        <v>8233</v>
      </c>
      <c r="B747" s="421" t="s">
        <v>6608</v>
      </c>
      <c r="C747" s="421" t="s">
        <v>8234</v>
      </c>
      <c r="D747" s="421" t="s">
        <v>8235</v>
      </c>
      <c r="E747" s="421" t="s">
        <v>76</v>
      </c>
      <c r="F747" s="421" t="s">
        <v>76</v>
      </c>
      <c r="G747" s="421" t="s">
        <v>76</v>
      </c>
      <c r="H747" s="421" t="s">
        <v>7044</v>
      </c>
      <c r="I747" s="421" t="s">
        <v>76</v>
      </c>
      <c r="J747" s="421" t="s">
        <v>76</v>
      </c>
      <c r="K747" s="421" t="s">
        <v>76</v>
      </c>
      <c r="L747" s="421" t="s">
        <v>76</v>
      </c>
      <c r="M747" s="421" t="s">
        <v>76</v>
      </c>
      <c r="N747" s="421" t="s">
        <v>76</v>
      </c>
      <c r="O747" s="421" t="s">
        <v>76</v>
      </c>
      <c r="P747" s="421" t="s">
        <v>7043</v>
      </c>
      <c r="Q747" s="421" t="s">
        <v>76</v>
      </c>
      <c r="R747" s="422" t="s">
        <v>76</v>
      </c>
    </row>
    <row r="748" spans="1:18">
      <c r="A748" s="420" t="s">
        <v>8233</v>
      </c>
      <c r="B748" s="421" t="s">
        <v>6608</v>
      </c>
      <c r="C748" s="421" t="s">
        <v>8234</v>
      </c>
      <c r="D748" s="421" t="s">
        <v>8236</v>
      </c>
      <c r="E748" s="421" t="s">
        <v>76</v>
      </c>
      <c r="F748" s="421" t="s">
        <v>76</v>
      </c>
      <c r="G748" s="421" t="s">
        <v>76</v>
      </c>
      <c r="H748" s="421" t="s">
        <v>7044</v>
      </c>
      <c r="I748" s="421" t="s">
        <v>76</v>
      </c>
      <c r="J748" s="421" t="s">
        <v>76</v>
      </c>
      <c r="K748" s="421" t="s">
        <v>76</v>
      </c>
      <c r="L748" s="421" t="s">
        <v>76</v>
      </c>
      <c r="M748" s="421" t="s">
        <v>76</v>
      </c>
      <c r="N748" s="421" t="s">
        <v>76</v>
      </c>
      <c r="O748" s="421" t="s">
        <v>76</v>
      </c>
      <c r="P748" s="421" t="s">
        <v>7043</v>
      </c>
      <c r="Q748" s="421" t="s">
        <v>76</v>
      </c>
      <c r="R748" s="422" t="s">
        <v>76</v>
      </c>
    </row>
    <row r="749" spans="1:18">
      <c r="A749" s="420" t="s">
        <v>8233</v>
      </c>
      <c r="B749" s="421" t="s">
        <v>6608</v>
      </c>
      <c r="C749" s="421" t="s">
        <v>8234</v>
      </c>
      <c r="D749" s="421" t="s">
        <v>8237</v>
      </c>
      <c r="E749" s="421" t="s">
        <v>76</v>
      </c>
      <c r="F749" s="421" t="s">
        <v>76</v>
      </c>
      <c r="G749" s="421" t="s">
        <v>76</v>
      </c>
      <c r="H749" s="421" t="s">
        <v>7044</v>
      </c>
      <c r="I749" s="421" t="s">
        <v>76</v>
      </c>
      <c r="J749" s="421" t="s">
        <v>76</v>
      </c>
      <c r="K749" s="421" t="s">
        <v>76</v>
      </c>
      <c r="L749" s="421" t="s">
        <v>76</v>
      </c>
      <c r="M749" s="421" t="s">
        <v>76</v>
      </c>
      <c r="N749" s="421" t="s">
        <v>76</v>
      </c>
      <c r="O749" s="421" t="s">
        <v>76</v>
      </c>
      <c r="P749" s="421" t="s">
        <v>7043</v>
      </c>
      <c r="Q749" s="421" t="s">
        <v>76</v>
      </c>
      <c r="R749" s="422" t="s">
        <v>76</v>
      </c>
    </row>
    <row r="750" spans="1:18">
      <c r="A750" s="420" t="s">
        <v>8233</v>
      </c>
      <c r="B750" s="421" t="s">
        <v>6608</v>
      </c>
      <c r="C750" s="421" t="s">
        <v>8234</v>
      </c>
      <c r="D750" s="421" t="s">
        <v>8238</v>
      </c>
      <c r="E750" s="421" t="s">
        <v>76</v>
      </c>
      <c r="F750" s="421" t="s">
        <v>76</v>
      </c>
      <c r="G750" s="421" t="s">
        <v>76</v>
      </c>
      <c r="H750" s="421" t="s">
        <v>7044</v>
      </c>
      <c r="I750" s="421" t="s">
        <v>76</v>
      </c>
      <c r="J750" s="421" t="s">
        <v>76</v>
      </c>
      <c r="K750" s="421" t="s">
        <v>76</v>
      </c>
      <c r="L750" s="421" t="s">
        <v>76</v>
      </c>
      <c r="M750" s="421" t="s">
        <v>76</v>
      </c>
      <c r="N750" s="421" t="s">
        <v>76</v>
      </c>
      <c r="O750" s="421" t="s">
        <v>76</v>
      </c>
      <c r="P750" s="421" t="s">
        <v>7043</v>
      </c>
      <c r="Q750" s="421" t="s">
        <v>76</v>
      </c>
      <c r="R750" s="422" t="s">
        <v>76</v>
      </c>
    </row>
    <row r="751" spans="1:18">
      <c r="A751" s="420" t="s">
        <v>8233</v>
      </c>
      <c r="B751" s="421" t="s">
        <v>6608</v>
      </c>
      <c r="C751" s="421" t="s">
        <v>8234</v>
      </c>
      <c r="D751" s="421" t="s">
        <v>8239</v>
      </c>
      <c r="E751" s="421" t="s">
        <v>76</v>
      </c>
      <c r="F751" s="421" t="s">
        <v>76</v>
      </c>
      <c r="G751" s="421" t="s">
        <v>76</v>
      </c>
      <c r="H751" s="421" t="s">
        <v>7044</v>
      </c>
      <c r="I751" s="421" t="s">
        <v>76</v>
      </c>
      <c r="J751" s="421" t="s">
        <v>76</v>
      </c>
      <c r="K751" s="421" t="s">
        <v>76</v>
      </c>
      <c r="L751" s="421" t="s">
        <v>76</v>
      </c>
      <c r="M751" s="421" t="s">
        <v>76</v>
      </c>
      <c r="N751" s="421" t="s">
        <v>76</v>
      </c>
      <c r="O751" s="421" t="s">
        <v>76</v>
      </c>
      <c r="P751" s="421" t="s">
        <v>7043</v>
      </c>
      <c r="Q751" s="421" t="s">
        <v>76</v>
      </c>
      <c r="R751" s="422" t="s">
        <v>76</v>
      </c>
    </row>
    <row r="752" spans="1:18">
      <c r="A752" s="420" t="s">
        <v>8233</v>
      </c>
      <c r="B752" s="421" t="s">
        <v>6608</v>
      </c>
      <c r="C752" s="421" t="s">
        <v>8234</v>
      </c>
      <c r="D752" s="421" t="s">
        <v>8240</v>
      </c>
      <c r="E752" s="421" t="s">
        <v>76</v>
      </c>
      <c r="F752" s="421" t="s">
        <v>76</v>
      </c>
      <c r="G752" s="421" t="s">
        <v>76</v>
      </c>
      <c r="H752" s="421" t="s">
        <v>7044</v>
      </c>
      <c r="I752" s="421" t="s">
        <v>76</v>
      </c>
      <c r="J752" s="421" t="s">
        <v>76</v>
      </c>
      <c r="K752" s="421" t="s">
        <v>76</v>
      </c>
      <c r="L752" s="421" t="s">
        <v>76</v>
      </c>
      <c r="M752" s="421" t="s">
        <v>76</v>
      </c>
      <c r="N752" s="421" t="s">
        <v>76</v>
      </c>
      <c r="O752" s="421" t="s">
        <v>76</v>
      </c>
      <c r="P752" s="421" t="s">
        <v>7043</v>
      </c>
      <c r="Q752" s="421" t="s">
        <v>76</v>
      </c>
      <c r="R752" s="422" t="s">
        <v>76</v>
      </c>
    </row>
    <row r="753" spans="1:18">
      <c r="A753" s="420" t="s">
        <v>8233</v>
      </c>
      <c r="B753" s="421" t="s">
        <v>6608</v>
      </c>
      <c r="C753" s="421" t="s">
        <v>8234</v>
      </c>
      <c r="D753" s="421" t="s">
        <v>8241</v>
      </c>
      <c r="E753" s="421" t="s">
        <v>76</v>
      </c>
      <c r="F753" s="421" t="s">
        <v>76</v>
      </c>
      <c r="G753" s="421" t="s">
        <v>76</v>
      </c>
      <c r="H753" s="421" t="s">
        <v>7044</v>
      </c>
      <c r="I753" s="421" t="s">
        <v>76</v>
      </c>
      <c r="J753" s="421" t="s">
        <v>76</v>
      </c>
      <c r="K753" s="421" t="s">
        <v>76</v>
      </c>
      <c r="L753" s="421" t="s">
        <v>76</v>
      </c>
      <c r="M753" s="421" t="s">
        <v>76</v>
      </c>
      <c r="N753" s="421" t="s">
        <v>76</v>
      </c>
      <c r="O753" s="421" t="s">
        <v>76</v>
      </c>
      <c r="P753" s="421" t="s">
        <v>7043</v>
      </c>
      <c r="Q753" s="421" t="s">
        <v>76</v>
      </c>
      <c r="R753" s="422" t="s">
        <v>76</v>
      </c>
    </row>
    <row r="754" spans="1:18">
      <c r="A754" s="420" t="s">
        <v>8233</v>
      </c>
      <c r="B754" s="421" t="s">
        <v>6608</v>
      </c>
      <c r="C754" s="421" t="s">
        <v>8234</v>
      </c>
      <c r="D754" s="421" t="s">
        <v>8237</v>
      </c>
      <c r="E754" s="421" t="s">
        <v>76</v>
      </c>
      <c r="F754" s="421" t="s">
        <v>76</v>
      </c>
      <c r="G754" s="421" t="s">
        <v>76</v>
      </c>
      <c r="H754" s="421" t="s">
        <v>7044</v>
      </c>
      <c r="I754" s="421" t="s">
        <v>76</v>
      </c>
      <c r="J754" s="421" t="s">
        <v>76</v>
      </c>
      <c r="K754" s="421" t="s">
        <v>76</v>
      </c>
      <c r="L754" s="421" t="s">
        <v>76</v>
      </c>
      <c r="M754" s="421" t="s">
        <v>76</v>
      </c>
      <c r="N754" s="421" t="s">
        <v>76</v>
      </c>
      <c r="O754" s="421" t="s">
        <v>76</v>
      </c>
      <c r="P754" s="421" t="s">
        <v>7043</v>
      </c>
      <c r="Q754" s="421" t="s">
        <v>76</v>
      </c>
      <c r="R754" s="422" t="s">
        <v>76</v>
      </c>
    </row>
    <row r="755" spans="1:18">
      <c r="A755" s="420" t="s">
        <v>8242</v>
      </c>
      <c r="B755" s="421" t="s">
        <v>6611</v>
      </c>
      <c r="C755" s="421" t="s">
        <v>8243</v>
      </c>
      <c r="D755" s="421" t="s">
        <v>8244</v>
      </c>
      <c r="E755" s="421" t="s">
        <v>76</v>
      </c>
      <c r="F755" s="421" t="s">
        <v>76</v>
      </c>
      <c r="G755" s="421" t="s">
        <v>76</v>
      </c>
      <c r="H755" s="421" t="s">
        <v>7044</v>
      </c>
      <c r="I755" s="421" t="s">
        <v>76</v>
      </c>
      <c r="J755" s="421" t="s">
        <v>76</v>
      </c>
      <c r="K755" s="421" t="s">
        <v>76</v>
      </c>
      <c r="L755" s="421" t="s">
        <v>76</v>
      </c>
      <c r="M755" s="421" t="s">
        <v>76</v>
      </c>
      <c r="N755" s="421" t="s">
        <v>76</v>
      </c>
      <c r="O755" s="421" t="s">
        <v>76</v>
      </c>
      <c r="P755" s="421" t="s">
        <v>7043</v>
      </c>
      <c r="Q755" s="421" t="s">
        <v>76</v>
      </c>
      <c r="R755" s="422" t="s">
        <v>76</v>
      </c>
    </row>
    <row r="756" spans="1:18">
      <c r="A756" s="420" t="s">
        <v>8242</v>
      </c>
      <c r="B756" s="421" t="s">
        <v>6611</v>
      </c>
      <c r="C756" s="421" t="s">
        <v>8243</v>
      </c>
      <c r="D756" s="421" t="s">
        <v>8245</v>
      </c>
      <c r="E756" s="421" t="s">
        <v>76</v>
      </c>
      <c r="F756" s="421" t="s">
        <v>76</v>
      </c>
      <c r="G756" s="421" t="s">
        <v>76</v>
      </c>
      <c r="H756" s="421" t="s">
        <v>7044</v>
      </c>
      <c r="I756" s="421" t="s">
        <v>76</v>
      </c>
      <c r="J756" s="421" t="s">
        <v>76</v>
      </c>
      <c r="K756" s="421" t="s">
        <v>76</v>
      </c>
      <c r="L756" s="421" t="s">
        <v>76</v>
      </c>
      <c r="M756" s="421" t="s">
        <v>76</v>
      </c>
      <c r="N756" s="421" t="s">
        <v>76</v>
      </c>
      <c r="O756" s="421" t="s">
        <v>76</v>
      </c>
      <c r="P756" s="421" t="s">
        <v>7043</v>
      </c>
      <c r="Q756" s="421" t="s">
        <v>76</v>
      </c>
      <c r="R756" s="422" t="s">
        <v>76</v>
      </c>
    </row>
    <row r="757" spans="1:18">
      <c r="A757" s="420" t="s">
        <v>8242</v>
      </c>
      <c r="B757" s="421" t="s">
        <v>6611</v>
      </c>
      <c r="C757" s="421" t="s">
        <v>8243</v>
      </c>
      <c r="D757" s="421" t="s">
        <v>8246</v>
      </c>
      <c r="E757" s="421" t="s">
        <v>76</v>
      </c>
      <c r="F757" s="421" t="s">
        <v>76</v>
      </c>
      <c r="G757" s="421" t="s">
        <v>76</v>
      </c>
      <c r="H757" s="421" t="s">
        <v>7044</v>
      </c>
      <c r="I757" s="421" t="s">
        <v>76</v>
      </c>
      <c r="J757" s="421" t="s">
        <v>76</v>
      </c>
      <c r="K757" s="421" t="s">
        <v>76</v>
      </c>
      <c r="L757" s="421" t="s">
        <v>76</v>
      </c>
      <c r="M757" s="421" t="s">
        <v>76</v>
      </c>
      <c r="N757" s="421" t="s">
        <v>76</v>
      </c>
      <c r="O757" s="421" t="s">
        <v>76</v>
      </c>
      <c r="P757" s="421" t="s">
        <v>7043</v>
      </c>
      <c r="Q757" s="421" t="s">
        <v>76</v>
      </c>
      <c r="R757" s="422" t="s">
        <v>76</v>
      </c>
    </row>
    <row r="758" spans="1:18">
      <c r="A758" s="420" t="s">
        <v>8242</v>
      </c>
      <c r="B758" s="421" t="s">
        <v>6611</v>
      </c>
      <c r="C758" s="421" t="s">
        <v>8243</v>
      </c>
      <c r="D758" s="421" t="s">
        <v>8247</v>
      </c>
      <c r="E758" s="421" t="s">
        <v>76</v>
      </c>
      <c r="F758" s="421" t="s">
        <v>76</v>
      </c>
      <c r="G758" s="421" t="s">
        <v>76</v>
      </c>
      <c r="H758" s="421" t="s">
        <v>7044</v>
      </c>
      <c r="I758" s="421" t="s">
        <v>76</v>
      </c>
      <c r="J758" s="421" t="s">
        <v>76</v>
      </c>
      <c r="K758" s="421" t="s">
        <v>76</v>
      </c>
      <c r="L758" s="421" t="s">
        <v>76</v>
      </c>
      <c r="M758" s="421" t="s">
        <v>76</v>
      </c>
      <c r="N758" s="421" t="s">
        <v>76</v>
      </c>
      <c r="O758" s="421" t="s">
        <v>76</v>
      </c>
      <c r="P758" s="421" t="s">
        <v>7043</v>
      </c>
      <c r="Q758" s="421" t="s">
        <v>76</v>
      </c>
      <c r="R758" s="422" t="s">
        <v>76</v>
      </c>
    </row>
    <row r="759" spans="1:18">
      <c r="A759" s="420" t="s">
        <v>8242</v>
      </c>
      <c r="B759" s="421" t="s">
        <v>6611</v>
      </c>
      <c r="C759" s="421" t="s">
        <v>8243</v>
      </c>
      <c r="D759" s="421" t="s">
        <v>8248</v>
      </c>
      <c r="E759" s="421" t="s">
        <v>76</v>
      </c>
      <c r="F759" s="421" t="s">
        <v>76</v>
      </c>
      <c r="G759" s="421" t="s">
        <v>76</v>
      </c>
      <c r="H759" s="421" t="s">
        <v>7044</v>
      </c>
      <c r="I759" s="421" t="s">
        <v>76</v>
      </c>
      <c r="J759" s="421" t="s">
        <v>76</v>
      </c>
      <c r="K759" s="421" t="s">
        <v>76</v>
      </c>
      <c r="L759" s="421" t="s">
        <v>76</v>
      </c>
      <c r="M759" s="421" t="s">
        <v>76</v>
      </c>
      <c r="N759" s="421" t="s">
        <v>76</v>
      </c>
      <c r="O759" s="421" t="s">
        <v>76</v>
      </c>
      <c r="P759" s="421" t="s">
        <v>7043</v>
      </c>
      <c r="Q759" s="421" t="s">
        <v>76</v>
      </c>
      <c r="R759" s="422" t="s">
        <v>76</v>
      </c>
    </row>
    <row r="760" spans="1:18">
      <c r="A760" s="420" t="s">
        <v>8242</v>
      </c>
      <c r="B760" s="421" t="s">
        <v>6611</v>
      </c>
      <c r="C760" s="421" t="s">
        <v>8243</v>
      </c>
      <c r="D760" s="421" t="s">
        <v>8249</v>
      </c>
      <c r="E760" s="421" t="s">
        <v>76</v>
      </c>
      <c r="F760" s="421" t="s">
        <v>76</v>
      </c>
      <c r="G760" s="421" t="s">
        <v>76</v>
      </c>
      <c r="H760" s="421" t="s">
        <v>7044</v>
      </c>
      <c r="I760" s="421" t="s">
        <v>76</v>
      </c>
      <c r="J760" s="421" t="s">
        <v>76</v>
      </c>
      <c r="K760" s="421" t="s">
        <v>76</v>
      </c>
      <c r="L760" s="421" t="s">
        <v>76</v>
      </c>
      <c r="M760" s="421" t="s">
        <v>76</v>
      </c>
      <c r="N760" s="421" t="s">
        <v>76</v>
      </c>
      <c r="O760" s="421" t="s">
        <v>76</v>
      </c>
      <c r="P760" s="421" t="s">
        <v>7043</v>
      </c>
      <c r="Q760" s="421" t="s">
        <v>76</v>
      </c>
      <c r="R760" s="422" t="s">
        <v>76</v>
      </c>
    </row>
    <row r="761" spans="1:18">
      <c r="A761" s="420" t="s">
        <v>8242</v>
      </c>
      <c r="B761" s="421" t="s">
        <v>6611</v>
      </c>
      <c r="C761" s="421" t="s">
        <v>8243</v>
      </c>
      <c r="D761" s="421" t="s">
        <v>8250</v>
      </c>
      <c r="E761" s="421" t="s">
        <v>76</v>
      </c>
      <c r="F761" s="421" t="s">
        <v>76</v>
      </c>
      <c r="G761" s="421" t="s">
        <v>76</v>
      </c>
      <c r="H761" s="421" t="s">
        <v>7044</v>
      </c>
      <c r="I761" s="421" t="s">
        <v>76</v>
      </c>
      <c r="J761" s="421" t="s">
        <v>76</v>
      </c>
      <c r="K761" s="421" t="s">
        <v>76</v>
      </c>
      <c r="L761" s="421" t="s">
        <v>76</v>
      </c>
      <c r="M761" s="421" t="s">
        <v>76</v>
      </c>
      <c r="N761" s="421" t="s">
        <v>76</v>
      </c>
      <c r="O761" s="421" t="s">
        <v>76</v>
      </c>
      <c r="P761" s="421" t="s">
        <v>7043</v>
      </c>
      <c r="Q761" s="421" t="s">
        <v>76</v>
      </c>
      <c r="R761" s="422" t="s">
        <v>76</v>
      </c>
    </row>
    <row r="762" spans="1:18">
      <c r="A762" s="420" t="s">
        <v>8242</v>
      </c>
      <c r="B762" s="421" t="s">
        <v>6611</v>
      </c>
      <c r="C762" s="421" t="s">
        <v>8243</v>
      </c>
      <c r="D762" s="421" t="s">
        <v>8246</v>
      </c>
      <c r="E762" s="421" t="s">
        <v>76</v>
      </c>
      <c r="F762" s="421" t="s">
        <v>76</v>
      </c>
      <c r="G762" s="421" t="s">
        <v>76</v>
      </c>
      <c r="H762" s="421" t="s">
        <v>7044</v>
      </c>
      <c r="I762" s="421" t="s">
        <v>76</v>
      </c>
      <c r="J762" s="421" t="s">
        <v>76</v>
      </c>
      <c r="K762" s="421" t="s">
        <v>76</v>
      </c>
      <c r="L762" s="421" t="s">
        <v>76</v>
      </c>
      <c r="M762" s="421" t="s">
        <v>76</v>
      </c>
      <c r="N762" s="421" t="s">
        <v>76</v>
      </c>
      <c r="O762" s="421" t="s">
        <v>76</v>
      </c>
      <c r="P762" s="421" t="s">
        <v>7043</v>
      </c>
      <c r="Q762" s="421" t="s">
        <v>76</v>
      </c>
      <c r="R762" s="422" t="s">
        <v>76</v>
      </c>
    </row>
    <row r="763" spans="1:18">
      <c r="A763" s="420" t="s">
        <v>8251</v>
      </c>
      <c r="B763" s="421" t="s">
        <v>6614</v>
      </c>
      <c r="C763" s="421" t="s">
        <v>8252</v>
      </c>
      <c r="D763" s="421" t="s">
        <v>8253</v>
      </c>
      <c r="E763" s="421" t="s">
        <v>76</v>
      </c>
      <c r="F763" s="421" t="s">
        <v>76</v>
      </c>
      <c r="G763" s="421" t="s">
        <v>76</v>
      </c>
      <c r="H763" s="421" t="s">
        <v>76</v>
      </c>
      <c r="I763" s="421" t="s">
        <v>76</v>
      </c>
      <c r="J763" s="421" t="s">
        <v>76</v>
      </c>
      <c r="K763" s="421" t="s">
        <v>76</v>
      </c>
      <c r="L763" s="421" t="s">
        <v>76</v>
      </c>
      <c r="M763" s="421" t="s">
        <v>76</v>
      </c>
      <c r="N763" s="421" t="s">
        <v>7043</v>
      </c>
      <c r="O763" s="421" t="s">
        <v>76</v>
      </c>
      <c r="P763" s="421" t="s">
        <v>76</v>
      </c>
      <c r="Q763" s="421" t="s">
        <v>76</v>
      </c>
      <c r="R763" s="422" t="s">
        <v>76</v>
      </c>
    </row>
    <row r="764" spans="1:18">
      <c r="A764" s="420" t="s">
        <v>8254</v>
      </c>
      <c r="B764" s="421" t="s">
        <v>6622</v>
      </c>
      <c r="C764" s="421" t="s">
        <v>8255</v>
      </c>
      <c r="D764" s="421" t="s">
        <v>8256</v>
      </c>
      <c r="E764" s="421" t="s">
        <v>76</v>
      </c>
      <c r="F764" s="421" t="s">
        <v>76</v>
      </c>
      <c r="G764" s="421" t="s">
        <v>76</v>
      </c>
      <c r="H764" s="421" t="s">
        <v>76</v>
      </c>
      <c r="I764" s="421" t="s">
        <v>76</v>
      </c>
      <c r="J764" s="421" t="s">
        <v>76</v>
      </c>
      <c r="K764" s="421" t="s">
        <v>76</v>
      </c>
      <c r="L764" s="421" t="s">
        <v>76</v>
      </c>
      <c r="M764" s="421" t="s">
        <v>76</v>
      </c>
      <c r="N764" s="421" t="s">
        <v>7043</v>
      </c>
      <c r="O764" s="421" t="s">
        <v>76</v>
      </c>
      <c r="P764" s="421" t="s">
        <v>76</v>
      </c>
      <c r="Q764" s="421" t="s">
        <v>76</v>
      </c>
      <c r="R764" s="422" t="s">
        <v>76</v>
      </c>
    </row>
    <row r="765" spans="1:18">
      <c r="A765" s="420" t="s">
        <v>8257</v>
      </c>
      <c r="B765" s="421" t="s">
        <v>6626</v>
      </c>
      <c r="C765" s="421" t="s">
        <v>8258</v>
      </c>
      <c r="D765" s="421" t="s">
        <v>8259</v>
      </c>
      <c r="E765" s="421" t="s">
        <v>76</v>
      </c>
      <c r="F765" s="421" t="s">
        <v>76</v>
      </c>
      <c r="G765" s="421" t="s">
        <v>76</v>
      </c>
      <c r="H765" s="421" t="s">
        <v>7044</v>
      </c>
      <c r="I765" s="421" t="s">
        <v>76</v>
      </c>
      <c r="J765" s="421" t="s">
        <v>76</v>
      </c>
      <c r="K765" s="421" t="s">
        <v>76</v>
      </c>
      <c r="L765" s="421" t="s">
        <v>76</v>
      </c>
      <c r="M765" s="421" t="s">
        <v>76</v>
      </c>
      <c r="N765" s="421" t="s">
        <v>76</v>
      </c>
      <c r="O765" s="421" t="s">
        <v>76</v>
      </c>
      <c r="P765" s="421" t="s">
        <v>7043</v>
      </c>
      <c r="Q765" s="421" t="s">
        <v>76</v>
      </c>
      <c r="R765" s="422" t="s">
        <v>76</v>
      </c>
    </row>
    <row r="766" spans="1:18">
      <c r="A766" s="420" t="s">
        <v>8260</v>
      </c>
      <c r="B766" s="421" t="s">
        <v>6629</v>
      </c>
      <c r="C766" s="421" t="s">
        <v>8261</v>
      </c>
      <c r="D766" s="421" t="s">
        <v>8262</v>
      </c>
      <c r="E766" s="421" t="s">
        <v>76</v>
      </c>
      <c r="F766" s="421" t="s">
        <v>76</v>
      </c>
      <c r="G766" s="421" t="s">
        <v>76</v>
      </c>
      <c r="H766" s="421" t="s">
        <v>7044</v>
      </c>
      <c r="I766" s="421" t="s">
        <v>76</v>
      </c>
      <c r="J766" s="421" t="s">
        <v>76</v>
      </c>
      <c r="K766" s="421" t="s">
        <v>76</v>
      </c>
      <c r="L766" s="421" t="s">
        <v>76</v>
      </c>
      <c r="M766" s="421" t="s">
        <v>76</v>
      </c>
      <c r="N766" s="421" t="s">
        <v>76</v>
      </c>
      <c r="O766" s="421" t="s">
        <v>76</v>
      </c>
      <c r="P766" s="421" t="s">
        <v>7043</v>
      </c>
      <c r="Q766" s="421" t="s">
        <v>76</v>
      </c>
      <c r="R766" s="422" t="s">
        <v>76</v>
      </c>
    </row>
    <row r="767" spans="1:18">
      <c r="A767" s="420" t="s">
        <v>8263</v>
      </c>
      <c r="B767" s="421" t="s">
        <v>6632</v>
      </c>
      <c r="C767" s="421" t="s">
        <v>8264</v>
      </c>
      <c r="D767" s="421" t="s">
        <v>8265</v>
      </c>
      <c r="E767" s="421" t="s">
        <v>76</v>
      </c>
      <c r="F767" s="421" t="s">
        <v>76</v>
      </c>
      <c r="G767" s="421" t="s">
        <v>76</v>
      </c>
      <c r="H767" s="421" t="s">
        <v>76</v>
      </c>
      <c r="I767" s="421" t="s">
        <v>76</v>
      </c>
      <c r="J767" s="421" t="s">
        <v>76</v>
      </c>
      <c r="K767" s="421" t="s">
        <v>76</v>
      </c>
      <c r="L767" s="421" t="s">
        <v>76</v>
      </c>
      <c r="M767" s="421" t="s">
        <v>76</v>
      </c>
      <c r="N767" s="421" t="s">
        <v>7043</v>
      </c>
      <c r="O767" s="421" t="s">
        <v>76</v>
      </c>
      <c r="P767" s="421" t="s">
        <v>76</v>
      </c>
      <c r="Q767" s="421" t="s">
        <v>76</v>
      </c>
      <c r="R767" s="422" t="s">
        <v>76</v>
      </c>
    </row>
    <row r="768" spans="1:18">
      <c r="A768" s="420" t="s">
        <v>8266</v>
      </c>
      <c r="B768" s="421" t="s">
        <v>6639</v>
      </c>
      <c r="C768" s="421" t="s">
        <v>8267</v>
      </c>
      <c r="D768" s="421" t="s">
        <v>8268</v>
      </c>
      <c r="E768" s="421" t="s">
        <v>76</v>
      </c>
      <c r="F768" s="421" t="s">
        <v>76</v>
      </c>
      <c r="G768" s="421" t="s">
        <v>76</v>
      </c>
      <c r="H768" s="421" t="s">
        <v>76</v>
      </c>
      <c r="I768" s="421" t="s">
        <v>76</v>
      </c>
      <c r="J768" s="421" t="s">
        <v>76</v>
      </c>
      <c r="K768" s="421" t="s">
        <v>76</v>
      </c>
      <c r="L768" s="421" t="s">
        <v>76</v>
      </c>
      <c r="M768" s="421" t="s">
        <v>76</v>
      </c>
      <c r="N768" s="421" t="s">
        <v>7043</v>
      </c>
      <c r="O768" s="421" t="s">
        <v>76</v>
      </c>
      <c r="P768" s="421" t="s">
        <v>76</v>
      </c>
      <c r="Q768" s="421" t="s">
        <v>76</v>
      </c>
      <c r="R768" s="422" t="s">
        <v>76</v>
      </c>
    </row>
    <row r="769" spans="1:18">
      <c r="A769" s="420" t="s">
        <v>8269</v>
      </c>
      <c r="B769" s="421" t="s">
        <v>6642</v>
      </c>
      <c r="C769" s="421" t="s">
        <v>8270</v>
      </c>
      <c r="D769" s="421" t="s">
        <v>8271</v>
      </c>
      <c r="E769" s="421" t="s">
        <v>76</v>
      </c>
      <c r="F769" s="421" t="s">
        <v>76</v>
      </c>
      <c r="G769" s="421" t="s">
        <v>76</v>
      </c>
      <c r="H769" s="421" t="s">
        <v>7044</v>
      </c>
      <c r="I769" s="421" t="s">
        <v>76</v>
      </c>
      <c r="J769" s="421" t="s">
        <v>76</v>
      </c>
      <c r="K769" s="421" t="s">
        <v>76</v>
      </c>
      <c r="L769" s="421" t="s">
        <v>76</v>
      </c>
      <c r="M769" s="421" t="s">
        <v>76</v>
      </c>
      <c r="N769" s="421" t="s">
        <v>76</v>
      </c>
      <c r="O769" s="421" t="s">
        <v>76</v>
      </c>
      <c r="P769" s="421" t="s">
        <v>7043</v>
      </c>
      <c r="Q769" s="421" t="s">
        <v>76</v>
      </c>
      <c r="R769" s="422" t="s">
        <v>76</v>
      </c>
    </row>
    <row r="770" spans="1:18">
      <c r="A770" s="420" t="s">
        <v>8272</v>
      </c>
      <c r="B770" s="421" t="s">
        <v>6645</v>
      </c>
      <c r="C770" s="421" t="s">
        <v>8273</v>
      </c>
      <c r="D770" s="421" t="s">
        <v>8274</v>
      </c>
      <c r="E770" s="421" t="s">
        <v>76</v>
      </c>
      <c r="F770" s="421" t="s">
        <v>76</v>
      </c>
      <c r="G770" s="421" t="s">
        <v>76</v>
      </c>
      <c r="H770" s="421" t="s">
        <v>7044</v>
      </c>
      <c r="I770" s="421" t="s">
        <v>76</v>
      </c>
      <c r="J770" s="421" t="s">
        <v>76</v>
      </c>
      <c r="K770" s="421" t="s">
        <v>76</v>
      </c>
      <c r="L770" s="421" t="s">
        <v>76</v>
      </c>
      <c r="M770" s="421" t="s">
        <v>76</v>
      </c>
      <c r="N770" s="421" t="s">
        <v>76</v>
      </c>
      <c r="O770" s="421" t="s">
        <v>76</v>
      </c>
      <c r="P770" s="421" t="s">
        <v>7043</v>
      </c>
      <c r="Q770" s="421" t="s">
        <v>76</v>
      </c>
      <c r="R770" s="422" t="s">
        <v>76</v>
      </c>
    </row>
    <row r="771" spans="1:18">
      <c r="A771" s="420" t="s">
        <v>7756</v>
      </c>
      <c r="B771" s="421" t="s">
        <v>6839</v>
      </c>
      <c r="C771" s="421" t="s">
        <v>8275</v>
      </c>
      <c r="D771" s="421" t="s">
        <v>8276</v>
      </c>
      <c r="E771" s="421" t="s">
        <v>7369</v>
      </c>
      <c r="F771" s="421" t="s">
        <v>7042</v>
      </c>
      <c r="G771" s="421" t="s">
        <v>7042</v>
      </c>
      <c r="H771" s="421" t="s">
        <v>7042</v>
      </c>
      <c r="I771" s="421" t="s">
        <v>7043</v>
      </c>
      <c r="J771" s="421" t="s">
        <v>7043</v>
      </c>
      <c r="K771" s="421" t="s">
        <v>7043</v>
      </c>
      <c r="L771" s="421" t="s">
        <v>7043</v>
      </c>
      <c r="M771" s="421" t="s">
        <v>7043</v>
      </c>
      <c r="N771" s="421" t="s">
        <v>7043</v>
      </c>
      <c r="O771" s="421" t="s">
        <v>7043</v>
      </c>
      <c r="P771" s="421" t="s">
        <v>7043</v>
      </c>
      <c r="Q771" s="421" t="s">
        <v>7042</v>
      </c>
      <c r="R771" s="422" t="s">
        <v>7042</v>
      </c>
    </row>
    <row r="772" spans="1:18">
      <c r="A772" s="420" t="s">
        <v>7851</v>
      </c>
      <c r="B772" s="421" t="s">
        <v>6847</v>
      </c>
      <c r="C772" s="421" t="s">
        <v>8277</v>
      </c>
      <c r="D772" s="421" t="s">
        <v>8278</v>
      </c>
      <c r="E772" s="421" t="s">
        <v>7369</v>
      </c>
      <c r="F772" s="421" t="s">
        <v>7042</v>
      </c>
      <c r="G772" s="421" t="s">
        <v>7042</v>
      </c>
      <c r="H772" s="421" t="s">
        <v>7042</v>
      </c>
      <c r="I772" s="421" t="s">
        <v>7043</v>
      </c>
      <c r="J772" s="421" t="s">
        <v>76</v>
      </c>
      <c r="K772" s="421" t="s">
        <v>76</v>
      </c>
      <c r="L772" s="421" t="s">
        <v>7043</v>
      </c>
      <c r="M772" s="421" t="s">
        <v>7043</v>
      </c>
      <c r="N772" s="421" t="s">
        <v>7043</v>
      </c>
      <c r="O772" s="421" t="s">
        <v>7043</v>
      </c>
      <c r="P772" s="421" t="s">
        <v>7043</v>
      </c>
      <c r="Q772" s="421" t="s">
        <v>76</v>
      </c>
      <c r="R772" s="422" t="s">
        <v>76</v>
      </c>
    </row>
    <row r="773" spans="1:18">
      <c r="A773" s="420" t="s">
        <v>7938</v>
      </c>
      <c r="B773" s="421" t="s">
        <v>6863</v>
      </c>
      <c r="C773" s="421" t="s">
        <v>8279</v>
      </c>
      <c r="D773" s="421" t="s">
        <v>8280</v>
      </c>
      <c r="E773" s="421" t="s">
        <v>7042</v>
      </c>
      <c r="F773" s="421" t="s">
        <v>7042</v>
      </c>
      <c r="G773" s="421" t="s">
        <v>7042</v>
      </c>
      <c r="H773" s="421" t="s">
        <v>76</v>
      </c>
      <c r="I773" s="421" t="s">
        <v>76</v>
      </c>
      <c r="J773" s="421" t="s">
        <v>76</v>
      </c>
      <c r="K773" s="421" t="s">
        <v>76</v>
      </c>
      <c r="L773" s="421" t="s">
        <v>8281</v>
      </c>
      <c r="M773" s="421" t="s">
        <v>8281</v>
      </c>
      <c r="N773" s="421" t="s">
        <v>8281</v>
      </c>
      <c r="O773" s="421" t="s">
        <v>8281</v>
      </c>
      <c r="P773" s="421" t="s">
        <v>76</v>
      </c>
      <c r="Q773" s="421" t="s">
        <v>76</v>
      </c>
      <c r="R773" s="422" t="s">
        <v>76</v>
      </c>
    </row>
    <row r="774" spans="1:18">
      <c r="A774" s="420" t="s">
        <v>7938</v>
      </c>
      <c r="B774" s="421" t="s">
        <v>6863</v>
      </c>
      <c r="C774" s="421" t="s">
        <v>8282</v>
      </c>
      <c r="D774" s="421" t="s">
        <v>8283</v>
      </c>
      <c r="E774" s="421" t="s">
        <v>7042</v>
      </c>
      <c r="F774" s="421" t="s">
        <v>7042</v>
      </c>
      <c r="G774" s="421" t="s">
        <v>7042</v>
      </c>
      <c r="H774" s="421" t="s">
        <v>7042</v>
      </c>
      <c r="I774" s="421" t="s">
        <v>76</v>
      </c>
      <c r="J774" s="421" t="s">
        <v>76</v>
      </c>
      <c r="K774" s="421" t="s">
        <v>76</v>
      </c>
      <c r="L774" s="421" t="s">
        <v>8281</v>
      </c>
      <c r="M774" s="421" t="s">
        <v>8281</v>
      </c>
      <c r="N774" s="421" t="s">
        <v>8281</v>
      </c>
      <c r="O774" s="421" t="s">
        <v>8281</v>
      </c>
      <c r="P774" s="421" t="s">
        <v>76</v>
      </c>
      <c r="Q774" s="421" t="s">
        <v>76</v>
      </c>
      <c r="R774" s="422" t="s">
        <v>76</v>
      </c>
    </row>
    <row r="775" spans="1:18">
      <c r="A775" s="420" t="s">
        <v>7938</v>
      </c>
      <c r="B775" s="421" t="s">
        <v>6863</v>
      </c>
      <c r="C775" s="421" t="s">
        <v>8284</v>
      </c>
      <c r="D775" s="421" t="s">
        <v>8285</v>
      </c>
      <c r="E775" s="421" t="s">
        <v>7042</v>
      </c>
      <c r="F775" s="421" t="s">
        <v>7042</v>
      </c>
      <c r="G775" s="421" t="s">
        <v>7042</v>
      </c>
      <c r="H775" s="421" t="s">
        <v>7042</v>
      </c>
      <c r="I775" s="421" t="s">
        <v>76</v>
      </c>
      <c r="J775" s="421" t="s">
        <v>7043</v>
      </c>
      <c r="K775" s="421" t="s">
        <v>76</v>
      </c>
      <c r="L775" s="421" t="s">
        <v>8281</v>
      </c>
      <c r="M775" s="421" t="s">
        <v>8281</v>
      </c>
      <c r="N775" s="421" t="s">
        <v>8281</v>
      </c>
      <c r="O775" s="421" t="s">
        <v>8281</v>
      </c>
      <c r="P775" s="421" t="s">
        <v>76</v>
      </c>
      <c r="Q775" s="421" t="s">
        <v>76</v>
      </c>
      <c r="R775" s="422" t="s">
        <v>76</v>
      </c>
    </row>
    <row r="776" spans="1:18">
      <c r="A776" s="420" t="s">
        <v>7039</v>
      </c>
      <c r="B776" s="421" t="s">
        <v>6358</v>
      </c>
      <c r="C776" s="421" t="s">
        <v>7131</v>
      </c>
      <c r="D776" s="421" t="s">
        <v>8286</v>
      </c>
      <c r="E776" s="421" t="s">
        <v>7041</v>
      </c>
      <c r="F776" s="421" t="s">
        <v>7042</v>
      </c>
      <c r="G776" s="421" t="s">
        <v>7042</v>
      </c>
      <c r="H776" s="421" t="s">
        <v>7042</v>
      </c>
      <c r="I776" s="421" t="s">
        <v>7043</v>
      </c>
      <c r="J776" s="421" t="s">
        <v>7043</v>
      </c>
      <c r="K776" s="421" t="s">
        <v>7043</v>
      </c>
      <c r="L776" s="421" t="s">
        <v>7044</v>
      </c>
      <c r="M776" s="421" t="s">
        <v>7043</v>
      </c>
      <c r="N776" s="421" t="s">
        <v>7044</v>
      </c>
      <c r="O776" s="421" t="s">
        <v>7043</v>
      </c>
      <c r="P776" s="421" t="s">
        <v>76</v>
      </c>
      <c r="Q776" s="421" t="s">
        <v>76</v>
      </c>
      <c r="R776" s="422" t="s">
        <v>76</v>
      </c>
    </row>
    <row r="777" spans="1:18">
      <c r="A777" s="420" t="s">
        <v>8097</v>
      </c>
      <c r="B777" s="421" t="s">
        <v>6913</v>
      </c>
      <c r="C777" s="421" t="s">
        <v>8287</v>
      </c>
      <c r="D777" s="421" t="s">
        <v>8288</v>
      </c>
      <c r="E777" s="421" t="s">
        <v>7042</v>
      </c>
      <c r="F777" s="421" t="s">
        <v>7042</v>
      </c>
      <c r="G777" s="421" t="s">
        <v>7042</v>
      </c>
      <c r="H777" s="421" t="s">
        <v>76</v>
      </c>
      <c r="I777" s="421" t="s">
        <v>76</v>
      </c>
      <c r="J777" s="421" t="s">
        <v>76</v>
      </c>
      <c r="K777" s="421" t="s">
        <v>76</v>
      </c>
      <c r="L777" s="421" t="s">
        <v>7043</v>
      </c>
      <c r="M777" s="421" t="s">
        <v>7043</v>
      </c>
      <c r="N777" s="421" t="s">
        <v>7043</v>
      </c>
      <c r="O777" s="421" t="s">
        <v>7043</v>
      </c>
      <c r="P777" s="421" t="s">
        <v>76</v>
      </c>
      <c r="Q777" s="421" t="s">
        <v>7042</v>
      </c>
      <c r="R777" s="422" t="s">
        <v>7042</v>
      </c>
    </row>
    <row r="778" spans="1:18">
      <c r="A778" s="420" t="s">
        <v>7870</v>
      </c>
      <c r="B778" s="421" t="s">
        <v>6852</v>
      </c>
      <c r="C778" s="423" t="s">
        <v>8289</v>
      </c>
      <c r="D778" s="423" t="s">
        <v>8290</v>
      </c>
      <c r="E778" s="421" t="s">
        <v>76</v>
      </c>
      <c r="F778" s="421" t="s">
        <v>76</v>
      </c>
      <c r="G778" s="421" t="s">
        <v>76</v>
      </c>
      <c r="H778" s="421" t="s">
        <v>76</v>
      </c>
      <c r="I778" s="421" t="s">
        <v>76</v>
      </c>
      <c r="J778" s="421" t="s">
        <v>76</v>
      </c>
      <c r="K778" s="421" t="s">
        <v>76</v>
      </c>
      <c r="L778" s="421" t="s">
        <v>76</v>
      </c>
      <c r="M778" s="421" t="s">
        <v>76</v>
      </c>
      <c r="N778" s="421" t="s">
        <v>76</v>
      </c>
      <c r="O778" s="421" t="s">
        <v>76</v>
      </c>
      <c r="P778" s="421" t="s">
        <v>76</v>
      </c>
      <c r="Q778" s="421" t="s">
        <v>76</v>
      </c>
      <c r="R778" s="422" t="s">
        <v>7042</v>
      </c>
    </row>
    <row r="779" spans="1:18">
      <c r="A779" s="425" t="s">
        <v>7870</v>
      </c>
      <c r="B779" s="426" t="s">
        <v>6852</v>
      </c>
      <c r="C779" s="426" t="s">
        <v>8291</v>
      </c>
      <c r="D779" s="426" t="s">
        <v>8292</v>
      </c>
      <c r="E779" s="426" t="s">
        <v>76</v>
      </c>
      <c r="F779" s="426" t="s">
        <v>76</v>
      </c>
      <c r="G779" s="426" t="s">
        <v>76</v>
      </c>
      <c r="H779" s="426" t="s">
        <v>76</v>
      </c>
      <c r="I779" s="426" t="s">
        <v>76</v>
      </c>
      <c r="J779" s="426" t="s">
        <v>76</v>
      </c>
      <c r="K779" s="426" t="s">
        <v>76</v>
      </c>
      <c r="L779" s="426" t="s">
        <v>76</v>
      </c>
      <c r="M779" s="426" t="s">
        <v>76</v>
      </c>
      <c r="N779" s="426" t="s">
        <v>76</v>
      </c>
      <c r="O779" s="426" t="s">
        <v>76</v>
      </c>
      <c r="P779" s="426" t="s">
        <v>76</v>
      </c>
      <c r="Q779" s="426" t="s">
        <v>76</v>
      </c>
      <c r="R779" s="427" t="s">
        <v>7042</v>
      </c>
    </row>
  </sheetData>
  <pageMargins left="0.7" right="0.7" top="0.75" bottom="0.75" header="0.3" footer="0.3"/>
  <pageSetup orientation="portrait" r:id="rId1"/>
  <tableParts count="1">
    <tablePart r:id="rId2"/>
  </tableParts>
</worksheet>
</file>

<file path=docMetadata/LabelInfo.xml><?xml version="1.0" encoding="utf-8"?>
<clbl:labelList xmlns:clbl="http://schemas.microsoft.com/office/2020/mipLabelMetadata">
  <clbl:label id="{725ca717-11da-4935-b601-f527b9741f2e}" enabled="1" method="Privileged" siteId="{d852d5cd-724c-4128-8812-ffa5db3f850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BCM</vt:lpstr>
      <vt:lpstr>ADCAM</vt:lpstr>
      <vt:lpstr>MCPA</vt:lpstr>
      <vt:lpstr>Limp Home Actions</vt:lpstr>
      <vt:lpstr>ADCAM!Print_Area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Solis, Jesus Eduardo</dc:creator>
  <cp:lastModifiedBy>SUMAN SHEKHAR (EXTERNAL)</cp:lastModifiedBy>
  <dcterms:created xsi:type="dcterms:W3CDTF">2026-04-01T17:54:31Z</dcterms:created>
  <dcterms:modified xsi:type="dcterms:W3CDTF">2026-05-01T13:26:56Z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45d81b-0f42-495e-8347-551223c9dd3e_Enabled">
    <vt:lpwstr>true</vt:lpwstr>
  </property>
  <property fmtid="{D5CDD505-2E9C-101B-9397-08002B2CF9AE}" pid="3" name="MSIP_Label_e545d81b-0f42-495e-8347-551223c9dd3e_SetDate">
    <vt:lpwstr>2026-04-01T17:54:49Z</vt:lpwstr>
  </property>
  <property fmtid="{D5CDD505-2E9C-101B-9397-08002B2CF9AE}" pid="4" name="MSIP_Label_e545d81b-0f42-495e-8347-551223c9dd3e_Method">
    <vt:lpwstr>Privileged</vt:lpwstr>
  </property>
  <property fmtid="{D5CDD505-2E9C-101B-9397-08002B2CF9AE}" pid="5" name="MSIP_Label_e545d81b-0f42-495e-8347-551223c9dd3e_Name">
    <vt:lpwstr>Internal</vt:lpwstr>
  </property>
  <property fmtid="{D5CDD505-2E9C-101B-9397-08002B2CF9AE}" pid="6" name="MSIP_Label_e545d81b-0f42-495e-8347-551223c9dd3e_SiteId">
    <vt:lpwstr>6b1311e5-123f-49db-acdf-8847c2d00bed</vt:lpwstr>
  </property>
  <property fmtid="{D5CDD505-2E9C-101B-9397-08002B2CF9AE}" pid="7" name="MSIP_Label_e545d81b-0f42-495e-8347-551223c9dd3e_ActionId">
    <vt:lpwstr>69861faf-2c94-4039-abc9-6ae441c8a709</vt:lpwstr>
  </property>
  <property fmtid="{D5CDD505-2E9C-101B-9397-08002B2CF9AE}" pid="8" name="MSIP_Label_e545d81b-0f42-495e-8347-551223c9dd3e_ContentBits">
    <vt:lpwstr>2</vt:lpwstr>
  </property>
  <property fmtid="{D5CDD505-2E9C-101B-9397-08002B2CF9AE}" pid="9" name="MSIP_Label_e545d81b-0f42-495e-8347-551223c9dd3e_Tag">
    <vt:lpwstr>10, 0, 1, 1</vt:lpwstr>
  </property>
</Properties>
</file>